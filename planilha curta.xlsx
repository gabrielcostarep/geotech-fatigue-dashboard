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salves/Desktop/Energia dissipada/"/>
    </mc:Choice>
  </mc:AlternateContent>
  <xr:revisionPtr revIDLastSave="0" documentId="13_ncr:1_{91FD724B-6C54-6E4C-9FF8-B396B63BC9F5}" xr6:coauthVersionLast="47" xr6:coauthVersionMax="47" xr10:uidLastSave="{00000000-0000-0000-0000-000000000000}"/>
  <bookViews>
    <workbookView xWindow="0" yWindow="660" windowWidth="30240" windowHeight="17980" xr2:uid="{44757035-0C95-9944-9726-50FA3FFBBF5D}"/>
  </bookViews>
  <sheets>
    <sheet name="Planilha1" sheetId="1" r:id="rId1"/>
  </sheets>
  <definedNames>
    <definedName name="_xlchart.v1.0" hidden="1">Planilha1!$O$3:$O$242</definedName>
    <definedName name="_xlchart.v1.1" hidden="1">Planilha1!$P$3:$P$242</definedName>
    <definedName name="_xlchart.v1.2" hidden="1">Planilha1!$O$3:$O$242</definedName>
    <definedName name="_xlchart.v1.3" hidden="1">Planilha1!$P$3:$P$242</definedName>
    <definedName name="_xlchart.v1.4" hidden="1">Planilha1!$O$3:$O$242</definedName>
    <definedName name="_xlchart.v1.5" hidden="1">Planilha1!$P$3:$P$242</definedName>
    <definedName name="_xlchart.v1.6" hidden="1">Planilha1!$O$3:$O$242</definedName>
    <definedName name="_xlchart.v1.7" hidden="1">Planilha1!$P$3:$P$242</definedName>
    <definedName name="_xlchart.v1.8" hidden="1">Planilha1!$O$3:$O$242</definedName>
    <definedName name="_xlchart.v1.9" hidden="1">Planilha1!$P$3:$P$242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26" i="1" l="1"/>
  <c r="Q2026" i="1"/>
  <c r="Q144" i="1"/>
  <c r="Q164" i="1"/>
  <c r="Q184" i="1"/>
  <c r="Q204" i="1"/>
  <c r="Q224" i="1"/>
  <c r="Q244" i="1"/>
  <c r="Q264" i="1"/>
  <c r="Q284" i="1"/>
  <c r="Q304" i="1"/>
  <c r="Q324" i="1"/>
  <c r="Q344" i="1"/>
  <c r="Q364" i="1"/>
  <c r="Q384" i="1"/>
  <c r="Q404" i="1"/>
  <c r="Q424" i="1"/>
  <c r="Q444" i="1"/>
  <c r="Q464" i="1"/>
  <c r="Q484" i="1"/>
  <c r="Q504" i="1"/>
  <c r="Q524" i="1"/>
  <c r="Q544" i="1"/>
  <c r="Q564" i="1"/>
  <c r="Q584" i="1"/>
  <c r="Q604" i="1"/>
  <c r="Q624" i="1"/>
  <c r="Q644" i="1"/>
  <c r="Q664" i="1"/>
  <c r="Q684" i="1"/>
  <c r="Q704" i="1"/>
  <c r="Q724" i="1"/>
  <c r="Q744" i="1"/>
  <c r="Q764" i="1"/>
  <c r="Q784" i="1"/>
  <c r="Q804" i="1"/>
  <c r="Q824" i="1"/>
  <c r="Q844" i="1"/>
  <c r="Q864" i="1"/>
  <c r="Q884" i="1"/>
  <c r="Q904" i="1"/>
  <c r="Q924" i="1"/>
  <c r="Q944" i="1"/>
  <c r="Q964" i="1"/>
  <c r="Q984" i="1"/>
  <c r="Q1004" i="1"/>
  <c r="Q1024" i="1"/>
  <c r="Q1044" i="1"/>
  <c r="Q1064" i="1"/>
  <c r="Q1084" i="1"/>
  <c r="Q1104" i="1"/>
  <c r="Q1124" i="1"/>
  <c r="Q1144" i="1"/>
  <c r="Q1164" i="1"/>
  <c r="Q1184" i="1"/>
  <c r="Q1204" i="1"/>
  <c r="Q1224" i="1"/>
  <c r="Q1244" i="1"/>
  <c r="Q1264" i="1"/>
  <c r="Q1284" i="1"/>
  <c r="Q1304" i="1"/>
  <c r="Q1324" i="1"/>
  <c r="Q1344" i="1"/>
  <c r="Q1364" i="1"/>
  <c r="Q1384" i="1"/>
  <c r="Q1404" i="1"/>
  <c r="Q1424" i="1"/>
  <c r="Q1444" i="1"/>
  <c r="Q1464" i="1"/>
  <c r="Q1484" i="1"/>
  <c r="Q1504" i="1"/>
  <c r="Q1524" i="1"/>
  <c r="Q1544" i="1"/>
  <c r="Q1564" i="1"/>
  <c r="Q1584" i="1"/>
  <c r="Q1604" i="1"/>
  <c r="Q1624" i="1"/>
  <c r="Q1644" i="1"/>
  <c r="Q1664" i="1"/>
  <c r="Q1684" i="1"/>
  <c r="Q1704" i="1"/>
  <c r="Q1724" i="1"/>
  <c r="Q1744" i="1"/>
  <c r="Q1764" i="1"/>
  <c r="Q1784" i="1"/>
  <c r="Q1804" i="1"/>
  <c r="Q1824" i="1"/>
  <c r="Q1844" i="1"/>
  <c r="Q1864" i="1"/>
  <c r="Q1884" i="1"/>
  <c r="Q1904" i="1"/>
  <c r="Q1924" i="1"/>
  <c r="Q1944" i="1"/>
  <c r="Q1964" i="1"/>
  <c r="Q1984" i="1"/>
  <c r="Q2004" i="1"/>
  <c r="Q124" i="1"/>
  <c r="Q104" i="1"/>
  <c r="Q84" i="1"/>
  <c r="Q64" i="1"/>
  <c r="Q44" i="1"/>
  <c r="Q24" i="1"/>
  <c r="Q4" i="1"/>
  <c r="O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L133" i="1"/>
  <c r="M133" i="1"/>
  <c r="N133" i="1"/>
  <c r="L134" i="1"/>
  <c r="M134" i="1"/>
  <c r="N134" i="1"/>
  <c r="L135" i="1"/>
  <c r="M135" i="1"/>
  <c r="N135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6" i="1"/>
  <c r="M146" i="1"/>
  <c r="N146" i="1"/>
  <c r="L147" i="1"/>
  <c r="M147" i="1"/>
  <c r="N147" i="1"/>
  <c r="L148" i="1"/>
  <c r="M148" i="1"/>
  <c r="N148" i="1"/>
  <c r="L149" i="1"/>
  <c r="M149" i="1"/>
  <c r="N149" i="1"/>
  <c r="L150" i="1"/>
  <c r="M150" i="1"/>
  <c r="N150" i="1"/>
  <c r="L151" i="1"/>
  <c r="M151" i="1"/>
  <c r="N151" i="1"/>
  <c r="L152" i="1"/>
  <c r="M152" i="1"/>
  <c r="N152" i="1"/>
  <c r="L153" i="1"/>
  <c r="M153" i="1"/>
  <c r="N153" i="1"/>
  <c r="L154" i="1"/>
  <c r="M154" i="1"/>
  <c r="N154" i="1"/>
  <c r="L155" i="1"/>
  <c r="M155" i="1"/>
  <c r="N155" i="1"/>
  <c r="L156" i="1"/>
  <c r="M156" i="1"/>
  <c r="N156" i="1"/>
  <c r="L157" i="1"/>
  <c r="M157" i="1"/>
  <c r="N157" i="1"/>
  <c r="L158" i="1"/>
  <c r="M158" i="1"/>
  <c r="N158" i="1"/>
  <c r="L159" i="1"/>
  <c r="M159" i="1"/>
  <c r="N159" i="1"/>
  <c r="L160" i="1"/>
  <c r="M160" i="1"/>
  <c r="N160" i="1"/>
  <c r="L161" i="1"/>
  <c r="M161" i="1"/>
  <c r="N161" i="1"/>
  <c r="L162" i="1"/>
  <c r="M162" i="1"/>
  <c r="N162" i="1"/>
  <c r="L163" i="1"/>
  <c r="M163" i="1"/>
  <c r="N163" i="1"/>
  <c r="L164" i="1"/>
  <c r="M164" i="1"/>
  <c r="N164" i="1"/>
  <c r="L165" i="1"/>
  <c r="M165" i="1"/>
  <c r="N165" i="1"/>
  <c r="L166" i="1"/>
  <c r="M166" i="1"/>
  <c r="N166" i="1"/>
  <c r="L167" i="1"/>
  <c r="M167" i="1"/>
  <c r="N167" i="1"/>
  <c r="L168" i="1"/>
  <c r="M168" i="1"/>
  <c r="N168" i="1"/>
  <c r="L169" i="1"/>
  <c r="M169" i="1"/>
  <c r="N169" i="1"/>
  <c r="L170" i="1"/>
  <c r="M170" i="1"/>
  <c r="N170" i="1"/>
  <c r="L171" i="1"/>
  <c r="M171" i="1"/>
  <c r="N171" i="1"/>
  <c r="L172" i="1"/>
  <c r="M172" i="1"/>
  <c r="N172" i="1"/>
  <c r="L173" i="1"/>
  <c r="M173" i="1"/>
  <c r="N173" i="1"/>
  <c r="L174" i="1"/>
  <c r="M174" i="1"/>
  <c r="N174" i="1"/>
  <c r="L175" i="1"/>
  <c r="M175" i="1"/>
  <c r="N175" i="1"/>
  <c r="L176" i="1"/>
  <c r="M176" i="1"/>
  <c r="N176" i="1"/>
  <c r="L177" i="1"/>
  <c r="M177" i="1"/>
  <c r="N177" i="1"/>
  <c r="L178" i="1"/>
  <c r="M178" i="1"/>
  <c r="N178" i="1"/>
  <c r="L179" i="1"/>
  <c r="M179" i="1"/>
  <c r="N179" i="1"/>
  <c r="L180" i="1"/>
  <c r="M180" i="1"/>
  <c r="N180" i="1"/>
  <c r="L181" i="1"/>
  <c r="M181" i="1"/>
  <c r="N181" i="1"/>
  <c r="L182" i="1"/>
  <c r="M182" i="1"/>
  <c r="N182" i="1"/>
  <c r="L183" i="1"/>
  <c r="M183" i="1"/>
  <c r="N183" i="1"/>
  <c r="L184" i="1"/>
  <c r="M184" i="1"/>
  <c r="N184" i="1"/>
  <c r="L185" i="1"/>
  <c r="M185" i="1"/>
  <c r="N185" i="1"/>
  <c r="L186" i="1"/>
  <c r="M186" i="1"/>
  <c r="N186" i="1"/>
  <c r="L187" i="1"/>
  <c r="M187" i="1"/>
  <c r="N187" i="1"/>
  <c r="L188" i="1"/>
  <c r="M188" i="1"/>
  <c r="N188" i="1"/>
  <c r="L189" i="1"/>
  <c r="M189" i="1"/>
  <c r="N189" i="1"/>
  <c r="L190" i="1"/>
  <c r="M190" i="1"/>
  <c r="N190" i="1"/>
  <c r="L191" i="1"/>
  <c r="M191" i="1"/>
  <c r="N191" i="1"/>
  <c r="L192" i="1"/>
  <c r="M192" i="1"/>
  <c r="N192" i="1"/>
  <c r="L193" i="1"/>
  <c r="M193" i="1"/>
  <c r="N193" i="1"/>
  <c r="L194" i="1"/>
  <c r="M194" i="1"/>
  <c r="N194" i="1"/>
  <c r="L195" i="1"/>
  <c r="M195" i="1"/>
  <c r="N195" i="1"/>
  <c r="L196" i="1"/>
  <c r="M196" i="1"/>
  <c r="N196" i="1"/>
  <c r="L197" i="1"/>
  <c r="M197" i="1"/>
  <c r="N197" i="1"/>
  <c r="L198" i="1"/>
  <c r="M198" i="1"/>
  <c r="N198" i="1"/>
  <c r="L199" i="1"/>
  <c r="M199" i="1"/>
  <c r="N199" i="1"/>
  <c r="L200" i="1"/>
  <c r="M200" i="1"/>
  <c r="N200" i="1"/>
  <c r="L201" i="1"/>
  <c r="M201" i="1"/>
  <c r="N201" i="1"/>
  <c r="L202" i="1"/>
  <c r="M202" i="1"/>
  <c r="N202" i="1"/>
  <c r="L203" i="1"/>
  <c r="M203" i="1"/>
  <c r="N203" i="1"/>
  <c r="L204" i="1"/>
  <c r="M204" i="1"/>
  <c r="N204" i="1"/>
  <c r="L205" i="1"/>
  <c r="M205" i="1"/>
  <c r="N205" i="1"/>
  <c r="L206" i="1"/>
  <c r="M206" i="1"/>
  <c r="N206" i="1"/>
  <c r="L207" i="1"/>
  <c r="M207" i="1"/>
  <c r="N207" i="1"/>
  <c r="L208" i="1"/>
  <c r="M208" i="1"/>
  <c r="N208" i="1"/>
  <c r="L209" i="1"/>
  <c r="M209" i="1"/>
  <c r="N209" i="1"/>
  <c r="L210" i="1"/>
  <c r="M210" i="1"/>
  <c r="N210" i="1"/>
  <c r="L211" i="1"/>
  <c r="M211" i="1"/>
  <c r="N211" i="1"/>
  <c r="L212" i="1"/>
  <c r="M212" i="1"/>
  <c r="N212" i="1"/>
  <c r="L213" i="1"/>
  <c r="M213" i="1"/>
  <c r="N213" i="1"/>
  <c r="L214" i="1"/>
  <c r="M214" i="1"/>
  <c r="N214" i="1"/>
  <c r="L215" i="1"/>
  <c r="M215" i="1"/>
  <c r="N215" i="1"/>
  <c r="L216" i="1"/>
  <c r="M216" i="1"/>
  <c r="N216" i="1"/>
  <c r="L217" i="1"/>
  <c r="M217" i="1"/>
  <c r="N217" i="1"/>
  <c r="L218" i="1"/>
  <c r="M218" i="1"/>
  <c r="N218" i="1"/>
  <c r="L219" i="1"/>
  <c r="M219" i="1"/>
  <c r="N219" i="1"/>
  <c r="L220" i="1"/>
  <c r="M220" i="1"/>
  <c r="N220" i="1"/>
  <c r="L221" i="1"/>
  <c r="M221" i="1"/>
  <c r="N221" i="1"/>
  <c r="L222" i="1"/>
  <c r="M222" i="1"/>
  <c r="N222" i="1"/>
  <c r="L223" i="1"/>
  <c r="M223" i="1"/>
  <c r="N223" i="1"/>
  <c r="L224" i="1"/>
  <c r="M224" i="1"/>
  <c r="N224" i="1"/>
  <c r="L225" i="1"/>
  <c r="M225" i="1"/>
  <c r="N225" i="1"/>
  <c r="L226" i="1"/>
  <c r="M226" i="1"/>
  <c r="N226" i="1"/>
  <c r="L227" i="1"/>
  <c r="M227" i="1"/>
  <c r="N227" i="1"/>
  <c r="L228" i="1"/>
  <c r="M228" i="1"/>
  <c r="N228" i="1"/>
  <c r="L229" i="1"/>
  <c r="M229" i="1"/>
  <c r="N229" i="1"/>
  <c r="L230" i="1"/>
  <c r="M230" i="1"/>
  <c r="N230" i="1"/>
  <c r="L231" i="1"/>
  <c r="M231" i="1"/>
  <c r="N231" i="1"/>
  <c r="L232" i="1"/>
  <c r="M232" i="1"/>
  <c r="N232" i="1"/>
  <c r="L233" i="1"/>
  <c r="M233" i="1"/>
  <c r="N233" i="1"/>
  <c r="L234" i="1"/>
  <c r="M234" i="1"/>
  <c r="N234" i="1"/>
  <c r="L235" i="1"/>
  <c r="M235" i="1"/>
  <c r="N235" i="1"/>
  <c r="L236" i="1"/>
  <c r="M236" i="1"/>
  <c r="N236" i="1"/>
  <c r="L237" i="1"/>
  <c r="M237" i="1"/>
  <c r="N237" i="1"/>
  <c r="L238" i="1"/>
  <c r="M238" i="1"/>
  <c r="N238" i="1"/>
  <c r="L239" i="1"/>
  <c r="M239" i="1"/>
  <c r="N239" i="1"/>
  <c r="L240" i="1"/>
  <c r="M240" i="1"/>
  <c r="N240" i="1"/>
  <c r="L241" i="1"/>
  <c r="M241" i="1"/>
  <c r="N241" i="1"/>
  <c r="L242" i="1"/>
  <c r="M242" i="1"/>
  <c r="N242" i="1"/>
  <c r="L243" i="1"/>
  <c r="M243" i="1"/>
  <c r="N243" i="1"/>
  <c r="L244" i="1"/>
  <c r="M244" i="1"/>
  <c r="N244" i="1"/>
  <c r="L245" i="1"/>
  <c r="M245" i="1"/>
  <c r="N245" i="1"/>
  <c r="L246" i="1"/>
  <c r="M246" i="1"/>
  <c r="N246" i="1"/>
  <c r="L247" i="1"/>
  <c r="M247" i="1"/>
  <c r="N247" i="1"/>
  <c r="L248" i="1"/>
  <c r="M248" i="1"/>
  <c r="N248" i="1"/>
  <c r="L249" i="1"/>
  <c r="M249" i="1"/>
  <c r="N249" i="1"/>
  <c r="L250" i="1"/>
  <c r="M250" i="1"/>
  <c r="N250" i="1"/>
  <c r="L251" i="1"/>
  <c r="M251" i="1"/>
  <c r="N251" i="1"/>
  <c r="L252" i="1"/>
  <c r="M252" i="1"/>
  <c r="N252" i="1"/>
  <c r="L253" i="1"/>
  <c r="M253" i="1"/>
  <c r="N253" i="1"/>
  <c r="L254" i="1"/>
  <c r="M254" i="1"/>
  <c r="N254" i="1"/>
  <c r="L255" i="1"/>
  <c r="M255" i="1"/>
  <c r="N255" i="1"/>
  <c r="L256" i="1"/>
  <c r="M256" i="1"/>
  <c r="N256" i="1"/>
  <c r="L257" i="1"/>
  <c r="M257" i="1"/>
  <c r="N257" i="1"/>
  <c r="L258" i="1"/>
  <c r="M258" i="1"/>
  <c r="N258" i="1"/>
  <c r="L259" i="1"/>
  <c r="M259" i="1"/>
  <c r="N259" i="1"/>
  <c r="L260" i="1"/>
  <c r="M260" i="1"/>
  <c r="N260" i="1"/>
  <c r="L261" i="1"/>
  <c r="M261" i="1"/>
  <c r="N261" i="1"/>
  <c r="L262" i="1"/>
  <c r="M262" i="1"/>
  <c r="N262" i="1"/>
  <c r="L263" i="1"/>
  <c r="M263" i="1"/>
  <c r="N263" i="1"/>
  <c r="L264" i="1"/>
  <c r="M264" i="1"/>
  <c r="N264" i="1"/>
  <c r="L265" i="1"/>
  <c r="M265" i="1"/>
  <c r="N265" i="1"/>
  <c r="L266" i="1"/>
  <c r="M266" i="1"/>
  <c r="N266" i="1"/>
  <c r="L267" i="1"/>
  <c r="M267" i="1"/>
  <c r="N267" i="1"/>
  <c r="L268" i="1"/>
  <c r="M268" i="1"/>
  <c r="N268" i="1"/>
  <c r="L269" i="1"/>
  <c r="M269" i="1"/>
  <c r="N269" i="1"/>
  <c r="L270" i="1"/>
  <c r="M270" i="1"/>
  <c r="N270" i="1"/>
  <c r="L271" i="1"/>
  <c r="M271" i="1"/>
  <c r="N271" i="1"/>
  <c r="L272" i="1"/>
  <c r="M272" i="1"/>
  <c r="N272" i="1"/>
  <c r="L273" i="1"/>
  <c r="M273" i="1"/>
  <c r="N273" i="1"/>
  <c r="L274" i="1"/>
  <c r="M274" i="1"/>
  <c r="N274" i="1"/>
  <c r="L275" i="1"/>
  <c r="M275" i="1"/>
  <c r="N275" i="1"/>
  <c r="L276" i="1"/>
  <c r="M276" i="1"/>
  <c r="N276" i="1"/>
  <c r="L277" i="1"/>
  <c r="M277" i="1"/>
  <c r="N277" i="1"/>
  <c r="L278" i="1"/>
  <c r="M278" i="1"/>
  <c r="N278" i="1"/>
  <c r="L279" i="1"/>
  <c r="M279" i="1"/>
  <c r="N279" i="1"/>
  <c r="L280" i="1"/>
  <c r="M280" i="1"/>
  <c r="N280" i="1"/>
  <c r="L281" i="1"/>
  <c r="M281" i="1"/>
  <c r="N281" i="1"/>
  <c r="L282" i="1"/>
  <c r="M282" i="1"/>
  <c r="N282" i="1"/>
  <c r="L283" i="1"/>
  <c r="M283" i="1"/>
  <c r="N283" i="1"/>
  <c r="L284" i="1"/>
  <c r="M284" i="1"/>
  <c r="N284" i="1"/>
  <c r="L285" i="1"/>
  <c r="M285" i="1"/>
  <c r="N285" i="1"/>
  <c r="L286" i="1"/>
  <c r="M286" i="1"/>
  <c r="N286" i="1"/>
  <c r="L287" i="1"/>
  <c r="M287" i="1"/>
  <c r="N287" i="1"/>
  <c r="L288" i="1"/>
  <c r="M288" i="1"/>
  <c r="N288" i="1"/>
  <c r="L289" i="1"/>
  <c r="M289" i="1"/>
  <c r="N289" i="1"/>
  <c r="L290" i="1"/>
  <c r="M290" i="1"/>
  <c r="N290" i="1"/>
  <c r="L291" i="1"/>
  <c r="M291" i="1"/>
  <c r="N291" i="1"/>
  <c r="L292" i="1"/>
  <c r="M292" i="1"/>
  <c r="N292" i="1"/>
  <c r="L293" i="1"/>
  <c r="M293" i="1"/>
  <c r="N293" i="1"/>
  <c r="L294" i="1"/>
  <c r="M294" i="1"/>
  <c r="N294" i="1"/>
  <c r="L295" i="1"/>
  <c r="M295" i="1"/>
  <c r="N295" i="1"/>
  <c r="L296" i="1"/>
  <c r="M296" i="1"/>
  <c r="N296" i="1"/>
  <c r="L297" i="1"/>
  <c r="M297" i="1"/>
  <c r="N297" i="1"/>
  <c r="L298" i="1"/>
  <c r="M298" i="1"/>
  <c r="N298" i="1"/>
  <c r="L299" i="1"/>
  <c r="M299" i="1"/>
  <c r="N299" i="1"/>
  <c r="L300" i="1"/>
  <c r="M300" i="1"/>
  <c r="N300" i="1"/>
  <c r="L301" i="1"/>
  <c r="M301" i="1"/>
  <c r="N301" i="1"/>
  <c r="L302" i="1"/>
  <c r="M302" i="1"/>
  <c r="N302" i="1"/>
  <c r="L303" i="1"/>
  <c r="M303" i="1"/>
  <c r="N303" i="1"/>
  <c r="L304" i="1"/>
  <c r="M304" i="1"/>
  <c r="N304" i="1"/>
  <c r="L305" i="1"/>
  <c r="M305" i="1"/>
  <c r="N305" i="1"/>
  <c r="L306" i="1"/>
  <c r="M306" i="1"/>
  <c r="N306" i="1"/>
  <c r="L307" i="1"/>
  <c r="M307" i="1"/>
  <c r="N307" i="1"/>
  <c r="L308" i="1"/>
  <c r="M308" i="1"/>
  <c r="N308" i="1"/>
  <c r="L309" i="1"/>
  <c r="M309" i="1"/>
  <c r="N309" i="1"/>
  <c r="L310" i="1"/>
  <c r="M310" i="1"/>
  <c r="N310" i="1"/>
  <c r="L311" i="1"/>
  <c r="M311" i="1"/>
  <c r="N311" i="1"/>
  <c r="L312" i="1"/>
  <c r="M312" i="1"/>
  <c r="N312" i="1"/>
  <c r="L313" i="1"/>
  <c r="M313" i="1"/>
  <c r="N313" i="1"/>
  <c r="L314" i="1"/>
  <c r="M314" i="1"/>
  <c r="N314" i="1"/>
  <c r="L315" i="1"/>
  <c r="M315" i="1"/>
  <c r="N315" i="1"/>
  <c r="L316" i="1"/>
  <c r="M316" i="1"/>
  <c r="N316" i="1"/>
  <c r="L317" i="1"/>
  <c r="M317" i="1"/>
  <c r="N317" i="1"/>
  <c r="L318" i="1"/>
  <c r="M318" i="1"/>
  <c r="N318" i="1"/>
  <c r="L319" i="1"/>
  <c r="M319" i="1"/>
  <c r="N319" i="1"/>
  <c r="L320" i="1"/>
  <c r="M320" i="1"/>
  <c r="N320" i="1"/>
  <c r="L321" i="1"/>
  <c r="M321" i="1"/>
  <c r="N321" i="1"/>
  <c r="L322" i="1"/>
  <c r="M322" i="1"/>
  <c r="N322" i="1"/>
  <c r="L323" i="1"/>
  <c r="M323" i="1"/>
  <c r="N323" i="1"/>
  <c r="L324" i="1"/>
  <c r="M324" i="1"/>
  <c r="N324" i="1"/>
  <c r="L325" i="1"/>
  <c r="M325" i="1"/>
  <c r="N325" i="1"/>
  <c r="L326" i="1"/>
  <c r="M326" i="1"/>
  <c r="N326" i="1"/>
  <c r="L327" i="1"/>
  <c r="M327" i="1"/>
  <c r="N327" i="1"/>
  <c r="L328" i="1"/>
  <c r="M328" i="1"/>
  <c r="N328" i="1"/>
  <c r="L329" i="1"/>
  <c r="M329" i="1"/>
  <c r="N329" i="1"/>
  <c r="L330" i="1"/>
  <c r="M330" i="1"/>
  <c r="N330" i="1"/>
  <c r="L331" i="1"/>
  <c r="M331" i="1"/>
  <c r="N331" i="1"/>
  <c r="L332" i="1"/>
  <c r="M332" i="1"/>
  <c r="N332" i="1"/>
  <c r="L333" i="1"/>
  <c r="M333" i="1"/>
  <c r="N333" i="1"/>
  <c r="L334" i="1"/>
  <c r="M334" i="1"/>
  <c r="N334" i="1"/>
  <c r="L335" i="1"/>
  <c r="M335" i="1"/>
  <c r="N335" i="1"/>
  <c r="L336" i="1"/>
  <c r="M336" i="1"/>
  <c r="N336" i="1"/>
  <c r="L337" i="1"/>
  <c r="M337" i="1"/>
  <c r="N337" i="1"/>
  <c r="L338" i="1"/>
  <c r="M338" i="1"/>
  <c r="N338" i="1"/>
  <c r="L339" i="1"/>
  <c r="M339" i="1"/>
  <c r="N339" i="1"/>
  <c r="L340" i="1"/>
  <c r="M340" i="1"/>
  <c r="N340" i="1"/>
  <c r="L341" i="1"/>
  <c r="M341" i="1"/>
  <c r="N341" i="1"/>
  <c r="L342" i="1"/>
  <c r="M342" i="1"/>
  <c r="N342" i="1"/>
  <c r="L343" i="1"/>
  <c r="M343" i="1"/>
  <c r="N343" i="1"/>
  <c r="L344" i="1"/>
  <c r="M344" i="1"/>
  <c r="N344" i="1"/>
  <c r="L345" i="1"/>
  <c r="M345" i="1"/>
  <c r="N345" i="1"/>
  <c r="L346" i="1"/>
  <c r="M346" i="1"/>
  <c r="N346" i="1"/>
  <c r="L347" i="1"/>
  <c r="M347" i="1"/>
  <c r="N347" i="1"/>
  <c r="L348" i="1"/>
  <c r="M348" i="1"/>
  <c r="N348" i="1"/>
  <c r="L349" i="1"/>
  <c r="M349" i="1"/>
  <c r="N349" i="1"/>
  <c r="L350" i="1"/>
  <c r="M350" i="1"/>
  <c r="N350" i="1"/>
  <c r="L351" i="1"/>
  <c r="M351" i="1"/>
  <c r="N351" i="1"/>
  <c r="L352" i="1"/>
  <c r="M352" i="1"/>
  <c r="N352" i="1"/>
  <c r="L353" i="1"/>
  <c r="M353" i="1"/>
  <c r="N353" i="1"/>
  <c r="L354" i="1"/>
  <c r="M354" i="1"/>
  <c r="N354" i="1"/>
  <c r="L355" i="1"/>
  <c r="M355" i="1"/>
  <c r="N355" i="1"/>
  <c r="L356" i="1"/>
  <c r="M356" i="1"/>
  <c r="N356" i="1"/>
  <c r="L357" i="1"/>
  <c r="M357" i="1"/>
  <c r="N357" i="1"/>
  <c r="L358" i="1"/>
  <c r="M358" i="1"/>
  <c r="N358" i="1"/>
  <c r="L359" i="1"/>
  <c r="M359" i="1"/>
  <c r="N359" i="1"/>
  <c r="L360" i="1"/>
  <c r="M360" i="1"/>
  <c r="N360" i="1"/>
  <c r="L361" i="1"/>
  <c r="M361" i="1"/>
  <c r="N361" i="1"/>
  <c r="L362" i="1"/>
  <c r="M362" i="1"/>
  <c r="N362" i="1"/>
  <c r="L363" i="1"/>
  <c r="M363" i="1"/>
  <c r="N363" i="1"/>
  <c r="L364" i="1"/>
  <c r="M364" i="1"/>
  <c r="N364" i="1"/>
  <c r="L365" i="1"/>
  <c r="M365" i="1"/>
  <c r="N365" i="1"/>
  <c r="L366" i="1"/>
  <c r="M366" i="1"/>
  <c r="N366" i="1"/>
  <c r="L367" i="1"/>
  <c r="M367" i="1"/>
  <c r="N367" i="1"/>
  <c r="L368" i="1"/>
  <c r="M368" i="1"/>
  <c r="N368" i="1"/>
  <c r="L369" i="1"/>
  <c r="M369" i="1"/>
  <c r="N369" i="1"/>
  <c r="L370" i="1"/>
  <c r="M370" i="1"/>
  <c r="N370" i="1"/>
  <c r="L371" i="1"/>
  <c r="M371" i="1"/>
  <c r="N371" i="1"/>
  <c r="L372" i="1"/>
  <c r="M372" i="1"/>
  <c r="N372" i="1"/>
  <c r="L373" i="1"/>
  <c r="M373" i="1"/>
  <c r="N373" i="1"/>
  <c r="L374" i="1"/>
  <c r="M374" i="1"/>
  <c r="N374" i="1"/>
  <c r="L375" i="1"/>
  <c r="M375" i="1"/>
  <c r="N375" i="1"/>
  <c r="L376" i="1"/>
  <c r="M376" i="1"/>
  <c r="N376" i="1"/>
  <c r="L377" i="1"/>
  <c r="M377" i="1"/>
  <c r="N377" i="1"/>
  <c r="L378" i="1"/>
  <c r="M378" i="1"/>
  <c r="N378" i="1"/>
  <c r="L379" i="1"/>
  <c r="M379" i="1"/>
  <c r="N379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6" i="1"/>
  <c r="M386" i="1"/>
  <c r="N386" i="1"/>
  <c r="L387" i="1"/>
  <c r="M387" i="1"/>
  <c r="N387" i="1"/>
  <c r="L388" i="1"/>
  <c r="M388" i="1"/>
  <c r="N388" i="1"/>
  <c r="L389" i="1"/>
  <c r="M389" i="1"/>
  <c r="N389" i="1"/>
  <c r="L390" i="1"/>
  <c r="M390" i="1"/>
  <c r="N390" i="1"/>
  <c r="L391" i="1"/>
  <c r="M391" i="1"/>
  <c r="N391" i="1"/>
  <c r="L392" i="1"/>
  <c r="M392" i="1"/>
  <c r="N392" i="1"/>
  <c r="L393" i="1"/>
  <c r="M393" i="1"/>
  <c r="N393" i="1"/>
  <c r="L394" i="1"/>
  <c r="M394" i="1"/>
  <c r="N394" i="1"/>
  <c r="L395" i="1"/>
  <c r="M395" i="1"/>
  <c r="N395" i="1"/>
  <c r="L396" i="1"/>
  <c r="M396" i="1"/>
  <c r="N396" i="1"/>
  <c r="L397" i="1"/>
  <c r="M397" i="1"/>
  <c r="N397" i="1"/>
  <c r="L398" i="1"/>
  <c r="M398" i="1"/>
  <c r="N398" i="1"/>
  <c r="L399" i="1"/>
  <c r="M399" i="1"/>
  <c r="N399" i="1"/>
  <c r="L400" i="1"/>
  <c r="M400" i="1"/>
  <c r="N400" i="1"/>
  <c r="L401" i="1"/>
  <c r="M401" i="1"/>
  <c r="N401" i="1"/>
  <c r="L402" i="1"/>
  <c r="M402" i="1"/>
  <c r="N402" i="1"/>
  <c r="L403" i="1"/>
  <c r="M403" i="1"/>
  <c r="N403" i="1"/>
  <c r="L404" i="1"/>
  <c r="M404" i="1"/>
  <c r="N404" i="1"/>
  <c r="L405" i="1"/>
  <c r="M405" i="1"/>
  <c r="N405" i="1"/>
  <c r="L406" i="1"/>
  <c r="M406" i="1"/>
  <c r="N406" i="1"/>
  <c r="L407" i="1"/>
  <c r="M407" i="1"/>
  <c r="N407" i="1"/>
  <c r="L408" i="1"/>
  <c r="M408" i="1"/>
  <c r="N408" i="1"/>
  <c r="L409" i="1"/>
  <c r="M409" i="1"/>
  <c r="N409" i="1"/>
  <c r="L410" i="1"/>
  <c r="M410" i="1"/>
  <c r="N410" i="1"/>
  <c r="L411" i="1"/>
  <c r="M411" i="1"/>
  <c r="N411" i="1"/>
  <c r="L412" i="1"/>
  <c r="M412" i="1"/>
  <c r="N412" i="1"/>
  <c r="L413" i="1"/>
  <c r="M413" i="1"/>
  <c r="N413" i="1"/>
  <c r="L414" i="1"/>
  <c r="M414" i="1"/>
  <c r="N414" i="1"/>
  <c r="L415" i="1"/>
  <c r="M415" i="1"/>
  <c r="N415" i="1"/>
  <c r="L416" i="1"/>
  <c r="M416" i="1"/>
  <c r="N416" i="1"/>
  <c r="L417" i="1"/>
  <c r="M417" i="1"/>
  <c r="N417" i="1"/>
  <c r="L418" i="1"/>
  <c r="M418" i="1"/>
  <c r="N418" i="1"/>
  <c r="L419" i="1"/>
  <c r="M419" i="1"/>
  <c r="N419" i="1"/>
  <c r="L420" i="1"/>
  <c r="M420" i="1"/>
  <c r="N420" i="1"/>
  <c r="L421" i="1"/>
  <c r="M421" i="1"/>
  <c r="N421" i="1"/>
  <c r="L422" i="1"/>
  <c r="M422" i="1"/>
  <c r="N422" i="1"/>
  <c r="L423" i="1"/>
  <c r="M423" i="1"/>
  <c r="N423" i="1"/>
  <c r="L424" i="1"/>
  <c r="M424" i="1"/>
  <c r="N424" i="1"/>
  <c r="L425" i="1"/>
  <c r="M425" i="1"/>
  <c r="N425" i="1"/>
  <c r="L426" i="1"/>
  <c r="M426" i="1"/>
  <c r="N426" i="1"/>
  <c r="L427" i="1"/>
  <c r="M427" i="1"/>
  <c r="N427" i="1"/>
  <c r="L428" i="1"/>
  <c r="M428" i="1"/>
  <c r="N428" i="1"/>
  <c r="L429" i="1"/>
  <c r="M429" i="1"/>
  <c r="N429" i="1"/>
  <c r="L430" i="1"/>
  <c r="M430" i="1"/>
  <c r="N430" i="1"/>
  <c r="L431" i="1"/>
  <c r="M431" i="1"/>
  <c r="N431" i="1"/>
  <c r="L432" i="1"/>
  <c r="M432" i="1"/>
  <c r="N432" i="1"/>
  <c r="L433" i="1"/>
  <c r="M433" i="1"/>
  <c r="N433" i="1"/>
  <c r="L434" i="1"/>
  <c r="M434" i="1"/>
  <c r="N434" i="1"/>
  <c r="L435" i="1"/>
  <c r="M435" i="1"/>
  <c r="N435" i="1"/>
  <c r="L436" i="1"/>
  <c r="M436" i="1"/>
  <c r="N436" i="1"/>
  <c r="L437" i="1"/>
  <c r="M437" i="1"/>
  <c r="N437" i="1"/>
  <c r="L438" i="1"/>
  <c r="M438" i="1"/>
  <c r="N438" i="1"/>
  <c r="L439" i="1"/>
  <c r="M439" i="1"/>
  <c r="N439" i="1"/>
  <c r="L440" i="1"/>
  <c r="M440" i="1"/>
  <c r="N440" i="1"/>
  <c r="L441" i="1"/>
  <c r="M441" i="1"/>
  <c r="N441" i="1"/>
  <c r="L442" i="1"/>
  <c r="M442" i="1"/>
  <c r="N442" i="1"/>
  <c r="L443" i="1"/>
  <c r="M443" i="1"/>
  <c r="N443" i="1"/>
  <c r="L444" i="1"/>
  <c r="M444" i="1"/>
  <c r="N444" i="1"/>
  <c r="L445" i="1"/>
  <c r="M445" i="1"/>
  <c r="N445" i="1"/>
  <c r="L446" i="1"/>
  <c r="M446" i="1"/>
  <c r="N446" i="1"/>
  <c r="L447" i="1"/>
  <c r="M447" i="1"/>
  <c r="N447" i="1"/>
  <c r="L448" i="1"/>
  <c r="M448" i="1"/>
  <c r="N448" i="1"/>
  <c r="L449" i="1"/>
  <c r="M449" i="1"/>
  <c r="N449" i="1"/>
  <c r="L450" i="1"/>
  <c r="M450" i="1"/>
  <c r="N450" i="1"/>
  <c r="L451" i="1"/>
  <c r="M451" i="1"/>
  <c r="N451" i="1"/>
  <c r="L452" i="1"/>
  <c r="M452" i="1"/>
  <c r="N452" i="1"/>
  <c r="L453" i="1"/>
  <c r="M453" i="1"/>
  <c r="N453" i="1"/>
  <c r="L454" i="1"/>
  <c r="M454" i="1"/>
  <c r="N454" i="1"/>
  <c r="L455" i="1"/>
  <c r="M455" i="1"/>
  <c r="N455" i="1"/>
  <c r="L456" i="1"/>
  <c r="M456" i="1"/>
  <c r="N456" i="1"/>
  <c r="L457" i="1"/>
  <c r="M457" i="1"/>
  <c r="N457" i="1"/>
  <c r="L458" i="1"/>
  <c r="M458" i="1"/>
  <c r="N458" i="1"/>
  <c r="L459" i="1"/>
  <c r="M459" i="1"/>
  <c r="N459" i="1"/>
  <c r="L460" i="1"/>
  <c r="M460" i="1"/>
  <c r="N460" i="1"/>
  <c r="L461" i="1"/>
  <c r="M461" i="1"/>
  <c r="N461" i="1"/>
  <c r="L462" i="1"/>
  <c r="M462" i="1"/>
  <c r="N462" i="1"/>
  <c r="L463" i="1"/>
  <c r="M463" i="1"/>
  <c r="N463" i="1"/>
  <c r="L464" i="1"/>
  <c r="M464" i="1"/>
  <c r="N464" i="1"/>
  <c r="L465" i="1"/>
  <c r="M465" i="1"/>
  <c r="N465" i="1"/>
  <c r="L466" i="1"/>
  <c r="M466" i="1"/>
  <c r="N466" i="1"/>
  <c r="L467" i="1"/>
  <c r="M467" i="1"/>
  <c r="N467" i="1"/>
  <c r="L468" i="1"/>
  <c r="M468" i="1"/>
  <c r="N468" i="1"/>
  <c r="L469" i="1"/>
  <c r="M469" i="1"/>
  <c r="N469" i="1"/>
  <c r="L470" i="1"/>
  <c r="M470" i="1"/>
  <c r="N470" i="1"/>
  <c r="L471" i="1"/>
  <c r="M471" i="1"/>
  <c r="N471" i="1"/>
  <c r="L472" i="1"/>
  <c r="M472" i="1"/>
  <c r="N472" i="1"/>
  <c r="L473" i="1"/>
  <c r="M473" i="1"/>
  <c r="N473" i="1"/>
  <c r="L474" i="1"/>
  <c r="M474" i="1"/>
  <c r="N474" i="1"/>
  <c r="L475" i="1"/>
  <c r="M475" i="1"/>
  <c r="N475" i="1"/>
  <c r="L476" i="1"/>
  <c r="M476" i="1"/>
  <c r="N476" i="1"/>
  <c r="L477" i="1"/>
  <c r="M477" i="1"/>
  <c r="N477" i="1"/>
  <c r="L478" i="1"/>
  <c r="M478" i="1"/>
  <c r="N478" i="1"/>
  <c r="L479" i="1"/>
  <c r="M479" i="1"/>
  <c r="N479" i="1"/>
  <c r="L480" i="1"/>
  <c r="M480" i="1"/>
  <c r="N480" i="1"/>
  <c r="L481" i="1"/>
  <c r="M481" i="1"/>
  <c r="N481" i="1"/>
  <c r="L482" i="1"/>
  <c r="M482" i="1"/>
  <c r="N482" i="1"/>
  <c r="L483" i="1"/>
  <c r="M483" i="1"/>
  <c r="N483" i="1"/>
  <c r="L484" i="1"/>
  <c r="M484" i="1"/>
  <c r="N484" i="1"/>
  <c r="L485" i="1"/>
  <c r="M485" i="1"/>
  <c r="N485" i="1"/>
  <c r="L486" i="1"/>
  <c r="M486" i="1"/>
  <c r="N486" i="1"/>
  <c r="L487" i="1"/>
  <c r="M487" i="1"/>
  <c r="N487" i="1"/>
  <c r="L488" i="1"/>
  <c r="M488" i="1"/>
  <c r="N488" i="1"/>
  <c r="L489" i="1"/>
  <c r="M489" i="1"/>
  <c r="N489" i="1"/>
  <c r="L490" i="1"/>
  <c r="M490" i="1"/>
  <c r="N490" i="1"/>
  <c r="L491" i="1"/>
  <c r="M491" i="1"/>
  <c r="N491" i="1"/>
  <c r="L492" i="1"/>
  <c r="M492" i="1"/>
  <c r="N492" i="1"/>
  <c r="L493" i="1"/>
  <c r="M493" i="1"/>
  <c r="N493" i="1"/>
  <c r="L494" i="1"/>
  <c r="M494" i="1"/>
  <c r="N494" i="1"/>
  <c r="L495" i="1"/>
  <c r="M495" i="1"/>
  <c r="N495" i="1"/>
  <c r="L496" i="1"/>
  <c r="M496" i="1"/>
  <c r="N496" i="1"/>
  <c r="L497" i="1"/>
  <c r="M497" i="1"/>
  <c r="N497" i="1"/>
  <c r="L498" i="1"/>
  <c r="M498" i="1"/>
  <c r="N498" i="1"/>
  <c r="L499" i="1"/>
  <c r="M499" i="1"/>
  <c r="N499" i="1"/>
  <c r="L500" i="1"/>
  <c r="M500" i="1"/>
  <c r="N500" i="1"/>
  <c r="L501" i="1"/>
  <c r="M501" i="1"/>
  <c r="N501" i="1"/>
  <c r="L502" i="1"/>
  <c r="M502" i="1"/>
  <c r="N502" i="1"/>
  <c r="L503" i="1"/>
  <c r="M503" i="1"/>
  <c r="N503" i="1"/>
  <c r="L504" i="1"/>
  <c r="M504" i="1"/>
  <c r="N504" i="1"/>
  <c r="L505" i="1"/>
  <c r="M505" i="1"/>
  <c r="N505" i="1"/>
  <c r="L506" i="1"/>
  <c r="M506" i="1"/>
  <c r="N506" i="1"/>
  <c r="L507" i="1"/>
  <c r="M507" i="1"/>
  <c r="N507" i="1"/>
  <c r="L508" i="1"/>
  <c r="M508" i="1"/>
  <c r="N508" i="1"/>
  <c r="L509" i="1"/>
  <c r="M509" i="1"/>
  <c r="N509" i="1"/>
  <c r="L510" i="1"/>
  <c r="M510" i="1"/>
  <c r="N510" i="1"/>
  <c r="L511" i="1"/>
  <c r="M511" i="1"/>
  <c r="N511" i="1"/>
  <c r="L512" i="1"/>
  <c r="M512" i="1"/>
  <c r="N512" i="1"/>
  <c r="L513" i="1"/>
  <c r="M513" i="1"/>
  <c r="N513" i="1"/>
  <c r="L514" i="1"/>
  <c r="M514" i="1"/>
  <c r="N514" i="1"/>
  <c r="L515" i="1"/>
  <c r="M515" i="1"/>
  <c r="N515" i="1"/>
  <c r="L516" i="1"/>
  <c r="M516" i="1"/>
  <c r="N516" i="1"/>
  <c r="L517" i="1"/>
  <c r="M517" i="1"/>
  <c r="N517" i="1"/>
  <c r="L518" i="1"/>
  <c r="M518" i="1"/>
  <c r="N518" i="1"/>
  <c r="L519" i="1"/>
  <c r="M519" i="1"/>
  <c r="N519" i="1"/>
  <c r="L520" i="1"/>
  <c r="M520" i="1"/>
  <c r="N520" i="1"/>
  <c r="L521" i="1"/>
  <c r="M521" i="1"/>
  <c r="N521" i="1"/>
  <c r="L522" i="1"/>
  <c r="M522" i="1"/>
  <c r="N522" i="1"/>
  <c r="L523" i="1"/>
  <c r="M523" i="1"/>
  <c r="N523" i="1"/>
  <c r="L524" i="1"/>
  <c r="M524" i="1"/>
  <c r="N524" i="1"/>
  <c r="L525" i="1"/>
  <c r="M525" i="1"/>
  <c r="N525" i="1"/>
  <c r="L526" i="1"/>
  <c r="M526" i="1"/>
  <c r="N526" i="1"/>
  <c r="L527" i="1"/>
  <c r="M527" i="1"/>
  <c r="N527" i="1"/>
  <c r="L528" i="1"/>
  <c r="M528" i="1"/>
  <c r="N528" i="1"/>
  <c r="L529" i="1"/>
  <c r="M529" i="1"/>
  <c r="N529" i="1"/>
  <c r="L530" i="1"/>
  <c r="M530" i="1"/>
  <c r="N530" i="1"/>
  <c r="L531" i="1"/>
  <c r="M531" i="1"/>
  <c r="N531" i="1"/>
  <c r="L532" i="1"/>
  <c r="M532" i="1"/>
  <c r="N532" i="1"/>
  <c r="L533" i="1"/>
  <c r="M533" i="1"/>
  <c r="N533" i="1"/>
  <c r="L534" i="1"/>
  <c r="M534" i="1"/>
  <c r="N534" i="1"/>
  <c r="L535" i="1"/>
  <c r="M535" i="1"/>
  <c r="N535" i="1"/>
  <c r="L536" i="1"/>
  <c r="M536" i="1"/>
  <c r="N536" i="1"/>
  <c r="L537" i="1"/>
  <c r="M537" i="1"/>
  <c r="N537" i="1"/>
  <c r="L538" i="1"/>
  <c r="M538" i="1"/>
  <c r="N538" i="1"/>
  <c r="L539" i="1"/>
  <c r="M539" i="1"/>
  <c r="N539" i="1"/>
  <c r="L540" i="1"/>
  <c r="M540" i="1"/>
  <c r="N540" i="1"/>
  <c r="L541" i="1"/>
  <c r="M541" i="1"/>
  <c r="N541" i="1"/>
  <c r="L542" i="1"/>
  <c r="M542" i="1"/>
  <c r="N542" i="1"/>
  <c r="L543" i="1"/>
  <c r="M543" i="1"/>
  <c r="N543" i="1"/>
  <c r="L544" i="1"/>
  <c r="M544" i="1"/>
  <c r="N544" i="1"/>
  <c r="L545" i="1"/>
  <c r="M545" i="1"/>
  <c r="N545" i="1"/>
  <c r="L546" i="1"/>
  <c r="M546" i="1"/>
  <c r="N546" i="1"/>
  <c r="L547" i="1"/>
  <c r="M547" i="1"/>
  <c r="N547" i="1"/>
  <c r="L548" i="1"/>
  <c r="M548" i="1"/>
  <c r="N548" i="1"/>
  <c r="L549" i="1"/>
  <c r="M549" i="1"/>
  <c r="N549" i="1"/>
  <c r="L550" i="1"/>
  <c r="M550" i="1"/>
  <c r="N550" i="1"/>
  <c r="L551" i="1"/>
  <c r="M551" i="1"/>
  <c r="N551" i="1"/>
  <c r="L552" i="1"/>
  <c r="M552" i="1"/>
  <c r="N552" i="1"/>
  <c r="L553" i="1"/>
  <c r="M553" i="1"/>
  <c r="N553" i="1"/>
  <c r="L554" i="1"/>
  <c r="M554" i="1"/>
  <c r="N554" i="1"/>
  <c r="L555" i="1"/>
  <c r="M555" i="1"/>
  <c r="N555" i="1"/>
  <c r="L556" i="1"/>
  <c r="M556" i="1"/>
  <c r="N556" i="1"/>
  <c r="L557" i="1"/>
  <c r="M557" i="1"/>
  <c r="N557" i="1"/>
  <c r="L558" i="1"/>
  <c r="M558" i="1"/>
  <c r="N558" i="1"/>
  <c r="L559" i="1"/>
  <c r="M559" i="1"/>
  <c r="N559" i="1"/>
  <c r="L560" i="1"/>
  <c r="M560" i="1"/>
  <c r="N560" i="1"/>
  <c r="L561" i="1"/>
  <c r="M561" i="1"/>
  <c r="N561" i="1"/>
  <c r="L562" i="1"/>
  <c r="M562" i="1"/>
  <c r="N562" i="1"/>
  <c r="L563" i="1"/>
  <c r="M563" i="1"/>
  <c r="N563" i="1"/>
  <c r="L564" i="1"/>
  <c r="M564" i="1"/>
  <c r="N564" i="1"/>
  <c r="L565" i="1"/>
  <c r="M565" i="1"/>
  <c r="N565" i="1"/>
  <c r="L566" i="1"/>
  <c r="M566" i="1"/>
  <c r="N566" i="1"/>
  <c r="L567" i="1"/>
  <c r="M567" i="1"/>
  <c r="N567" i="1"/>
  <c r="L568" i="1"/>
  <c r="M568" i="1"/>
  <c r="N568" i="1"/>
  <c r="L569" i="1"/>
  <c r="M569" i="1"/>
  <c r="N569" i="1"/>
  <c r="L570" i="1"/>
  <c r="M570" i="1"/>
  <c r="N570" i="1"/>
  <c r="L571" i="1"/>
  <c r="M571" i="1"/>
  <c r="N571" i="1"/>
  <c r="L572" i="1"/>
  <c r="M572" i="1"/>
  <c r="N572" i="1"/>
  <c r="L573" i="1"/>
  <c r="M573" i="1"/>
  <c r="N573" i="1"/>
  <c r="L574" i="1"/>
  <c r="M574" i="1"/>
  <c r="N574" i="1"/>
  <c r="L575" i="1"/>
  <c r="M575" i="1"/>
  <c r="N575" i="1"/>
  <c r="L576" i="1"/>
  <c r="M576" i="1"/>
  <c r="N576" i="1"/>
  <c r="L577" i="1"/>
  <c r="M577" i="1"/>
  <c r="N577" i="1"/>
  <c r="L578" i="1"/>
  <c r="M578" i="1"/>
  <c r="N578" i="1"/>
  <c r="L579" i="1"/>
  <c r="M579" i="1"/>
  <c r="N579" i="1"/>
  <c r="L580" i="1"/>
  <c r="M580" i="1"/>
  <c r="N580" i="1"/>
  <c r="L581" i="1"/>
  <c r="M581" i="1"/>
  <c r="N581" i="1"/>
  <c r="L582" i="1"/>
  <c r="M582" i="1"/>
  <c r="N582" i="1"/>
  <c r="L583" i="1"/>
  <c r="M583" i="1"/>
  <c r="N583" i="1"/>
  <c r="L584" i="1"/>
  <c r="M584" i="1"/>
  <c r="N584" i="1"/>
  <c r="L585" i="1"/>
  <c r="M585" i="1"/>
  <c r="N585" i="1"/>
  <c r="L586" i="1"/>
  <c r="M586" i="1"/>
  <c r="N586" i="1"/>
  <c r="L587" i="1"/>
  <c r="M587" i="1"/>
  <c r="N587" i="1"/>
  <c r="L588" i="1"/>
  <c r="M588" i="1"/>
  <c r="N588" i="1"/>
  <c r="L589" i="1"/>
  <c r="M589" i="1"/>
  <c r="N589" i="1"/>
  <c r="L590" i="1"/>
  <c r="M590" i="1"/>
  <c r="N590" i="1"/>
  <c r="L591" i="1"/>
  <c r="M591" i="1"/>
  <c r="N591" i="1"/>
  <c r="L592" i="1"/>
  <c r="M592" i="1"/>
  <c r="N592" i="1"/>
  <c r="L593" i="1"/>
  <c r="M593" i="1"/>
  <c r="N593" i="1"/>
  <c r="L594" i="1"/>
  <c r="M594" i="1"/>
  <c r="N594" i="1"/>
  <c r="L595" i="1"/>
  <c r="M595" i="1"/>
  <c r="N595" i="1"/>
  <c r="L596" i="1"/>
  <c r="M596" i="1"/>
  <c r="N596" i="1"/>
  <c r="L597" i="1"/>
  <c r="M597" i="1"/>
  <c r="N597" i="1"/>
  <c r="L598" i="1"/>
  <c r="M598" i="1"/>
  <c r="N598" i="1"/>
  <c r="L599" i="1"/>
  <c r="M599" i="1"/>
  <c r="N599" i="1"/>
  <c r="L600" i="1"/>
  <c r="M600" i="1"/>
  <c r="N600" i="1"/>
  <c r="L601" i="1"/>
  <c r="M601" i="1"/>
  <c r="N601" i="1"/>
  <c r="L602" i="1"/>
  <c r="M602" i="1"/>
  <c r="N602" i="1"/>
  <c r="L603" i="1"/>
  <c r="M603" i="1"/>
  <c r="N603" i="1"/>
  <c r="L604" i="1"/>
  <c r="M604" i="1"/>
  <c r="N604" i="1"/>
  <c r="L605" i="1"/>
  <c r="M605" i="1"/>
  <c r="N605" i="1"/>
  <c r="L606" i="1"/>
  <c r="M606" i="1"/>
  <c r="N606" i="1"/>
  <c r="L607" i="1"/>
  <c r="M607" i="1"/>
  <c r="N607" i="1"/>
  <c r="L608" i="1"/>
  <c r="M608" i="1"/>
  <c r="N608" i="1"/>
  <c r="L609" i="1"/>
  <c r="M609" i="1"/>
  <c r="N609" i="1"/>
  <c r="L610" i="1"/>
  <c r="M610" i="1"/>
  <c r="N610" i="1"/>
  <c r="L611" i="1"/>
  <c r="M611" i="1"/>
  <c r="N611" i="1"/>
  <c r="L612" i="1"/>
  <c r="M612" i="1"/>
  <c r="N612" i="1"/>
  <c r="L613" i="1"/>
  <c r="M613" i="1"/>
  <c r="N613" i="1"/>
  <c r="L614" i="1"/>
  <c r="M614" i="1"/>
  <c r="N614" i="1"/>
  <c r="L615" i="1"/>
  <c r="M615" i="1"/>
  <c r="N615" i="1"/>
  <c r="L616" i="1"/>
  <c r="M616" i="1"/>
  <c r="N616" i="1"/>
  <c r="L617" i="1"/>
  <c r="M617" i="1"/>
  <c r="N617" i="1"/>
  <c r="L618" i="1"/>
  <c r="M618" i="1"/>
  <c r="N618" i="1"/>
  <c r="L619" i="1"/>
  <c r="M619" i="1"/>
  <c r="N619" i="1"/>
  <c r="L620" i="1"/>
  <c r="M620" i="1"/>
  <c r="N620" i="1"/>
  <c r="L621" i="1"/>
  <c r="M621" i="1"/>
  <c r="N621" i="1"/>
  <c r="L622" i="1"/>
  <c r="M622" i="1"/>
  <c r="N622" i="1"/>
  <c r="L623" i="1"/>
  <c r="M623" i="1"/>
  <c r="N623" i="1"/>
  <c r="L624" i="1"/>
  <c r="M624" i="1"/>
  <c r="N624" i="1"/>
  <c r="L625" i="1"/>
  <c r="M625" i="1"/>
  <c r="N625" i="1"/>
  <c r="L626" i="1"/>
  <c r="M626" i="1"/>
  <c r="N626" i="1"/>
  <c r="L627" i="1"/>
  <c r="M627" i="1"/>
  <c r="N627" i="1"/>
  <c r="L628" i="1"/>
  <c r="M628" i="1"/>
  <c r="N628" i="1"/>
  <c r="L629" i="1"/>
  <c r="M629" i="1"/>
  <c r="N629" i="1"/>
  <c r="L630" i="1"/>
  <c r="M630" i="1"/>
  <c r="N630" i="1"/>
  <c r="L631" i="1"/>
  <c r="M631" i="1"/>
  <c r="N631" i="1"/>
  <c r="L632" i="1"/>
  <c r="M632" i="1"/>
  <c r="N632" i="1"/>
  <c r="L633" i="1"/>
  <c r="M633" i="1"/>
  <c r="N633" i="1"/>
  <c r="L634" i="1"/>
  <c r="M634" i="1"/>
  <c r="N634" i="1"/>
  <c r="L635" i="1"/>
  <c r="M635" i="1"/>
  <c r="N635" i="1"/>
  <c r="L636" i="1"/>
  <c r="M636" i="1"/>
  <c r="N636" i="1"/>
  <c r="L637" i="1"/>
  <c r="M637" i="1"/>
  <c r="N637" i="1"/>
  <c r="L638" i="1"/>
  <c r="M638" i="1"/>
  <c r="N638" i="1"/>
  <c r="L639" i="1"/>
  <c r="M639" i="1"/>
  <c r="N639" i="1"/>
  <c r="L640" i="1"/>
  <c r="M640" i="1"/>
  <c r="N640" i="1"/>
  <c r="L641" i="1"/>
  <c r="M641" i="1"/>
  <c r="N641" i="1"/>
  <c r="L642" i="1"/>
  <c r="M642" i="1"/>
  <c r="N642" i="1"/>
  <c r="L643" i="1"/>
  <c r="M643" i="1"/>
  <c r="N643" i="1"/>
  <c r="L644" i="1"/>
  <c r="M644" i="1"/>
  <c r="N644" i="1"/>
  <c r="L645" i="1"/>
  <c r="M645" i="1"/>
  <c r="N645" i="1"/>
  <c r="L646" i="1"/>
  <c r="M646" i="1"/>
  <c r="N646" i="1"/>
  <c r="L647" i="1"/>
  <c r="M647" i="1"/>
  <c r="N647" i="1"/>
  <c r="L648" i="1"/>
  <c r="M648" i="1"/>
  <c r="N648" i="1"/>
  <c r="L649" i="1"/>
  <c r="M649" i="1"/>
  <c r="N649" i="1"/>
  <c r="L650" i="1"/>
  <c r="M650" i="1"/>
  <c r="N650" i="1"/>
  <c r="L651" i="1"/>
  <c r="M651" i="1"/>
  <c r="N651" i="1"/>
  <c r="L652" i="1"/>
  <c r="M652" i="1"/>
  <c r="N652" i="1"/>
  <c r="L653" i="1"/>
  <c r="M653" i="1"/>
  <c r="N653" i="1"/>
  <c r="L654" i="1"/>
  <c r="M654" i="1"/>
  <c r="N654" i="1"/>
  <c r="L655" i="1"/>
  <c r="M655" i="1"/>
  <c r="N655" i="1"/>
  <c r="L656" i="1"/>
  <c r="M656" i="1"/>
  <c r="N656" i="1"/>
  <c r="L657" i="1"/>
  <c r="M657" i="1"/>
  <c r="N657" i="1"/>
  <c r="L658" i="1"/>
  <c r="M658" i="1"/>
  <c r="N658" i="1"/>
  <c r="L659" i="1"/>
  <c r="M659" i="1"/>
  <c r="N659" i="1"/>
  <c r="L660" i="1"/>
  <c r="M660" i="1"/>
  <c r="N660" i="1"/>
  <c r="L661" i="1"/>
  <c r="M661" i="1"/>
  <c r="N661" i="1"/>
  <c r="L662" i="1"/>
  <c r="M662" i="1"/>
  <c r="N662" i="1"/>
  <c r="L663" i="1"/>
  <c r="M663" i="1"/>
  <c r="N663" i="1"/>
  <c r="L664" i="1"/>
  <c r="M664" i="1"/>
  <c r="N664" i="1"/>
  <c r="L665" i="1"/>
  <c r="M665" i="1"/>
  <c r="N665" i="1"/>
  <c r="L666" i="1"/>
  <c r="M666" i="1"/>
  <c r="N666" i="1"/>
  <c r="L667" i="1"/>
  <c r="M667" i="1"/>
  <c r="N667" i="1"/>
  <c r="L668" i="1"/>
  <c r="M668" i="1"/>
  <c r="N668" i="1"/>
  <c r="L669" i="1"/>
  <c r="M669" i="1"/>
  <c r="N669" i="1"/>
  <c r="L670" i="1"/>
  <c r="M670" i="1"/>
  <c r="N670" i="1"/>
  <c r="L671" i="1"/>
  <c r="M671" i="1"/>
  <c r="N671" i="1"/>
  <c r="L672" i="1"/>
  <c r="M672" i="1"/>
  <c r="N672" i="1"/>
  <c r="L673" i="1"/>
  <c r="M673" i="1"/>
  <c r="N673" i="1"/>
  <c r="L674" i="1"/>
  <c r="M674" i="1"/>
  <c r="N674" i="1"/>
  <c r="L675" i="1"/>
  <c r="M675" i="1"/>
  <c r="N675" i="1"/>
  <c r="L676" i="1"/>
  <c r="M676" i="1"/>
  <c r="N676" i="1"/>
  <c r="L677" i="1"/>
  <c r="M677" i="1"/>
  <c r="N677" i="1"/>
  <c r="L678" i="1"/>
  <c r="M678" i="1"/>
  <c r="N678" i="1"/>
  <c r="L679" i="1"/>
  <c r="M679" i="1"/>
  <c r="N679" i="1"/>
  <c r="L680" i="1"/>
  <c r="M680" i="1"/>
  <c r="N680" i="1"/>
  <c r="L681" i="1"/>
  <c r="M681" i="1"/>
  <c r="N681" i="1"/>
  <c r="L682" i="1"/>
  <c r="M682" i="1"/>
  <c r="N682" i="1"/>
  <c r="L683" i="1"/>
  <c r="M683" i="1"/>
  <c r="N683" i="1"/>
  <c r="L684" i="1"/>
  <c r="M684" i="1"/>
  <c r="N684" i="1"/>
  <c r="L685" i="1"/>
  <c r="M685" i="1"/>
  <c r="N685" i="1"/>
  <c r="L686" i="1"/>
  <c r="M686" i="1"/>
  <c r="N686" i="1"/>
  <c r="L687" i="1"/>
  <c r="M687" i="1"/>
  <c r="N687" i="1"/>
  <c r="L688" i="1"/>
  <c r="M688" i="1"/>
  <c r="N688" i="1"/>
  <c r="L689" i="1"/>
  <c r="M689" i="1"/>
  <c r="N689" i="1"/>
  <c r="L690" i="1"/>
  <c r="M690" i="1"/>
  <c r="N690" i="1"/>
  <c r="L691" i="1"/>
  <c r="M691" i="1"/>
  <c r="N691" i="1"/>
  <c r="L692" i="1"/>
  <c r="M692" i="1"/>
  <c r="N692" i="1"/>
  <c r="L693" i="1"/>
  <c r="M693" i="1"/>
  <c r="N693" i="1"/>
  <c r="L694" i="1"/>
  <c r="M694" i="1"/>
  <c r="N694" i="1"/>
  <c r="L695" i="1"/>
  <c r="M695" i="1"/>
  <c r="N695" i="1"/>
  <c r="L696" i="1"/>
  <c r="M696" i="1"/>
  <c r="N696" i="1"/>
  <c r="L697" i="1"/>
  <c r="M697" i="1"/>
  <c r="N697" i="1"/>
  <c r="L698" i="1"/>
  <c r="M698" i="1"/>
  <c r="N698" i="1"/>
  <c r="L699" i="1"/>
  <c r="M699" i="1"/>
  <c r="N699" i="1"/>
  <c r="L700" i="1"/>
  <c r="M700" i="1"/>
  <c r="N700" i="1"/>
  <c r="L701" i="1"/>
  <c r="M701" i="1"/>
  <c r="N701" i="1"/>
  <c r="L702" i="1"/>
  <c r="M702" i="1"/>
  <c r="N702" i="1"/>
  <c r="L703" i="1"/>
  <c r="M703" i="1"/>
  <c r="N703" i="1"/>
  <c r="L704" i="1"/>
  <c r="M704" i="1"/>
  <c r="N704" i="1"/>
  <c r="L705" i="1"/>
  <c r="M705" i="1"/>
  <c r="N705" i="1"/>
  <c r="L706" i="1"/>
  <c r="M706" i="1"/>
  <c r="N706" i="1"/>
  <c r="L707" i="1"/>
  <c r="M707" i="1"/>
  <c r="N707" i="1"/>
  <c r="L708" i="1"/>
  <c r="M708" i="1"/>
  <c r="N708" i="1"/>
  <c r="L709" i="1"/>
  <c r="M709" i="1"/>
  <c r="N709" i="1"/>
  <c r="L710" i="1"/>
  <c r="M710" i="1"/>
  <c r="N710" i="1"/>
  <c r="L711" i="1"/>
  <c r="M711" i="1"/>
  <c r="N711" i="1"/>
  <c r="L712" i="1"/>
  <c r="M712" i="1"/>
  <c r="N712" i="1"/>
  <c r="L713" i="1"/>
  <c r="M713" i="1"/>
  <c r="N713" i="1"/>
  <c r="L714" i="1"/>
  <c r="M714" i="1"/>
  <c r="N714" i="1"/>
  <c r="L715" i="1"/>
  <c r="M715" i="1"/>
  <c r="N715" i="1"/>
  <c r="L716" i="1"/>
  <c r="M716" i="1"/>
  <c r="N716" i="1"/>
  <c r="L717" i="1"/>
  <c r="M717" i="1"/>
  <c r="N717" i="1"/>
  <c r="L718" i="1"/>
  <c r="M718" i="1"/>
  <c r="N718" i="1"/>
  <c r="L719" i="1"/>
  <c r="M719" i="1"/>
  <c r="N719" i="1"/>
  <c r="L720" i="1"/>
  <c r="M720" i="1"/>
  <c r="N720" i="1"/>
  <c r="L721" i="1"/>
  <c r="M721" i="1"/>
  <c r="N721" i="1"/>
  <c r="L722" i="1"/>
  <c r="M722" i="1"/>
  <c r="N722" i="1"/>
  <c r="L723" i="1"/>
  <c r="M723" i="1"/>
  <c r="N723" i="1"/>
  <c r="L724" i="1"/>
  <c r="M724" i="1"/>
  <c r="N724" i="1"/>
  <c r="L725" i="1"/>
  <c r="M725" i="1"/>
  <c r="N725" i="1"/>
  <c r="L726" i="1"/>
  <c r="M726" i="1"/>
  <c r="N726" i="1"/>
  <c r="L727" i="1"/>
  <c r="M727" i="1"/>
  <c r="N727" i="1"/>
  <c r="L728" i="1"/>
  <c r="M728" i="1"/>
  <c r="N728" i="1"/>
  <c r="L729" i="1"/>
  <c r="M729" i="1"/>
  <c r="N729" i="1"/>
  <c r="L730" i="1"/>
  <c r="M730" i="1"/>
  <c r="N730" i="1"/>
  <c r="L731" i="1"/>
  <c r="M731" i="1"/>
  <c r="N731" i="1"/>
  <c r="L732" i="1"/>
  <c r="M732" i="1"/>
  <c r="N732" i="1"/>
  <c r="L733" i="1"/>
  <c r="M733" i="1"/>
  <c r="N733" i="1"/>
  <c r="L734" i="1"/>
  <c r="M734" i="1"/>
  <c r="N734" i="1"/>
  <c r="L735" i="1"/>
  <c r="M735" i="1"/>
  <c r="N735" i="1"/>
  <c r="L736" i="1"/>
  <c r="M736" i="1"/>
  <c r="N736" i="1"/>
  <c r="L737" i="1"/>
  <c r="M737" i="1"/>
  <c r="N737" i="1"/>
  <c r="L738" i="1"/>
  <c r="M738" i="1"/>
  <c r="N738" i="1"/>
  <c r="L739" i="1"/>
  <c r="M739" i="1"/>
  <c r="N739" i="1"/>
  <c r="L740" i="1"/>
  <c r="M740" i="1"/>
  <c r="N740" i="1"/>
  <c r="L741" i="1"/>
  <c r="M741" i="1"/>
  <c r="N741" i="1"/>
  <c r="L742" i="1"/>
  <c r="M742" i="1"/>
  <c r="N742" i="1"/>
  <c r="L743" i="1"/>
  <c r="M743" i="1"/>
  <c r="N743" i="1"/>
  <c r="L744" i="1"/>
  <c r="M744" i="1"/>
  <c r="N744" i="1"/>
  <c r="L745" i="1"/>
  <c r="M745" i="1"/>
  <c r="N745" i="1"/>
  <c r="L746" i="1"/>
  <c r="M746" i="1"/>
  <c r="N746" i="1"/>
  <c r="L747" i="1"/>
  <c r="M747" i="1"/>
  <c r="N747" i="1"/>
  <c r="L748" i="1"/>
  <c r="M748" i="1"/>
  <c r="N748" i="1"/>
  <c r="L749" i="1"/>
  <c r="M749" i="1"/>
  <c r="N749" i="1"/>
  <c r="L750" i="1"/>
  <c r="M750" i="1"/>
  <c r="N750" i="1"/>
  <c r="L751" i="1"/>
  <c r="M751" i="1"/>
  <c r="N751" i="1"/>
  <c r="L752" i="1"/>
  <c r="M752" i="1"/>
  <c r="N752" i="1"/>
  <c r="L753" i="1"/>
  <c r="M753" i="1"/>
  <c r="N753" i="1"/>
  <c r="L754" i="1"/>
  <c r="M754" i="1"/>
  <c r="N754" i="1"/>
  <c r="L755" i="1"/>
  <c r="M755" i="1"/>
  <c r="N755" i="1"/>
  <c r="L756" i="1"/>
  <c r="M756" i="1"/>
  <c r="N756" i="1"/>
  <c r="L757" i="1"/>
  <c r="M757" i="1"/>
  <c r="N757" i="1"/>
  <c r="L758" i="1"/>
  <c r="M758" i="1"/>
  <c r="N758" i="1"/>
  <c r="L759" i="1"/>
  <c r="M759" i="1"/>
  <c r="N759" i="1"/>
  <c r="L760" i="1"/>
  <c r="M760" i="1"/>
  <c r="N760" i="1"/>
  <c r="L761" i="1"/>
  <c r="M761" i="1"/>
  <c r="N761" i="1"/>
  <c r="L762" i="1"/>
  <c r="M762" i="1"/>
  <c r="N762" i="1"/>
  <c r="L763" i="1"/>
  <c r="M763" i="1"/>
  <c r="N763" i="1"/>
  <c r="L764" i="1"/>
  <c r="M764" i="1"/>
  <c r="N764" i="1"/>
  <c r="L765" i="1"/>
  <c r="M765" i="1"/>
  <c r="N765" i="1"/>
  <c r="L766" i="1"/>
  <c r="M766" i="1"/>
  <c r="N766" i="1"/>
  <c r="L767" i="1"/>
  <c r="M767" i="1"/>
  <c r="N767" i="1"/>
  <c r="L768" i="1"/>
  <c r="M768" i="1"/>
  <c r="N768" i="1"/>
  <c r="L769" i="1"/>
  <c r="M769" i="1"/>
  <c r="N769" i="1"/>
  <c r="L770" i="1"/>
  <c r="M770" i="1"/>
  <c r="N770" i="1"/>
  <c r="L771" i="1"/>
  <c r="M771" i="1"/>
  <c r="N771" i="1"/>
  <c r="L772" i="1"/>
  <c r="M772" i="1"/>
  <c r="N772" i="1"/>
  <c r="L773" i="1"/>
  <c r="M773" i="1"/>
  <c r="N773" i="1"/>
  <c r="L774" i="1"/>
  <c r="M774" i="1"/>
  <c r="N774" i="1"/>
  <c r="L775" i="1"/>
  <c r="M775" i="1"/>
  <c r="N775" i="1"/>
  <c r="L776" i="1"/>
  <c r="M776" i="1"/>
  <c r="N776" i="1"/>
  <c r="L777" i="1"/>
  <c r="M777" i="1"/>
  <c r="N777" i="1"/>
  <c r="L778" i="1"/>
  <c r="M778" i="1"/>
  <c r="N778" i="1"/>
  <c r="L779" i="1"/>
  <c r="M779" i="1"/>
  <c r="N779" i="1"/>
  <c r="L780" i="1"/>
  <c r="M780" i="1"/>
  <c r="N780" i="1"/>
  <c r="L781" i="1"/>
  <c r="M781" i="1"/>
  <c r="N781" i="1"/>
  <c r="L782" i="1"/>
  <c r="M782" i="1"/>
  <c r="N782" i="1"/>
  <c r="L783" i="1"/>
  <c r="M783" i="1"/>
  <c r="N783" i="1"/>
  <c r="L784" i="1"/>
  <c r="M784" i="1"/>
  <c r="N784" i="1"/>
  <c r="L785" i="1"/>
  <c r="M785" i="1"/>
  <c r="N785" i="1"/>
  <c r="L786" i="1"/>
  <c r="M786" i="1"/>
  <c r="N786" i="1"/>
  <c r="L787" i="1"/>
  <c r="M787" i="1"/>
  <c r="N787" i="1"/>
  <c r="L788" i="1"/>
  <c r="M788" i="1"/>
  <c r="N788" i="1"/>
  <c r="L789" i="1"/>
  <c r="M789" i="1"/>
  <c r="N789" i="1"/>
  <c r="L790" i="1"/>
  <c r="M790" i="1"/>
  <c r="N790" i="1"/>
  <c r="L791" i="1"/>
  <c r="M791" i="1"/>
  <c r="N791" i="1"/>
  <c r="L792" i="1"/>
  <c r="M792" i="1"/>
  <c r="N792" i="1"/>
  <c r="L793" i="1"/>
  <c r="M793" i="1"/>
  <c r="N793" i="1"/>
  <c r="L794" i="1"/>
  <c r="M794" i="1"/>
  <c r="N794" i="1"/>
  <c r="L795" i="1"/>
  <c r="M795" i="1"/>
  <c r="N795" i="1"/>
  <c r="L796" i="1"/>
  <c r="M796" i="1"/>
  <c r="N796" i="1"/>
  <c r="L797" i="1"/>
  <c r="M797" i="1"/>
  <c r="N797" i="1"/>
  <c r="L798" i="1"/>
  <c r="M798" i="1"/>
  <c r="N798" i="1"/>
  <c r="L799" i="1"/>
  <c r="M799" i="1"/>
  <c r="N799" i="1"/>
  <c r="L800" i="1"/>
  <c r="M800" i="1"/>
  <c r="N800" i="1"/>
  <c r="L801" i="1"/>
  <c r="M801" i="1"/>
  <c r="N801" i="1"/>
  <c r="L802" i="1"/>
  <c r="M802" i="1"/>
  <c r="N802" i="1"/>
  <c r="L803" i="1"/>
  <c r="M803" i="1"/>
  <c r="N803" i="1"/>
  <c r="L804" i="1"/>
  <c r="M804" i="1"/>
  <c r="N804" i="1"/>
  <c r="L805" i="1"/>
  <c r="M805" i="1"/>
  <c r="N805" i="1"/>
  <c r="L806" i="1"/>
  <c r="M806" i="1"/>
  <c r="N806" i="1"/>
  <c r="L807" i="1"/>
  <c r="M807" i="1"/>
  <c r="N807" i="1"/>
  <c r="L808" i="1"/>
  <c r="M808" i="1"/>
  <c r="N808" i="1"/>
  <c r="L809" i="1"/>
  <c r="M809" i="1"/>
  <c r="N809" i="1"/>
  <c r="L810" i="1"/>
  <c r="M810" i="1"/>
  <c r="N810" i="1"/>
  <c r="L811" i="1"/>
  <c r="M811" i="1"/>
  <c r="N811" i="1"/>
  <c r="L812" i="1"/>
  <c r="M812" i="1"/>
  <c r="N812" i="1"/>
  <c r="L813" i="1"/>
  <c r="M813" i="1"/>
  <c r="N813" i="1"/>
  <c r="L814" i="1"/>
  <c r="M814" i="1"/>
  <c r="N814" i="1"/>
  <c r="L815" i="1"/>
  <c r="M815" i="1"/>
  <c r="N815" i="1"/>
  <c r="L816" i="1"/>
  <c r="M816" i="1"/>
  <c r="N816" i="1"/>
  <c r="L817" i="1"/>
  <c r="M817" i="1"/>
  <c r="N817" i="1"/>
  <c r="L818" i="1"/>
  <c r="M818" i="1"/>
  <c r="N818" i="1"/>
  <c r="L819" i="1"/>
  <c r="M819" i="1"/>
  <c r="N819" i="1"/>
  <c r="L820" i="1"/>
  <c r="M820" i="1"/>
  <c r="N820" i="1"/>
  <c r="L821" i="1"/>
  <c r="M821" i="1"/>
  <c r="N821" i="1"/>
  <c r="L822" i="1"/>
  <c r="M822" i="1"/>
  <c r="N822" i="1"/>
  <c r="L823" i="1"/>
  <c r="M823" i="1"/>
  <c r="N823" i="1"/>
  <c r="L824" i="1"/>
  <c r="M824" i="1"/>
  <c r="N824" i="1"/>
  <c r="L825" i="1"/>
  <c r="M825" i="1"/>
  <c r="N825" i="1"/>
  <c r="L826" i="1"/>
  <c r="M826" i="1"/>
  <c r="N826" i="1"/>
  <c r="L827" i="1"/>
  <c r="M827" i="1"/>
  <c r="N827" i="1"/>
  <c r="L828" i="1"/>
  <c r="M828" i="1"/>
  <c r="N828" i="1"/>
  <c r="L829" i="1"/>
  <c r="M829" i="1"/>
  <c r="N829" i="1"/>
  <c r="L830" i="1"/>
  <c r="M830" i="1"/>
  <c r="N830" i="1"/>
  <c r="L831" i="1"/>
  <c r="M831" i="1"/>
  <c r="N831" i="1"/>
  <c r="L832" i="1"/>
  <c r="M832" i="1"/>
  <c r="N832" i="1"/>
  <c r="L833" i="1"/>
  <c r="M833" i="1"/>
  <c r="N833" i="1"/>
  <c r="L834" i="1"/>
  <c r="M834" i="1"/>
  <c r="N834" i="1"/>
  <c r="L835" i="1"/>
  <c r="M835" i="1"/>
  <c r="N835" i="1"/>
  <c r="L836" i="1"/>
  <c r="M836" i="1"/>
  <c r="N836" i="1"/>
  <c r="L837" i="1"/>
  <c r="M837" i="1"/>
  <c r="N837" i="1"/>
  <c r="L838" i="1"/>
  <c r="M838" i="1"/>
  <c r="N838" i="1"/>
  <c r="L839" i="1"/>
  <c r="M839" i="1"/>
  <c r="N839" i="1"/>
  <c r="L840" i="1"/>
  <c r="M840" i="1"/>
  <c r="N840" i="1"/>
  <c r="L841" i="1"/>
  <c r="M841" i="1"/>
  <c r="N841" i="1"/>
  <c r="L842" i="1"/>
  <c r="M842" i="1"/>
  <c r="N842" i="1"/>
  <c r="L843" i="1"/>
  <c r="M843" i="1"/>
  <c r="N843" i="1"/>
  <c r="L844" i="1"/>
  <c r="M844" i="1"/>
  <c r="N844" i="1"/>
  <c r="L845" i="1"/>
  <c r="M845" i="1"/>
  <c r="N845" i="1"/>
  <c r="L846" i="1"/>
  <c r="M846" i="1"/>
  <c r="N846" i="1"/>
  <c r="L847" i="1"/>
  <c r="M847" i="1"/>
  <c r="N847" i="1"/>
  <c r="L848" i="1"/>
  <c r="M848" i="1"/>
  <c r="N848" i="1"/>
  <c r="L849" i="1"/>
  <c r="M849" i="1"/>
  <c r="N849" i="1"/>
  <c r="L850" i="1"/>
  <c r="M850" i="1"/>
  <c r="N850" i="1"/>
  <c r="L851" i="1"/>
  <c r="M851" i="1"/>
  <c r="N851" i="1"/>
  <c r="L852" i="1"/>
  <c r="M852" i="1"/>
  <c r="N852" i="1"/>
  <c r="L853" i="1"/>
  <c r="M853" i="1"/>
  <c r="N853" i="1"/>
  <c r="L854" i="1"/>
  <c r="M854" i="1"/>
  <c r="N854" i="1"/>
  <c r="L855" i="1"/>
  <c r="M855" i="1"/>
  <c r="N855" i="1"/>
  <c r="L856" i="1"/>
  <c r="M856" i="1"/>
  <c r="N856" i="1"/>
  <c r="L857" i="1"/>
  <c r="M857" i="1"/>
  <c r="N857" i="1"/>
  <c r="L858" i="1"/>
  <c r="M858" i="1"/>
  <c r="N858" i="1"/>
  <c r="L859" i="1"/>
  <c r="M859" i="1"/>
  <c r="N859" i="1"/>
  <c r="L860" i="1"/>
  <c r="M860" i="1"/>
  <c r="N860" i="1"/>
  <c r="L861" i="1"/>
  <c r="M861" i="1"/>
  <c r="N861" i="1"/>
  <c r="L862" i="1"/>
  <c r="M862" i="1"/>
  <c r="N862" i="1"/>
  <c r="L863" i="1"/>
  <c r="M863" i="1"/>
  <c r="N863" i="1"/>
  <c r="L864" i="1"/>
  <c r="M864" i="1"/>
  <c r="N864" i="1"/>
  <c r="L865" i="1"/>
  <c r="M865" i="1"/>
  <c r="N865" i="1"/>
  <c r="L866" i="1"/>
  <c r="M866" i="1"/>
  <c r="N866" i="1"/>
  <c r="L867" i="1"/>
  <c r="M867" i="1"/>
  <c r="N867" i="1"/>
  <c r="L868" i="1"/>
  <c r="M868" i="1"/>
  <c r="N868" i="1"/>
  <c r="L869" i="1"/>
  <c r="M869" i="1"/>
  <c r="N869" i="1"/>
  <c r="L870" i="1"/>
  <c r="M870" i="1"/>
  <c r="N870" i="1"/>
  <c r="L871" i="1"/>
  <c r="M871" i="1"/>
  <c r="N871" i="1"/>
  <c r="L872" i="1"/>
  <c r="M872" i="1"/>
  <c r="N872" i="1"/>
  <c r="L873" i="1"/>
  <c r="M873" i="1"/>
  <c r="N873" i="1"/>
  <c r="L874" i="1"/>
  <c r="M874" i="1"/>
  <c r="N874" i="1"/>
  <c r="L875" i="1"/>
  <c r="M875" i="1"/>
  <c r="N875" i="1"/>
  <c r="L876" i="1"/>
  <c r="M876" i="1"/>
  <c r="N876" i="1"/>
  <c r="L877" i="1"/>
  <c r="M877" i="1"/>
  <c r="N877" i="1"/>
  <c r="L878" i="1"/>
  <c r="M878" i="1"/>
  <c r="N878" i="1"/>
  <c r="L879" i="1"/>
  <c r="M879" i="1"/>
  <c r="N879" i="1"/>
  <c r="L880" i="1"/>
  <c r="M880" i="1"/>
  <c r="N880" i="1"/>
  <c r="L881" i="1"/>
  <c r="M881" i="1"/>
  <c r="N881" i="1"/>
  <c r="L882" i="1"/>
  <c r="M882" i="1"/>
  <c r="N882" i="1"/>
  <c r="L883" i="1"/>
  <c r="M883" i="1"/>
  <c r="N883" i="1"/>
  <c r="L884" i="1"/>
  <c r="M884" i="1"/>
  <c r="N884" i="1"/>
  <c r="L885" i="1"/>
  <c r="M885" i="1"/>
  <c r="N885" i="1"/>
  <c r="L886" i="1"/>
  <c r="M886" i="1"/>
  <c r="N886" i="1"/>
  <c r="L887" i="1"/>
  <c r="M887" i="1"/>
  <c r="N887" i="1"/>
  <c r="L888" i="1"/>
  <c r="M888" i="1"/>
  <c r="N888" i="1"/>
  <c r="L889" i="1"/>
  <c r="M889" i="1"/>
  <c r="N889" i="1"/>
  <c r="L890" i="1"/>
  <c r="M890" i="1"/>
  <c r="N890" i="1"/>
  <c r="L891" i="1"/>
  <c r="M891" i="1"/>
  <c r="N891" i="1"/>
  <c r="L892" i="1"/>
  <c r="M892" i="1"/>
  <c r="N892" i="1"/>
  <c r="L893" i="1"/>
  <c r="M893" i="1"/>
  <c r="N893" i="1"/>
  <c r="L894" i="1"/>
  <c r="M894" i="1"/>
  <c r="N894" i="1"/>
  <c r="L895" i="1"/>
  <c r="M895" i="1"/>
  <c r="N895" i="1"/>
  <c r="L896" i="1"/>
  <c r="M896" i="1"/>
  <c r="N896" i="1"/>
  <c r="L897" i="1"/>
  <c r="M897" i="1"/>
  <c r="N897" i="1"/>
  <c r="L898" i="1"/>
  <c r="M898" i="1"/>
  <c r="N898" i="1"/>
  <c r="L899" i="1"/>
  <c r="M899" i="1"/>
  <c r="N899" i="1"/>
  <c r="L900" i="1"/>
  <c r="M900" i="1"/>
  <c r="N900" i="1"/>
  <c r="L901" i="1"/>
  <c r="M901" i="1"/>
  <c r="N901" i="1"/>
  <c r="L902" i="1"/>
  <c r="M902" i="1"/>
  <c r="N902" i="1"/>
  <c r="L903" i="1"/>
  <c r="M903" i="1"/>
  <c r="N903" i="1"/>
  <c r="L904" i="1"/>
  <c r="M904" i="1"/>
  <c r="N904" i="1"/>
  <c r="L905" i="1"/>
  <c r="M905" i="1"/>
  <c r="N905" i="1"/>
  <c r="L906" i="1"/>
  <c r="M906" i="1"/>
  <c r="N906" i="1"/>
  <c r="L907" i="1"/>
  <c r="M907" i="1"/>
  <c r="N907" i="1"/>
  <c r="L908" i="1"/>
  <c r="M908" i="1"/>
  <c r="N908" i="1"/>
  <c r="L909" i="1"/>
  <c r="M909" i="1"/>
  <c r="N909" i="1"/>
  <c r="L910" i="1"/>
  <c r="M910" i="1"/>
  <c r="N910" i="1"/>
  <c r="L911" i="1"/>
  <c r="M911" i="1"/>
  <c r="N911" i="1"/>
  <c r="L912" i="1"/>
  <c r="M912" i="1"/>
  <c r="N912" i="1"/>
  <c r="L913" i="1"/>
  <c r="M913" i="1"/>
  <c r="N913" i="1"/>
  <c r="L914" i="1"/>
  <c r="M914" i="1"/>
  <c r="N914" i="1"/>
  <c r="L915" i="1"/>
  <c r="M915" i="1"/>
  <c r="N915" i="1"/>
  <c r="L916" i="1"/>
  <c r="M916" i="1"/>
  <c r="N916" i="1"/>
  <c r="L917" i="1"/>
  <c r="M917" i="1"/>
  <c r="N917" i="1"/>
  <c r="L918" i="1"/>
  <c r="M918" i="1"/>
  <c r="N918" i="1"/>
  <c r="L919" i="1"/>
  <c r="M919" i="1"/>
  <c r="N919" i="1"/>
  <c r="L920" i="1"/>
  <c r="M920" i="1"/>
  <c r="N920" i="1"/>
  <c r="L921" i="1"/>
  <c r="M921" i="1"/>
  <c r="N921" i="1"/>
  <c r="L922" i="1"/>
  <c r="M922" i="1"/>
  <c r="N922" i="1"/>
  <c r="L923" i="1"/>
  <c r="M923" i="1"/>
  <c r="N923" i="1"/>
  <c r="L924" i="1"/>
  <c r="M924" i="1"/>
  <c r="N924" i="1"/>
  <c r="L925" i="1"/>
  <c r="M925" i="1"/>
  <c r="N925" i="1"/>
  <c r="L926" i="1"/>
  <c r="M926" i="1"/>
  <c r="N926" i="1"/>
  <c r="L927" i="1"/>
  <c r="M927" i="1"/>
  <c r="N927" i="1"/>
  <c r="L928" i="1"/>
  <c r="M928" i="1"/>
  <c r="N928" i="1"/>
  <c r="L929" i="1"/>
  <c r="M929" i="1"/>
  <c r="N929" i="1"/>
  <c r="L930" i="1"/>
  <c r="M930" i="1"/>
  <c r="N930" i="1"/>
  <c r="L931" i="1"/>
  <c r="M931" i="1"/>
  <c r="N931" i="1"/>
  <c r="L932" i="1"/>
  <c r="M932" i="1"/>
  <c r="N932" i="1"/>
  <c r="L933" i="1"/>
  <c r="M933" i="1"/>
  <c r="N933" i="1"/>
  <c r="L934" i="1"/>
  <c r="M934" i="1"/>
  <c r="N934" i="1"/>
  <c r="L935" i="1"/>
  <c r="M935" i="1"/>
  <c r="N935" i="1"/>
  <c r="L936" i="1"/>
  <c r="M936" i="1"/>
  <c r="N936" i="1"/>
  <c r="L937" i="1"/>
  <c r="M937" i="1"/>
  <c r="N937" i="1"/>
  <c r="L938" i="1"/>
  <c r="M938" i="1"/>
  <c r="N938" i="1"/>
  <c r="L939" i="1"/>
  <c r="M939" i="1"/>
  <c r="N939" i="1"/>
  <c r="L940" i="1"/>
  <c r="M940" i="1"/>
  <c r="N940" i="1"/>
  <c r="L941" i="1"/>
  <c r="M941" i="1"/>
  <c r="N941" i="1"/>
  <c r="L942" i="1"/>
  <c r="M942" i="1"/>
  <c r="N942" i="1"/>
  <c r="L943" i="1"/>
  <c r="M943" i="1"/>
  <c r="N943" i="1"/>
  <c r="L944" i="1"/>
  <c r="M944" i="1"/>
  <c r="N944" i="1"/>
  <c r="L945" i="1"/>
  <c r="M945" i="1"/>
  <c r="N945" i="1"/>
  <c r="L946" i="1"/>
  <c r="M946" i="1"/>
  <c r="N946" i="1"/>
  <c r="L947" i="1"/>
  <c r="M947" i="1"/>
  <c r="N947" i="1"/>
  <c r="L948" i="1"/>
  <c r="M948" i="1"/>
  <c r="N948" i="1"/>
  <c r="L949" i="1"/>
  <c r="M949" i="1"/>
  <c r="N949" i="1"/>
  <c r="L950" i="1"/>
  <c r="M950" i="1"/>
  <c r="N950" i="1"/>
  <c r="L951" i="1"/>
  <c r="M951" i="1"/>
  <c r="N951" i="1"/>
  <c r="L952" i="1"/>
  <c r="M952" i="1"/>
  <c r="N952" i="1"/>
  <c r="L953" i="1"/>
  <c r="M953" i="1"/>
  <c r="N953" i="1"/>
  <c r="L954" i="1"/>
  <c r="M954" i="1"/>
  <c r="N954" i="1"/>
  <c r="L955" i="1"/>
  <c r="M955" i="1"/>
  <c r="N955" i="1"/>
  <c r="L956" i="1"/>
  <c r="M956" i="1"/>
  <c r="N956" i="1"/>
  <c r="L957" i="1"/>
  <c r="M957" i="1"/>
  <c r="N957" i="1"/>
  <c r="L958" i="1"/>
  <c r="M958" i="1"/>
  <c r="N958" i="1"/>
  <c r="L959" i="1"/>
  <c r="M959" i="1"/>
  <c r="N959" i="1"/>
  <c r="L960" i="1"/>
  <c r="M960" i="1"/>
  <c r="N960" i="1"/>
  <c r="L961" i="1"/>
  <c r="M961" i="1"/>
  <c r="N961" i="1"/>
  <c r="L962" i="1"/>
  <c r="M962" i="1"/>
  <c r="N962" i="1"/>
  <c r="L963" i="1"/>
  <c r="M963" i="1"/>
  <c r="N963" i="1"/>
  <c r="L964" i="1"/>
  <c r="M964" i="1"/>
  <c r="N964" i="1"/>
  <c r="L965" i="1"/>
  <c r="M965" i="1"/>
  <c r="N965" i="1"/>
  <c r="L966" i="1"/>
  <c r="M966" i="1"/>
  <c r="N966" i="1"/>
  <c r="L967" i="1"/>
  <c r="M967" i="1"/>
  <c r="N967" i="1"/>
  <c r="L968" i="1"/>
  <c r="M968" i="1"/>
  <c r="N968" i="1"/>
  <c r="L969" i="1"/>
  <c r="M969" i="1"/>
  <c r="N969" i="1"/>
  <c r="L970" i="1"/>
  <c r="M970" i="1"/>
  <c r="N970" i="1"/>
  <c r="L971" i="1"/>
  <c r="M971" i="1"/>
  <c r="N971" i="1"/>
  <c r="L972" i="1"/>
  <c r="M972" i="1"/>
  <c r="N972" i="1"/>
  <c r="L973" i="1"/>
  <c r="M973" i="1"/>
  <c r="N973" i="1"/>
  <c r="L974" i="1"/>
  <c r="M974" i="1"/>
  <c r="N974" i="1"/>
  <c r="L975" i="1"/>
  <c r="M975" i="1"/>
  <c r="N975" i="1"/>
  <c r="L976" i="1"/>
  <c r="M976" i="1"/>
  <c r="N976" i="1"/>
  <c r="L977" i="1"/>
  <c r="M977" i="1"/>
  <c r="N977" i="1"/>
  <c r="L978" i="1"/>
  <c r="M978" i="1"/>
  <c r="N978" i="1"/>
  <c r="L979" i="1"/>
  <c r="M979" i="1"/>
  <c r="N979" i="1"/>
  <c r="L980" i="1"/>
  <c r="M980" i="1"/>
  <c r="N980" i="1"/>
  <c r="L981" i="1"/>
  <c r="M981" i="1"/>
  <c r="N981" i="1"/>
  <c r="L982" i="1"/>
  <c r="M982" i="1"/>
  <c r="N982" i="1"/>
  <c r="L983" i="1"/>
  <c r="M983" i="1"/>
  <c r="N983" i="1"/>
  <c r="L984" i="1"/>
  <c r="M984" i="1"/>
  <c r="N984" i="1"/>
  <c r="L985" i="1"/>
  <c r="M985" i="1"/>
  <c r="N985" i="1"/>
  <c r="L986" i="1"/>
  <c r="M986" i="1"/>
  <c r="N986" i="1"/>
  <c r="L987" i="1"/>
  <c r="M987" i="1"/>
  <c r="N987" i="1"/>
  <c r="L988" i="1"/>
  <c r="M988" i="1"/>
  <c r="N988" i="1"/>
  <c r="L989" i="1"/>
  <c r="M989" i="1"/>
  <c r="N989" i="1"/>
  <c r="L990" i="1"/>
  <c r="M990" i="1"/>
  <c r="N990" i="1"/>
  <c r="L991" i="1"/>
  <c r="M991" i="1"/>
  <c r="N991" i="1"/>
  <c r="L992" i="1"/>
  <c r="M992" i="1"/>
  <c r="N992" i="1"/>
  <c r="L993" i="1"/>
  <c r="M993" i="1"/>
  <c r="N993" i="1"/>
  <c r="L994" i="1"/>
  <c r="M994" i="1"/>
  <c r="N994" i="1"/>
  <c r="L995" i="1"/>
  <c r="M995" i="1"/>
  <c r="N995" i="1"/>
  <c r="L996" i="1"/>
  <c r="M996" i="1"/>
  <c r="N996" i="1"/>
  <c r="L997" i="1"/>
  <c r="M997" i="1"/>
  <c r="N997" i="1"/>
  <c r="L998" i="1"/>
  <c r="M998" i="1"/>
  <c r="N998" i="1"/>
  <c r="L999" i="1"/>
  <c r="M999" i="1"/>
  <c r="N999" i="1"/>
  <c r="L1000" i="1"/>
  <c r="M1000" i="1"/>
  <c r="N1000" i="1"/>
  <c r="L1001" i="1"/>
  <c r="M1001" i="1"/>
  <c r="N1001" i="1"/>
  <c r="L1002" i="1"/>
  <c r="M1002" i="1"/>
  <c r="N1002" i="1"/>
  <c r="L1003" i="1"/>
  <c r="M1003" i="1"/>
  <c r="N1003" i="1"/>
  <c r="L1004" i="1"/>
  <c r="M1004" i="1"/>
  <c r="N1004" i="1"/>
  <c r="L1005" i="1"/>
  <c r="M1005" i="1"/>
  <c r="N1005" i="1"/>
  <c r="L1006" i="1"/>
  <c r="M1006" i="1"/>
  <c r="N1006" i="1"/>
  <c r="L1007" i="1"/>
  <c r="M1007" i="1"/>
  <c r="N1007" i="1"/>
  <c r="L1008" i="1"/>
  <c r="M1008" i="1"/>
  <c r="N1008" i="1"/>
  <c r="L1009" i="1"/>
  <c r="M1009" i="1"/>
  <c r="N1009" i="1"/>
  <c r="L1010" i="1"/>
  <c r="M1010" i="1"/>
  <c r="N1010" i="1"/>
  <c r="L1011" i="1"/>
  <c r="M1011" i="1"/>
  <c r="N1011" i="1"/>
  <c r="L1012" i="1"/>
  <c r="M1012" i="1"/>
  <c r="N1012" i="1"/>
  <c r="L1013" i="1"/>
  <c r="M1013" i="1"/>
  <c r="N1013" i="1"/>
  <c r="L1014" i="1"/>
  <c r="M1014" i="1"/>
  <c r="N1014" i="1"/>
  <c r="L1015" i="1"/>
  <c r="M1015" i="1"/>
  <c r="N1015" i="1"/>
  <c r="L1016" i="1"/>
  <c r="M1016" i="1"/>
  <c r="N1016" i="1"/>
  <c r="L1017" i="1"/>
  <c r="M1017" i="1"/>
  <c r="N1017" i="1"/>
  <c r="L1018" i="1"/>
  <c r="M1018" i="1"/>
  <c r="N1018" i="1"/>
  <c r="L1019" i="1"/>
  <c r="M1019" i="1"/>
  <c r="N1019" i="1"/>
  <c r="L1020" i="1"/>
  <c r="M1020" i="1"/>
  <c r="N1020" i="1"/>
  <c r="L1021" i="1"/>
  <c r="M1021" i="1"/>
  <c r="N1021" i="1"/>
  <c r="L1022" i="1"/>
  <c r="M1022" i="1"/>
  <c r="N1022" i="1"/>
  <c r="L1023" i="1"/>
  <c r="M1023" i="1"/>
  <c r="N1023" i="1"/>
  <c r="L1024" i="1"/>
  <c r="M1024" i="1"/>
  <c r="N1024" i="1"/>
  <c r="L1025" i="1"/>
  <c r="M1025" i="1"/>
  <c r="N1025" i="1"/>
  <c r="L1026" i="1"/>
  <c r="M1026" i="1"/>
  <c r="N1026" i="1"/>
  <c r="L1027" i="1"/>
  <c r="M1027" i="1"/>
  <c r="N1027" i="1"/>
  <c r="L1028" i="1"/>
  <c r="M1028" i="1"/>
  <c r="N1028" i="1"/>
  <c r="L1029" i="1"/>
  <c r="M1029" i="1"/>
  <c r="N1029" i="1"/>
  <c r="L1030" i="1"/>
  <c r="M1030" i="1"/>
  <c r="N1030" i="1"/>
  <c r="L1031" i="1"/>
  <c r="M1031" i="1"/>
  <c r="N1031" i="1"/>
  <c r="L1032" i="1"/>
  <c r="M1032" i="1"/>
  <c r="N1032" i="1"/>
  <c r="L1033" i="1"/>
  <c r="M1033" i="1"/>
  <c r="N1033" i="1"/>
  <c r="L1034" i="1"/>
  <c r="M1034" i="1"/>
  <c r="N1034" i="1"/>
  <c r="L1035" i="1"/>
  <c r="M1035" i="1"/>
  <c r="N1035" i="1"/>
  <c r="L1036" i="1"/>
  <c r="M1036" i="1"/>
  <c r="N1036" i="1"/>
  <c r="L1037" i="1"/>
  <c r="M1037" i="1"/>
  <c r="N1037" i="1"/>
  <c r="L1038" i="1"/>
  <c r="M1038" i="1"/>
  <c r="N1038" i="1"/>
  <c r="L1039" i="1"/>
  <c r="M1039" i="1"/>
  <c r="N1039" i="1"/>
  <c r="L1040" i="1"/>
  <c r="M1040" i="1"/>
  <c r="N1040" i="1"/>
  <c r="L1041" i="1"/>
  <c r="M1041" i="1"/>
  <c r="N1041" i="1"/>
  <c r="L1042" i="1"/>
  <c r="M1042" i="1"/>
  <c r="N1042" i="1"/>
  <c r="L1043" i="1"/>
  <c r="M1043" i="1"/>
  <c r="N1043" i="1"/>
  <c r="L1044" i="1"/>
  <c r="M1044" i="1"/>
  <c r="N1044" i="1"/>
  <c r="L1045" i="1"/>
  <c r="M1045" i="1"/>
  <c r="N1045" i="1"/>
  <c r="L1046" i="1"/>
  <c r="M1046" i="1"/>
  <c r="N1046" i="1"/>
  <c r="L1047" i="1"/>
  <c r="M1047" i="1"/>
  <c r="N1047" i="1"/>
  <c r="L1048" i="1"/>
  <c r="M1048" i="1"/>
  <c r="N1048" i="1"/>
  <c r="L1049" i="1"/>
  <c r="M1049" i="1"/>
  <c r="N1049" i="1"/>
  <c r="L1050" i="1"/>
  <c r="M1050" i="1"/>
  <c r="N1050" i="1"/>
  <c r="L1051" i="1"/>
  <c r="M1051" i="1"/>
  <c r="N1051" i="1"/>
  <c r="L1052" i="1"/>
  <c r="M1052" i="1"/>
  <c r="N1052" i="1"/>
  <c r="L1053" i="1"/>
  <c r="M1053" i="1"/>
  <c r="N1053" i="1"/>
  <c r="L1054" i="1"/>
  <c r="M1054" i="1"/>
  <c r="N1054" i="1"/>
  <c r="L1055" i="1"/>
  <c r="M1055" i="1"/>
  <c r="N1055" i="1"/>
  <c r="L1056" i="1"/>
  <c r="M1056" i="1"/>
  <c r="N1056" i="1"/>
  <c r="L1057" i="1"/>
  <c r="M1057" i="1"/>
  <c r="N1057" i="1"/>
  <c r="L1058" i="1"/>
  <c r="M1058" i="1"/>
  <c r="N1058" i="1"/>
  <c r="L1059" i="1"/>
  <c r="M1059" i="1"/>
  <c r="N1059" i="1"/>
  <c r="L1060" i="1"/>
  <c r="M1060" i="1"/>
  <c r="N1060" i="1"/>
  <c r="L1061" i="1"/>
  <c r="M1061" i="1"/>
  <c r="N1061" i="1"/>
  <c r="L1062" i="1"/>
  <c r="M1062" i="1"/>
  <c r="N1062" i="1"/>
  <c r="L1063" i="1"/>
  <c r="M1063" i="1"/>
  <c r="N1063" i="1"/>
  <c r="L1064" i="1"/>
  <c r="M1064" i="1"/>
  <c r="N1064" i="1"/>
  <c r="L1065" i="1"/>
  <c r="M1065" i="1"/>
  <c r="N1065" i="1"/>
  <c r="L1066" i="1"/>
  <c r="M1066" i="1"/>
  <c r="N1066" i="1"/>
  <c r="L1067" i="1"/>
  <c r="M1067" i="1"/>
  <c r="N1067" i="1"/>
  <c r="L1068" i="1"/>
  <c r="M1068" i="1"/>
  <c r="N1068" i="1"/>
  <c r="L1069" i="1"/>
  <c r="M1069" i="1"/>
  <c r="N1069" i="1"/>
  <c r="L1070" i="1"/>
  <c r="M1070" i="1"/>
  <c r="N1070" i="1"/>
  <c r="L1071" i="1"/>
  <c r="M1071" i="1"/>
  <c r="N1071" i="1"/>
  <c r="L1072" i="1"/>
  <c r="M1072" i="1"/>
  <c r="N1072" i="1"/>
  <c r="L1073" i="1"/>
  <c r="M1073" i="1"/>
  <c r="N1073" i="1"/>
  <c r="L1074" i="1"/>
  <c r="M1074" i="1"/>
  <c r="N1074" i="1"/>
  <c r="L1075" i="1"/>
  <c r="M1075" i="1"/>
  <c r="N1075" i="1"/>
  <c r="L1076" i="1"/>
  <c r="M1076" i="1"/>
  <c r="N1076" i="1"/>
  <c r="L1077" i="1"/>
  <c r="M1077" i="1"/>
  <c r="N1077" i="1"/>
  <c r="L1078" i="1"/>
  <c r="M1078" i="1"/>
  <c r="N1078" i="1"/>
  <c r="L1079" i="1"/>
  <c r="M1079" i="1"/>
  <c r="N1079" i="1"/>
  <c r="L1080" i="1"/>
  <c r="M1080" i="1"/>
  <c r="N1080" i="1"/>
  <c r="L1081" i="1"/>
  <c r="M1081" i="1"/>
  <c r="N1081" i="1"/>
  <c r="L1082" i="1"/>
  <c r="M1082" i="1"/>
  <c r="N1082" i="1"/>
  <c r="L1083" i="1"/>
  <c r="M1083" i="1"/>
  <c r="N1083" i="1"/>
  <c r="L1084" i="1"/>
  <c r="M1084" i="1"/>
  <c r="N1084" i="1"/>
  <c r="L1085" i="1"/>
  <c r="M1085" i="1"/>
  <c r="N1085" i="1"/>
  <c r="L1086" i="1"/>
  <c r="M1086" i="1"/>
  <c r="N1086" i="1"/>
  <c r="L1087" i="1"/>
  <c r="M1087" i="1"/>
  <c r="N1087" i="1"/>
  <c r="L1088" i="1"/>
  <c r="M1088" i="1"/>
  <c r="N1088" i="1"/>
  <c r="L1089" i="1"/>
  <c r="M1089" i="1"/>
  <c r="N1089" i="1"/>
  <c r="L1090" i="1"/>
  <c r="M1090" i="1"/>
  <c r="N1090" i="1"/>
  <c r="L1091" i="1"/>
  <c r="M1091" i="1"/>
  <c r="N1091" i="1"/>
  <c r="L1092" i="1"/>
  <c r="M1092" i="1"/>
  <c r="N1092" i="1"/>
  <c r="L1093" i="1"/>
  <c r="M1093" i="1"/>
  <c r="N1093" i="1"/>
  <c r="L1094" i="1"/>
  <c r="M1094" i="1"/>
  <c r="N1094" i="1"/>
  <c r="L1095" i="1"/>
  <c r="M1095" i="1"/>
  <c r="N1095" i="1"/>
  <c r="L1096" i="1"/>
  <c r="M1096" i="1"/>
  <c r="N1096" i="1"/>
  <c r="L1097" i="1"/>
  <c r="M1097" i="1"/>
  <c r="N1097" i="1"/>
  <c r="L1098" i="1"/>
  <c r="M1098" i="1"/>
  <c r="N1098" i="1"/>
  <c r="L1099" i="1"/>
  <c r="M1099" i="1"/>
  <c r="N1099" i="1"/>
  <c r="L1100" i="1"/>
  <c r="M1100" i="1"/>
  <c r="N1100" i="1"/>
  <c r="L1101" i="1"/>
  <c r="M1101" i="1"/>
  <c r="N1101" i="1"/>
  <c r="L1102" i="1"/>
  <c r="M1102" i="1"/>
  <c r="N1102" i="1"/>
  <c r="L1103" i="1"/>
  <c r="M1103" i="1"/>
  <c r="N1103" i="1"/>
  <c r="L1104" i="1"/>
  <c r="M1104" i="1"/>
  <c r="N1104" i="1"/>
  <c r="L1105" i="1"/>
  <c r="M1105" i="1"/>
  <c r="N1105" i="1"/>
  <c r="L1106" i="1"/>
  <c r="M1106" i="1"/>
  <c r="N1106" i="1"/>
  <c r="L1107" i="1"/>
  <c r="M1107" i="1"/>
  <c r="N1107" i="1"/>
  <c r="L1108" i="1"/>
  <c r="M1108" i="1"/>
  <c r="N1108" i="1"/>
  <c r="L1109" i="1"/>
  <c r="M1109" i="1"/>
  <c r="N1109" i="1"/>
  <c r="L1110" i="1"/>
  <c r="M1110" i="1"/>
  <c r="N1110" i="1"/>
  <c r="L1111" i="1"/>
  <c r="M1111" i="1"/>
  <c r="N1111" i="1"/>
  <c r="L1112" i="1"/>
  <c r="M1112" i="1"/>
  <c r="N1112" i="1"/>
  <c r="L1113" i="1"/>
  <c r="M1113" i="1"/>
  <c r="N1113" i="1"/>
  <c r="L1114" i="1"/>
  <c r="M1114" i="1"/>
  <c r="N1114" i="1"/>
  <c r="L1115" i="1"/>
  <c r="M1115" i="1"/>
  <c r="N1115" i="1"/>
  <c r="L1116" i="1"/>
  <c r="M1116" i="1"/>
  <c r="N1116" i="1"/>
  <c r="L1117" i="1"/>
  <c r="M1117" i="1"/>
  <c r="N1117" i="1"/>
  <c r="L1118" i="1"/>
  <c r="M1118" i="1"/>
  <c r="N1118" i="1"/>
  <c r="L1119" i="1"/>
  <c r="M1119" i="1"/>
  <c r="N1119" i="1"/>
  <c r="L1120" i="1"/>
  <c r="M1120" i="1"/>
  <c r="N1120" i="1"/>
  <c r="L1121" i="1"/>
  <c r="M1121" i="1"/>
  <c r="N1121" i="1"/>
  <c r="L1122" i="1"/>
  <c r="M1122" i="1"/>
  <c r="N1122" i="1"/>
  <c r="L1123" i="1"/>
  <c r="M1123" i="1"/>
  <c r="N1123" i="1"/>
  <c r="L1124" i="1"/>
  <c r="M1124" i="1"/>
  <c r="N1124" i="1"/>
  <c r="L1125" i="1"/>
  <c r="M1125" i="1"/>
  <c r="N1125" i="1"/>
  <c r="L1126" i="1"/>
  <c r="M1126" i="1"/>
  <c r="N1126" i="1"/>
  <c r="L1127" i="1"/>
  <c r="M1127" i="1"/>
  <c r="N1127" i="1"/>
  <c r="L1128" i="1"/>
  <c r="M1128" i="1"/>
  <c r="N1128" i="1"/>
  <c r="L1129" i="1"/>
  <c r="M1129" i="1"/>
  <c r="N1129" i="1"/>
  <c r="L1130" i="1"/>
  <c r="M1130" i="1"/>
  <c r="N1130" i="1"/>
  <c r="L1131" i="1"/>
  <c r="M1131" i="1"/>
  <c r="N1131" i="1"/>
  <c r="L1132" i="1"/>
  <c r="M1132" i="1"/>
  <c r="N1132" i="1"/>
  <c r="L1133" i="1"/>
  <c r="M1133" i="1"/>
  <c r="N1133" i="1"/>
  <c r="L1134" i="1"/>
  <c r="M1134" i="1"/>
  <c r="N1134" i="1"/>
  <c r="L1135" i="1"/>
  <c r="M1135" i="1"/>
  <c r="N1135" i="1"/>
  <c r="L1136" i="1"/>
  <c r="M1136" i="1"/>
  <c r="N1136" i="1"/>
  <c r="L1137" i="1"/>
  <c r="M1137" i="1"/>
  <c r="N1137" i="1"/>
  <c r="L1138" i="1"/>
  <c r="M1138" i="1"/>
  <c r="N1138" i="1"/>
  <c r="L1139" i="1"/>
  <c r="M1139" i="1"/>
  <c r="N1139" i="1"/>
  <c r="L1140" i="1"/>
  <c r="M1140" i="1"/>
  <c r="N1140" i="1"/>
  <c r="L1141" i="1"/>
  <c r="M1141" i="1"/>
  <c r="N1141" i="1"/>
  <c r="L1142" i="1"/>
  <c r="M1142" i="1"/>
  <c r="N1142" i="1"/>
  <c r="L1143" i="1"/>
  <c r="M1143" i="1"/>
  <c r="N1143" i="1"/>
  <c r="L1144" i="1"/>
  <c r="M1144" i="1"/>
  <c r="N1144" i="1"/>
  <c r="L1145" i="1"/>
  <c r="M1145" i="1"/>
  <c r="N1145" i="1"/>
  <c r="L1146" i="1"/>
  <c r="M1146" i="1"/>
  <c r="N1146" i="1"/>
  <c r="L1147" i="1"/>
  <c r="M1147" i="1"/>
  <c r="N1147" i="1"/>
  <c r="L1148" i="1"/>
  <c r="M1148" i="1"/>
  <c r="N1148" i="1"/>
  <c r="L1149" i="1"/>
  <c r="M1149" i="1"/>
  <c r="N1149" i="1"/>
  <c r="L1150" i="1"/>
  <c r="M1150" i="1"/>
  <c r="N1150" i="1"/>
  <c r="L1151" i="1"/>
  <c r="M1151" i="1"/>
  <c r="N1151" i="1"/>
  <c r="L1152" i="1"/>
  <c r="M1152" i="1"/>
  <c r="N1152" i="1"/>
  <c r="L1153" i="1"/>
  <c r="M1153" i="1"/>
  <c r="N1153" i="1"/>
  <c r="L1154" i="1"/>
  <c r="M1154" i="1"/>
  <c r="N1154" i="1"/>
  <c r="L1155" i="1"/>
  <c r="M1155" i="1"/>
  <c r="N1155" i="1"/>
  <c r="L1156" i="1"/>
  <c r="M1156" i="1"/>
  <c r="N1156" i="1"/>
  <c r="L1157" i="1"/>
  <c r="M1157" i="1"/>
  <c r="N1157" i="1"/>
  <c r="L1158" i="1"/>
  <c r="M1158" i="1"/>
  <c r="N1158" i="1"/>
  <c r="L1159" i="1"/>
  <c r="M1159" i="1"/>
  <c r="N1159" i="1"/>
  <c r="L1160" i="1"/>
  <c r="M1160" i="1"/>
  <c r="N1160" i="1"/>
  <c r="L1161" i="1"/>
  <c r="M1161" i="1"/>
  <c r="N1161" i="1"/>
  <c r="L1162" i="1"/>
  <c r="M1162" i="1"/>
  <c r="N1162" i="1"/>
  <c r="L1163" i="1"/>
  <c r="M1163" i="1"/>
  <c r="N1163" i="1"/>
  <c r="L1164" i="1"/>
  <c r="M1164" i="1"/>
  <c r="N1164" i="1"/>
  <c r="L1165" i="1"/>
  <c r="M1165" i="1"/>
  <c r="N1165" i="1"/>
  <c r="L1166" i="1"/>
  <c r="M1166" i="1"/>
  <c r="N1166" i="1"/>
  <c r="L1167" i="1"/>
  <c r="M1167" i="1"/>
  <c r="N1167" i="1"/>
  <c r="L1168" i="1"/>
  <c r="M1168" i="1"/>
  <c r="N1168" i="1"/>
  <c r="L1169" i="1"/>
  <c r="M1169" i="1"/>
  <c r="N1169" i="1"/>
  <c r="L1170" i="1"/>
  <c r="M1170" i="1"/>
  <c r="N1170" i="1"/>
  <c r="L1171" i="1"/>
  <c r="M1171" i="1"/>
  <c r="N1171" i="1"/>
  <c r="L1172" i="1"/>
  <c r="M1172" i="1"/>
  <c r="N1172" i="1"/>
  <c r="L1173" i="1"/>
  <c r="M1173" i="1"/>
  <c r="N1173" i="1"/>
  <c r="L1174" i="1"/>
  <c r="M1174" i="1"/>
  <c r="N1174" i="1"/>
  <c r="L1175" i="1"/>
  <c r="M1175" i="1"/>
  <c r="N1175" i="1"/>
  <c r="L1176" i="1"/>
  <c r="M1176" i="1"/>
  <c r="N1176" i="1"/>
  <c r="L1177" i="1"/>
  <c r="M1177" i="1"/>
  <c r="N1177" i="1"/>
  <c r="L1178" i="1"/>
  <c r="M1178" i="1"/>
  <c r="N1178" i="1"/>
  <c r="L1179" i="1"/>
  <c r="M1179" i="1"/>
  <c r="N1179" i="1"/>
  <c r="L1180" i="1"/>
  <c r="M1180" i="1"/>
  <c r="N1180" i="1"/>
  <c r="L1181" i="1"/>
  <c r="M1181" i="1"/>
  <c r="N1181" i="1"/>
  <c r="L1182" i="1"/>
  <c r="M1182" i="1"/>
  <c r="N1182" i="1"/>
  <c r="L1183" i="1"/>
  <c r="M1183" i="1"/>
  <c r="N1183" i="1"/>
  <c r="L1184" i="1"/>
  <c r="M1184" i="1"/>
  <c r="N1184" i="1"/>
  <c r="L1185" i="1"/>
  <c r="M1185" i="1"/>
  <c r="N1185" i="1"/>
  <c r="L1186" i="1"/>
  <c r="M1186" i="1"/>
  <c r="N1186" i="1"/>
  <c r="L1187" i="1"/>
  <c r="M1187" i="1"/>
  <c r="N1187" i="1"/>
  <c r="L1188" i="1"/>
  <c r="M1188" i="1"/>
  <c r="N1188" i="1"/>
  <c r="L1189" i="1"/>
  <c r="M1189" i="1"/>
  <c r="N1189" i="1"/>
  <c r="L1190" i="1"/>
  <c r="M1190" i="1"/>
  <c r="N1190" i="1"/>
  <c r="L1191" i="1"/>
  <c r="M1191" i="1"/>
  <c r="N1191" i="1"/>
  <c r="L1192" i="1"/>
  <c r="M1192" i="1"/>
  <c r="N1192" i="1"/>
  <c r="L1193" i="1"/>
  <c r="M1193" i="1"/>
  <c r="N1193" i="1"/>
  <c r="L1194" i="1"/>
  <c r="M1194" i="1"/>
  <c r="N1194" i="1"/>
  <c r="L1195" i="1"/>
  <c r="M1195" i="1"/>
  <c r="N1195" i="1"/>
  <c r="L1196" i="1"/>
  <c r="M1196" i="1"/>
  <c r="N1196" i="1"/>
  <c r="L1197" i="1"/>
  <c r="M1197" i="1"/>
  <c r="N1197" i="1"/>
  <c r="L1198" i="1"/>
  <c r="M1198" i="1"/>
  <c r="N1198" i="1"/>
  <c r="L1199" i="1"/>
  <c r="M1199" i="1"/>
  <c r="N1199" i="1"/>
  <c r="L1200" i="1"/>
  <c r="M1200" i="1"/>
  <c r="N1200" i="1"/>
  <c r="L1201" i="1"/>
  <c r="M1201" i="1"/>
  <c r="N1201" i="1"/>
  <c r="L1202" i="1"/>
  <c r="M1202" i="1"/>
  <c r="N1202" i="1"/>
  <c r="L1203" i="1"/>
  <c r="M1203" i="1"/>
  <c r="N1203" i="1"/>
  <c r="L1204" i="1"/>
  <c r="M1204" i="1"/>
  <c r="N1204" i="1"/>
  <c r="L1205" i="1"/>
  <c r="M1205" i="1"/>
  <c r="N1205" i="1"/>
  <c r="L1206" i="1"/>
  <c r="M1206" i="1"/>
  <c r="N1206" i="1"/>
  <c r="L1207" i="1"/>
  <c r="M1207" i="1"/>
  <c r="N1207" i="1"/>
  <c r="L1208" i="1"/>
  <c r="M1208" i="1"/>
  <c r="N1208" i="1"/>
  <c r="L1209" i="1"/>
  <c r="M1209" i="1"/>
  <c r="N1209" i="1"/>
  <c r="L1210" i="1"/>
  <c r="M1210" i="1"/>
  <c r="N1210" i="1"/>
  <c r="L1211" i="1"/>
  <c r="M1211" i="1"/>
  <c r="N1211" i="1"/>
  <c r="L1212" i="1"/>
  <c r="M1212" i="1"/>
  <c r="N1212" i="1"/>
  <c r="L1213" i="1"/>
  <c r="M1213" i="1"/>
  <c r="N1213" i="1"/>
  <c r="L1214" i="1"/>
  <c r="M1214" i="1"/>
  <c r="N1214" i="1"/>
  <c r="L1215" i="1"/>
  <c r="M1215" i="1"/>
  <c r="N1215" i="1"/>
  <c r="L1216" i="1"/>
  <c r="M1216" i="1"/>
  <c r="N1216" i="1"/>
  <c r="L1217" i="1"/>
  <c r="M1217" i="1"/>
  <c r="N1217" i="1"/>
  <c r="L1218" i="1"/>
  <c r="M1218" i="1"/>
  <c r="N1218" i="1"/>
  <c r="L1219" i="1"/>
  <c r="M1219" i="1"/>
  <c r="N1219" i="1"/>
  <c r="L1220" i="1"/>
  <c r="M1220" i="1"/>
  <c r="N1220" i="1"/>
  <c r="L1221" i="1"/>
  <c r="M1221" i="1"/>
  <c r="N1221" i="1"/>
  <c r="L1222" i="1"/>
  <c r="M1222" i="1"/>
  <c r="N1222" i="1"/>
  <c r="L1223" i="1"/>
  <c r="M1223" i="1"/>
  <c r="N1223" i="1"/>
  <c r="L1224" i="1"/>
  <c r="M1224" i="1"/>
  <c r="N1224" i="1"/>
  <c r="L1225" i="1"/>
  <c r="M1225" i="1"/>
  <c r="N1225" i="1"/>
  <c r="L1226" i="1"/>
  <c r="M1226" i="1"/>
  <c r="N1226" i="1"/>
  <c r="L1227" i="1"/>
  <c r="M1227" i="1"/>
  <c r="N1227" i="1"/>
  <c r="L1228" i="1"/>
  <c r="M1228" i="1"/>
  <c r="N1228" i="1"/>
  <c r="L1229" i="1"/>
  <c r="M1229" i="1"/>
  <c r="N1229" i="1"/>
  <c r="L1230" i="1"/>
  <c r="M1230" i="1"/>
  <c r="N1230" i="1"/>
  <c r="L1231" i="1"/>
  <c r="M1231" i="1"/>
  <c r="N1231" i="1"/>
  <c r="L1232" i="1"/>
  <c r="M1232" i="1"/>
  <c r="N1232" i="1"/>
  <c r="L1233" i="1"/>
  <c r="M1233" i="1"/>
  <c r="N1233" i="1"/>
  <c r="L1234" i="1"/>
  <c r="M1234" i="1"/>
  <c r="N1234" i="1"/>
  <c r="L1235" i="1"/>
  <c r="M1235" i="1"/>
  <c r="N1235" i="1"/>
  <c r="L1236" i="1"/>
  <c r="M1236" i="1"/>
  <c r="N1236" i="1"/>
  <c r="L1237" i="1"/>
  <c r="M1237" i="1"/>
  <c r="N1237" i="1"/>
  <c r="L1238" i="1"/>
  <c r="M1238" i="1"/>
  <c r="N1238" i="1"/>
  <c r="L1239" i="1"/>
  <c r="M1239" i="1"/>
  <c r="N1239" i="1"/>
  <c r="L1240" i="1"/>
  <c r="M1240" i="1"/>
  <c r="N1240" i="1"/>
  <c r="L1241" i="1"/>
  <c r="M1241" i="1"/>
  <c r="N1241" i="1"/>
  <c r="L1242" i="1"/>
  <c r="M1242" i="1"/>
  <c r="N1242" i="1"/>
  <c r="L1243" i="1"/>
  <c r="M1243" i="1"/>
  <c r="N1243" i="1"/>
  <c r="L1244" i="1"/>
  <c r="M1244" i="1"/>
  <c r="N1244" i="1"/>
  <c r="L1245" i="1"/>
  <c r="M1245" i="1"/>
  <c r="N1245" i="1"/>
  <c r="L1246" i="1"/>
  <c r="M1246" i="1"/>
  <c r="N1246" i="1"/>
  <c r="L1247" i="1"/>
  <c r="M1247" i="1"/>
  <c r="N1247" i="1"/>
  <c r="L1248" i="1"/>
  <c r="M1248" i="1"/>
  <c r="N1248" i="1"/>
  <c r="L1249" i="1"/>
  <c r="M1249" i="1"/>
  <c r="N1249" i="1"/>
  <c r="L1250" i="1"/>
  <c r="M1250" i="1"/>
  <c r="N1250" i="1"/>
  <c r="L1251" i="1"/>
  <c r="M1251" i="1"/>
  <c r="N1251" i="1"/>
  <c r="L1252" i="1"/>
  <c r="M1252" i="1"/>
  <c r="N1252" i="1"/>
  <c r="L1253" i="1"/>
  <c r="M1253" i="1"/>
  <c r="N1253" i="1"/>
  <c r="L1254" i="1"/>
  <c r="M1254" i="1"/>
  <c r="N1254" i="1"/>
  <c r="L1255" i="1"/>
  <c r="M1255" i="1"/>
  <c r="N1255" i="1"/>
  <c r="L1256" i="1"/>
  <c r="M1256" i="1"/>
  <c r="N1256" i="1"/>
  <c r="L1257" i="1"/>
  <c r="M1257" i="1"/>
  <c r="N1257" i="1"/>
  <c r="L1258" i="1"/>
  <c r="M1258" i="1"/>
  <c r="N1258" i="1"/>
  <c r="L1259" i="1"/>
  <c r="M1259" i="1"/>
  <c r="N1259" i="1"/>
  <c r="L1260" i="1"/>
  <c r="M1260" i="1"/>
  <c r="N1260" i="1"/>
  <c r="L1261" i="1"/>
  <c r="M1261" i="1"/>
  <c r="N1261" i="1"/>
  <c r="L1262" i="1"/>
  <c r="M1262" i="1"/>
  <c r="N1262" i="1"/>
  <c r="L1263" i="1"/>
  <c r="M1263" i="1"/>
  <c r="N1263" i="1"/>
  <c r="L1264" i="1"/>
  <c r="M1264" i="1"/>
  <c r="N1264" i="1"/>
  <c r="L1265" i="1"/>
  <c r="M1265" i="1"/>
  <c r="N1265" i="1"/>
  <c r="L1266" i="1"/>
  <c r="M1266" i="1"/>
  <c r="N1266" i="1"/>
  <c r="L1267" i="1"/>
  <c r="M1267" i="1"/>
  <c r="N1267" i="1"/>
  <c r="L1268" i="1"/>
  <c r="M1268" i="1"/>
  <c r="N1268" i="1"/>
  <c r="L1269" i="1"/>
  <c r="M1269" i="1"/>
  <c r="N1269" i="1"/>
  <c r="L1270" i="1"/>
  <c r="M1270" i="1"/>
  <c r="N1270" i="1"/>
  <c r="L1271" i="1"/>
  <c r="M1271" i="1"/>
  <c r="N1271" i="1"/>
  <c r="L1272" i="1"/>
  <c r="M1272" i="1"/>
  <c r="N1272" i="1"/>
  <c r="L1273" i="1"/>
  <c r="M1273" i="1"/>
  <c r="N1273" i="1"/>
  <c r="L1274" i="1"/>
  <c r="M1274" i="1"/>
  <c r="N1274" i="1"/>
  <c r="L1275" i="1"/>
  <c r="M1275" i="1"/>
  <c r="N1275" i="1"/>
  <c r="L1276" i="1"/>
  <c r="M1276" i="1"/>
  <c r="N1276" i="1"/>
  <c r="L1277" i="1"/>
  <c r="M1277" i="1"/>
  <c r="N1277" i="1"/>
  <c r="L1278" i="1"/>
  <c r="M1278" i="1"/>
  <c r="N1278" i="1"/>
  <c r="L1279" i="1"/>
  <c r="M1279" i="1"/>
  <c r="N1279" i="1"/>
  <c r="L1280" i="1"/>
  <c r="M1280" i="1"/>
  <c r="N1280" i="1"/>
  <c r="L1281" i="1"/>
  <c r="M1281" i="1"/>
  <c r="N1281" i="1"/>
  <c r="L1282" i="1"/>
  <c r="M1282" i="1"/>
  <c r="N1282" i="1"/>
  <c r="L1283" i="1"/>
  <c r="M1283" i="1"/>
  <c r="N1283" i="1"/>
  <c r="L1284" i="1"/>
  <c r="M1284" i="1"/>
  <c r="N1284" i="1"/>
  <c r="L1285" i="1"/>
  <c r="M1285" i="1"/>
  <c r="N1285" i="1"/>
  <c r="L1286" i="1"/>
  <c r="M1286" i="1"/>
  <c r="N1286" i="1"/>
  <c r="L1287" i="1"/>
  <c r="M1287" i="1"/>
  <c r="N1287" i="1"/>
  <c r="L1288" i="1"/>
  <c r="M1288" i="1"/>
  <c r="N1288" i="1"/>
  <c r="L1289" i="1"/>
  <c r="M1289" i="1"/>
  <c r="N1289" i="1"/>
  <c r="L1290" i="1"/>
  <c r="M1290" i="1"/>
  <c r="N1290" i="1"/>
  <c r="L1291" i="1"/>
  <c r="M1291" i="1"/>
  <c r="N1291" i="1"/>
  <c r="L1292" i="1"/>
  <c r="M1292" i="1"/>
  <c r="N1292" i="1"/>
  <c r="L1293" i="1"/>
  <c r="M1293" i="1"/>
  <c r="N1293" i="1"/>
  <c r="L1294" i="1"/>
  <c r="M1294" i="1"/>
  <c r="N1294" i="1"/>
  <c r="L1295" i="1"/>
  <c r="M1295" i="1"/>
  <c r="N1295" i="1"/>
  <c r="L1296" i="1"/>
  <c r="M1296" i="1"/>
  <c r="N1296" i="1"/>
  <c r="L1297" i="1"/>
  <c r="M1297" i="1"/>
  <c r="N1297" i="1"/>
  <c r="L1298" i="1"/>
  <c r="M1298" i="1"/>
  <c r="N1298" i="1"/>
  <c r="L1299" i="1"/>
  <c r="M1299" i="1"/>
  <c r="N1299" i="1"/>
  <c r="L1300" i="1"/>
  <c r="M1300" i="1"/>
  <c r="N1300" i="1"/>
  <c r="L1301" i="1"/>
  <c r="M1301" i="1"/>
  <c r="N1301" i="1"/>
  <c r="L1302" i="1"/>
  <c r="M1302" i="1"/>
  <c r="N1302" i="1"/>
  <c r="L1303" i="1"/>
  <c r="M1303" i="1"/>
  <c r="N1303" i="1"/>
  <c r="L1304" i="1"/>
  <c r="M1304" i="1"/>
  <c r="N1304" i="1"/>
  <c r="L1305" i="1"/>
  <c r="M1305" i="1"/>
  <c r="N1305" i="1"/>
  <c r="L1306" i="1"/>
  <c r="M1306" i="1"/>
  <c r="N1306" i="1"/>
  <c r="L1307" i="1"/>
  <c r="M1307" i="1"/>
  <c r="N1307" i="1"/>
  <c r="L1308" i="1"/>
  <c r="M1308" i="1"/>
  <c r="N1308" i="1"/>
  <c r="L1309" i="1"/>
  <c r="M1309" i="1"/>
  <c r="N1309" i="1"/>
  <c r="L1310" i="1"/>
  <c r="M1310" i="1"/>
  <c r="N1310" i="1"/>
  <c r="L1311" i="1"/>
  <c r="M1311" i="1"/>
  <c r="N1311" i="1"/>
  <c r="L1312" i="1"/>
  <c r="M1312" i="1"/>
  <c r="N1312" i="1"/>
  <c r="L1313" i="1"/>
  <c r="M1313" i="1"/>
  <c r="N1313" i="1"/>
  <c r="L1314" i="1"/>
  <c r="M1314" i="1"/>
  <c r="N1314" i="1"/>
  <c r="L1315" i="1"/>
  <c r="M1315" i="1"/>
  <c r="N1315" i="1"/>
  <c r="L1316" i="1"/>
  <c r="M1316" i="1"/>
  <c r="N1316" i="1"/>
  <c r="L1317" i="1"/>
  <c r="M1317" i="1"/>
  <c r="N1317" i="1"/>
  <c r="L1318" i="1"/>
  <c r="M1318" i="1"/>
  <c r="N1318" i="1"/>
  <c r="L1319" i="1"/>
  <c r="M1319" i="1"/>
  <c r="N1319" i="1"/>
  <c r="L1320" i="1"/>
  <c r="M1320" i="1"/>
  <c r="N1320" i="1"/>
  <c r="L1321" i="1"/>
  <c r="M1321" i="1"/>
  <c r="N1321" i="1"/>
  <c r="L1322" i="1"/>
  <c r="M1322" i="1"/>
  <c r="N1322" i="1"/>
  <c r="L1323" i="1"/>
  <c r="M1323" i="1"/>
  <c r="N1323" i="1"/>
  <c r="L1324" i="1"/>
  <c r="M1324" i="1"/>
  <c r="N1324" i="1"/>
  <c r="L1325" i="1"/>
  <c r="M1325" i="1"/>
  <c r="N1325" i="1"/>
  <c r="L1326" i="1"/>
  <c r="M1326" i="1"/>
  <c r="N1326" i="1"/>
  <c r="L1327" i="1"/>
  <c r="M1327" i="1"/>
  <c r="N1327" i="1"/>
  <c r="L1328" i="1"/>
  <c r="M1328" i="1"/>
  <c r="N1328" i="1"/>
  <c r="L1329" i="1"/>
  <c r="M1329" i="1"/>
  <c r="N1329" i="1"/>
  <c r="L1330" i="1"/>
  <c r="M1330" i="1"/>
  <c r="N1330" i="1"/>
  <c r="L1331" i="1"/>
  <c r="M1331" i="1"/>
  <c r="N1331" i="1"/>
  <c r="L1332" i="1"/>
  <c r="M1332" i="1"/>
  <c r="N1332" i="1"/>
  <c r="L1333" i="1"/>
  <c r="M1333" i="1"/>
  <c r="N1333" i="1"/>
  <c r="L1334" i="1"/>
  <c r="M1334" i="1"/>
  <c r="N1334" i="1"/>
  <c r="L1335" i="1"/>
  <c r="M1335" i="1"/>
  <c r="N1335" i="1"/>
  <c r="L1336" i="1"/>
  <c r="M1336" i="1"/>
  <c r="N1336" i="1"/>
  <c r="L1337" i="1"/>
  <c r="M1337" i="1"/>
  <c r="N1337" i="1"/>
  <c r="L1338" i="1"/>
  <c r="M1338" i="1"/>
  <c r="N1338" i="1"/>
  <c r="L1339" i="1"/>
  <c r="M1339" i="1"/>
  <c r="N1339" i="1"/>
  <c r="L1340" i="1"/>
  <c r="M1340" i="1"/>
  <c r="N1340" i="1"/>
  <c r="L1341" i="1"/>
  <c r="M1341" i="1"/>
  <c r="N1341" i="1"/>
  <c r="L1342" i="1"/>
  <c r="M1342" i="1"/>
  <c r="N1342" i="1"/>
  <c r="L1343" i="1"/>
  <c r="M1343" i="1"/>
  <c r="N1343" i="1"/>
  <c r="L1344" i="1"/>
  <c r="M1344" i="1"/>
  <c r="N1344" i="1"/>
  <c r="L1345" i="1"/>
  <c r="M1345" i="1"/>
  <c r="N1345" i="1"/>
  <c r="L1346" i="1"/>
  <c r="M1346" i="1"/>
  <c r="N1346" i="1"/>
  <c r="L1347" i="1"/>
  <c r="M1347" i="1"/>
  <c r="N1347" i="1"/>
  <c r="L1348" i="1"/>
  <c r="M1348" i="1"/>
  <c r="N1348" i="1"/>
  <c r="L1349" i="1"/>
  <c r="M1349" i="1"/>
  <c r="N1349" i="1"/>
  <c r="L1350" i="1"/>
  <c r="M1350" i="1"/>
  <c r="N1350" i="1"/>
  <c r="L1351" i="1"/>
  <c r="M1351" i="1"/>
  <c r="N1351" i="1"/>
  <c r="L1352" i="1"/>
  <c r="M1352" i="1"/>
  <c r="N1352" i="1"/>
  <c r="L1353" i="1"/>
  <c r="M1353" i="1"/>
  <c r="N1353" i="1"/>
  <c r="L1354" i="1"/>
  <c r="M1354" i="1"/>
  <c r="N1354" i="1"/>
  <c r="L1355" i="1"/>
  <c r="M1355" i="1"/>
  <c r="N1355" i="1"/>
  <c r="L1356" i="1"/>
  <c r="M1356" i="1"/>
  <c r="N1356" i="1"/>
  <c r="L1357" i="1"/>
  <c r="M1357" i="1"/>
  <c r="N1357" i="1"/>
  <c r="L1358" i="1"/>
  <c r="M1358" i="1"/>
  <c r="N1358" i="1"/>
  <c r="L1359" i="1"/>
  <c r="M1359" i="1"/>
  <c r="N1359" i="1"/>
  <c r="L1360" i="1"/>
  <c r="M1360" i="1"/>
  <c r="N1360" i="1"/>
  <c r="L1361" i="1"/>
  <c r="M1361" i="1"/>
  <c r="N1361" i="1"/>
  <c r="L1362" i="1"/>
  <c r="M1362" i="1"/>
  <c r="N1362" i="1"/>
  <c r="L1363" i="1"/>
  <c r="M1363" i="1"/>
  <c r="N1363" i="1"/>
  <c r="L1364" i="1"/>
  <c r="M1364" i="1"/>
  <c r="N1364" i="1"/>
  <c r="L1365" i="1"/>
  <c r="M1365" i="1"/>
  <c r="N1365" i="1"/>
  <c r="L1366" i="1"/>
  <c r="M1366" i="1"/>
  <c r="N1366" i="1"/>
  <c r="L1367" i="1"/>
  <c r="M1367" i="1"/>
  <c r="N1367" i="1"/>
  <c r="L1368" i="1"/>
  <c r="M1368" i="1"/>
  <c r="N1368" i="1"/>
  <c r="L1369" i="1"/>
  <c r="M1369" i="1"/>
  <c r="N1369" i="1"/>
  <c r="L1370" i="1"/>
  <c r="M1370" i="1"/>
  <c r="N1370" i="1"/>
  <c r="L1371" i="1"/>
  <c r="M1371" i="1"/>
  <c r="N1371" i="1"/>
  <c r="L1372" i="1"/>
  <c r="M1372" i="1"/>
  <c r="N1372" i="1"/>
  <c r="L1373" i="1"/>
  <c r="M1373" i="1"/>
  <c r="N1373" i="1"/>
  <c r="L1374" i="1"/>
  <c r="M1374" i="1"/>
  <c r="N1374" i="1"/>
  <c r="L1375" i="1"/>
  <c r="M1375" i="1"/>
  <c r="N1375" i="1"/>
  <c r="L1376" i="1"/>
  <c r="M1376" i="1"/>
  <c r="N1376" i="1"/>
  <c r="L1377" i="1"/>
  <c r="M1377" i="1"/>
  <c r="N1377" i="1"/>
  <c r="L1378" i="1"/>
  <c r="M1378" i="1"/>
  <c r="N1378" i="1"/>
  <c r="L1379" i="1"/>
  <c r="M1379" i="1"/>
  <c r="N1379" i="1"/>
  <c r="L1380" i="1"/>
  <c r="M1380" i="1"/>
  <c r="N1380" i="1"/>
  <c r="L1381" i="1"/>
  <c r="M1381" i="1"/>
  <c r="N1381" i="1"/>
  <c r="L1382" i="1"/>
  <c r="M1382" i="1"/>
  <c r="N1382" i="1"/>
  <c r="L1383" i="1"/>
  <c r="M1383" i="1"/>
  <c r="N1383" i="1"/>
  <c r="L1384" i="1"/>
  <c r="M1384" i="1"/>
  <c r="N1384" i="1"/>
  <c r="L1385" i="1"/>
  <c r="M1385" i="1"/>
  <c r="N1385" i="1"/>
  <c r="L1386" i="1"/>
  <c r="M1386" i="1"/>
  <c r="N1386" i="1"/>
  <c r="L1387" i="1"/>
  <c r="M1387" i="1"/>
  <c r="N1387" i="1"/>
  <c r="L1388" i="1"/>
  <c r="M1388" i="1"/>
  <c r="N1388" i="1"/>
  <c r="L1389" i="1"/>
  <c r="M1389" i="1"/>
  <c r="N1389" i="1"/>
  <c r="L1390" i="1"/>
  <c r="M1390" i="1"/>
  <c r="N1390" i="1"/>
  <c r="L1391" i="1"/>
  <c r="M1391" i="1"/>
  <c r="N1391" i="1"/>
  <c r="L1392" i="1"/>
  <c r="M1392" i="1"/>
  <c r="N1392" i="1"/>
  <c r="L1393" i="1"/>
  <c r="M1393" i="1"/>
  <c r="N1393" i="1"/>
  <c r="L1394" i="1"/>
  <c r="M1394" i="1"/>
  <c r="N1394" i="1"/>
  <c r="L1395" i="1"/>
  <c r="M1395" i="1"/>
  <c r="N1395" i="1"/>
  <c r="L1396" i="1"/>
  <c r="M1396" i="1"/>
  <c r="N1396" i="1"/>
  <c r="L1397" i="1"/>
  <c r="M1397" i="1"/>
  <c r="N1397" i="1"/>
  <c r="L1398" i="1"/>
  <c r="M1398" i="1"/>
  <c r="N1398" i="1"/>
  <c r="L1399" i="1"/>
  <c r="M1399" i="1"/>
  <c r="N1399" i="1"/>
  <c r="L1400" i="1"/>
  <c r="M1400" i="1"/>
  <c r="N1400" i="1"/>
  <c r="L1401" i="1"/>
  <c r="M1401" i="1"/>
  <c r="N1401" i="1"/>
  <c r="L1402" i="1"/>
  <c r="M1402" i="1"/>
  <c r="N1402" i="1"/>
  <c r="L1403" i="1"/>
  <c r="M1403" i="1"/>
  <c r="N1403" i="1"/>
  <c r="L1404" i="1"/>
  <c r="M1404" i="1"/>
  <c r="N1404" i="1"/>
  <c r="L1405" i="1"/>
  <c r="M1405" i="1"/>
  <c r="N1405" i="1"/>
  <c r="L1406" i="1"/>
  <c r="M1406" i="1"/>
  <c r="N1406" i="1"/>
  <c r="L1407" i="1"/>
  <c r="M1407" i="1"/>
  <c r="N1407" i="1"/>
  <c r="L1408" i="1"/>
  <c r="M1408" i="1"/>
  <c r="N1408" i="1"/>
  <c r="L1409" i="1"/>
  <c r="M1409" i="1"/>
  <c r="N1409" i="1"/>
  <c r="L1410" i="1"/>
  <c r="M1410" i="1"/>
  <c r="N1410" i="1"/>
  <c r="L1411" i="1"/>
  <c r="M1411" i="1"/>
  <c r="N1411" i="1"/>
  <c r="L1412" i="1"/>
  <c r="M1412" i="1"/>
  <c r="N1412" i="1"/>
  <c r="L1413" i="1"/>
  <c r="M1413" i="1"/>
  <c r="N1413" i="1"/>
  <c r="L1414" i="1"/>
  <c r="M1414" i="1"/>
  <c r="N1414" i="1"/>
  <c r="L1415" i="1"/>
  <c r="M1415" i="1"/>
  <c r="N1415" i="1"/>
  <c r="L1416" i="1"/>
  <c r="M1416" i="1"/>
  <c r="N1416" i="1"/>
  <c r="L1417" i="1"/>
  <c r="M1417" i="1"/>
  <c r="N1417" i="1"/>
  <c r="L1418" i="1"/>
  <c r="M1418" i="1"/>
  <c r="N1418" i="1"/>
  <c r="L1419" i="1"/>
  <c r="M1419" i="1"/>
  <c r="N1419" i="1"/>
  <c r="L1420" i="1"/>
  <c r="M1420" i="1"/>
  <c r="N1420" i="1"/>
  <c r="L1421" i="1"/>
  <c r="M1421" i="1"/>
  <c r="N1421" i="1"/>
  <c r="L1422" i="1"/>
  <c r="M1422" i="1"/>
  <c r="N1422" i="1"/>
  <c r="L1423" i="1"/>
  <c r="M1423" i="1"/>
  <c r="N1423" i="1"/>
  <c r="L1424" i="1"/>
  <c r="M1424" i="1"/>
  <c r="N1424" i="1"/>
  <c r="L1425" i="1"/>
  <c r="M1425" i="1"/>
  <c r="N1425" i="1"/>
  <c r="L1426" i="1"/>
  <c r="M1426" i="1"/>
  <c r="N1426" i="1"/>
  <c r="L1427" i="1"/>
  <c r="M1427" i="1"/>
  <c r="N1427" i="1"/>
  <c r="L1428" i="1"/>
  <c r="M1428" i="1"/>
  <c r="N1428" i="1"/>
  <c r="L1429" i="1"/>
  <c r="M1429" i="1"/>
  <c r="N1429" i="1"/>
  <c r="L1430" i="1"/>
  <c r="M1430" i="1"/>
  <c r="N1430" i="1"/>
  <c r="L1431" i="1"/>
  <c r="M1431" i="1"/>
  <c r="N1431" i="1"/>
  <c r="L1432" i="1"/>
  <c r="M1432" i="1"/>
  <c r="N1432" i="1"/>
  <c r="L1433" i="1"/>
  <c r="M1433" i="1"/>
  <c r="N1433" i="1"/>
  <c r="L1434" i="1"/>
  <c r="M1434" i="1"/>
  <c r="N1434" i="1"/>
  <c r="L1435" i="1"/>
  <c r="M1435" i="1"/>
  <c r="N1435" i="1"/>
  <c r="L1436" i="1"/>
  <c r="M1436" i="1"/>
  <c r="N1436" i="1"/>
  <c r="L1437" i="1"/>
  <c r="M1437" i="1"/>
  <c r="N1437" i="1"/>
  <c r="L1438" i="1"/>
  <c r="M1438" i="1"/>
  <c r="N1438" i="1"/>
  <c r="L1439" i="1"/>
  <c r="M1439" i="1"/>
  <c r="N1439" i="1"/>
  <c r="L1440" i="1"/>
  <c r="M1440" i="1"/>
  <c r="N1440" i="1"/>
  <c r="L1441" i="1"/>
  <c r="M1441" i="1"/>
  <c r="N1441" i="1"/>
  <c r="L1442" i="1"/>
  <c r="M1442" i="1"/>
  <c r="N1442" i="1"/>
  <c r="L1443" i="1"/>
  <c r="M1443" i="1"/>
  <c r="N1443" i="1"/>
  <c r="L1444" i="1"/>
  <c r="M1444" i="1"/>
  <c r="N1444" i="1"/>
  <c r="L1445" i="1"/>
  <c r="M1445" i="1"/>
  <c r="N1445" i="1"/>
  <c r="L1446" i="1"/>
  <c r="M1446" i="1"/>
  <c r="N1446" i="1"/>
  <c r="L1447" i="1"/>
  <c r="M1447" i="1"/>
  <c r="N1447" i="1"/>
  <c r="L1448" i="1"/>
  <c r="M1448" i="1"/>
  <c r="N1448" i="1"/>
  <c r="L1449" i="1"/>
  <c r="M1449" i="1"/>
  <c r="N1449" i="1"/>
  <c r="L1450" i="1"/>
  <c r="M1450" i="1"/>
  <c r="N1450" i="1"/>
  <c r="L1451" i="1"/>
  <c r="M1451" i="1"/>
  <c r="N1451" i="1"/>
  <c r="L1452" i="1"/>
  <c r="M1452" i="1"/>
  <c r="N1452" i="1"/>
  <c r="L1453" i="1"/>
  <c r="M1453" i="1"/>
  <c r="N1453" i="1"/>
  <c r="L1454" i="1"/>
  <c r="M1454" i="1"/>
  <c r="N1454" i="1"/>
  <c r="L1455" i="1"/>
  <c r="M1455" i="1"/>
  <c r="N1455" i="1"/>
  <c r="L1456" i="1"/>
  <c r="M1456" i="1"/>
  <c r="N1456" i="1"/>
  <c r="L1457" i="1"/>
  <c r="M1457" i="1"/>
  <c r="N1457" i="1"/>
  <c r="L1458" i="1"/>
  <c r="M1458" i="1"/>
  <c r="N1458" i="1"/>
  <c r="L1459" i="1"/>
  <c r="M1459" i="1"/>
  <c r="N1459" i="1"/>
  <c r="L1460" i="1"/>
  <c r="M1460" i="1"/>
  <c r="N1460" i="1"/>
  <c r="L1461" i="1"/>
  <c r="M1461" i="1"/>
  <c r="N1461" i="1"/>
  <c r="L1462" i="1"/>
  <c r="M1462" i="1"/>
  <c r="N1462" i="1"/>
  <c r="L1463" i="1"/>
  <c r="M1463" i="1"/>
  <c r="N1463" i="1"/>
  <c r="L1464" i="1"/>
  <c r="M1464" i="1"/>
  <c r="N1464" i="1"/>
  <c r="L1465" i="1"/>
  <c r="M1465" i="1"/>
  <c r="N1465" i="1"/>
  <c r="L1466" i="1"/>
  <c r="M1466" i="1"/>
  <c r="N1466" i="1"/>
  <c r="L1467" i="1"/>
  <c r="M1467" i="1"/>
  <c r="N1467" i="1"/>
  <c r="L1468" i="1"/>
  <c r="M1468" i="1"/>
  <c r="N1468" i="1"/>
  <c r="L1469" i="1"/>
  <c r="M1469" i="1"/>
  <c r="N1469" i="1"/>
  <c r="L1470" i="1"/>
  <c r="M1470" i="1"/>
  <c r="N1470" i="1"/>
  <c r="L1471" i="1"/>
  <c r="M1471" i="1"/>
  <c r="N1471" i="1"/>
  <c r="L1472" i="1"/>
  <c r="M1472" i="1"/>
  <c r="N1472" i="1"/>
  <c r="L1473" i="1"/>
  <c r="M1473" i="1"/>
  <c r="N1473" i="1"/>
  <c r="L1474" i="1"/>
  <c r="M1474" i="1"/>
  <c r="N1474" i="1"/>
  <c r="L1475" i="1"/>
  <c r="M1475" i="1"/>
  <c r="N1475" i="1"/>
  <c r="L1476" i="1"/>
  <c r="M1476" i="1"/>
  <c r="N1476" i="1"/>
  <c r="L1477" i="1"/>
  <c r="M1477" i="1"/>
  <c r="N1477" i="1"/>
  <c r="L1478" i="1"/>
  <c r="M1478" i="1"/>
  <c r="N1478" i="1"/>
  <c r="L1479" i="1"/>
  <c r="M1479" i="1"/>
  <c r="N1479" i="1"/>
  <c r="L1480" i="1"/>
  <c r="M1480" i="1"/>
  <c r="N1480" i="1"/>
  <c r="L1481" i="1"/>
  <c r="M1481" i="1"/>
  <c r="N1481" i="1"/>
  <c r="L1482" i="1"/>
  <c r="M1482" i="1"/>
  <c r="N1482" i="1"/>
  <c r="L1483" i="1"/>
  <c r="M1483" i="1"/>
  <c r="N1483" i="1"/>
  <c r="L1484" i="1"/>
  <c r="M1484" i="1"/>
  <c r="N1484" i="1"/>
  <c r="L1485" i="1"/>
  <c r="M1485" i="1"/>
  <c r="N1485" i="1"/>
  <c r="L1486" i="1"/>
  <c r="M1486" i="1"/>
  <c r="N1486" i="1"/>
  <c r="L1487" i="1"/>
  <c r="M1487" i="1"/>
  <c r="N1487" i="1"/>
  <c r="L1488" i="1"/>
  <c r="M1488" i="1"/>
  <c r="N1488" i="1"/>
  <c r="L1489" i="1"/>
  <c r="M1489" i="1"/>
  <c r="N1489" i="1"/>
  <c r="L1490" i="1"/>
  <c r="M1490" i="1"/>
  <c r="N1490" i="1"/>
  <c r="L1491" i="1"/>
  <c r="M1491" i="1"/>
  <c r="N1491" i="1"/>
  <c r="L1492" i="1"/>
  <c r="M1492" i="1"/>
  <c r="N1492" i="1"/>
  <c r="L1493" i="1"/>
  <c r="M1493" i="1"/>
  <c r="N1493" i="1"/>
  <c r="L1494" i="1"/>
  <c r="M1494" i="1"/>
  <c r="N1494" i="1"/>
  <c r="L1495" i="1"/>
  <c r="M1495" i="1"/>
  <c r="N1495" i="1"/>
  <c r="L1496" i="1"/>
  <c r="M1496" i="1"/>
  <c r="N1496" i="1"/>
  <c r="L1497" i="1"/>
  <c r="M1497" i="1"/>
  <c r="N1497" i="1"/>
  <c r="L1498" i="1"/>
  <c r="M1498" i="1"/>
  <c r="N1498" i="1"/>
  <c r="L1499" i="1"/>
  <c r="M1499" i="1"/>
  <c r="N1499" i="1"/>
  <c r="L1500" i="1"/>
  <c r="M1500" i="1"/>
  <c r="N1500" i="1"/>
  <c r="L1501" i="1"/>
  <c r="M1501" i="1"/>
  <c r="N1501" i="1"/>
  <c r="L1502" i="1"/>
  <c r="M1502" i="1"/>
  <c r="N1502" i="1"/>
  <c r="L1503" i="1"/>
  <c r="M1503" i="1"/>
  <c r="N1503" i="1"/>
  <c r="L1504" i="1"/>
  <c r="M1504" i="1"/>
  <c r="N1504" i="1"/>
  <c r="L1505" i="1"/>
  <c r="M1505" i="1"/>
  <c r="N1505" i="1"/>
  <c r="L1506" i="1"/>
  <c r="M1506" i="1"/>
  <c r="N1506" i="1"/>
  <c r="L1507" i="1"/>
  <c r="M1507" i="1"/>
  <c r="N1507" i="1"/>
  <c r="L1508" i="1"/>
  <c r="M1508" i="1"/>
  <c r="N1508" i="1"/>
  <c r="L1509" i="1"/>
  <c r="M1509" i="1"/>
  <c r="N1509" i="1"/>
  <c r="L1510" i="1"/>
  <c r="M1510" i="1"/>
  <c r="N1510" i="1"/>
  <c r="L1511" i="1"/>
  <c r="M1511" i="1"/>
  <c r="N1511" i="1"/>
  <c r="L1512" i="1"/>
  <c r="M1512" i="1"/>
  <c r="N1512" i="1"/>
  <c r="L1513" i="1"/>
  <c r="M1513" i="1"/>
  <c r="N1513" i="1"/>
  <c r="L1514" i="1"/>
  <c r="M1514" i="1"/>
  <c r="N1514" i="1"/>
  <c r="L1515" i="1"/>
  <c r="M1515" i="1"/>
  <c r="N1515" i="1"/>
  <c r="L1516" i="1"/>
  <c r="M1516" i="1"/>
  <c r="N1516" i="1"/>
  <c r="L1517" i="1"/>
  <c r="M1517" i="1"/>
  <c r="N1517" i="1"/>
  <c r="L1518" i="1"/>
  <c r="M1518" i="1"/>
  <c r="N1518" i="1"/>
  <c r="L1519" i="1"/>
  <c r="M1519" i="1"/>
  <c r="N1519" i="1"/>
  <c r="L1520" i="1"/>
  <c r="M1520" i="1"/>
  <c r="N1520" i="1"/>
  <c r="L1521" i="1"/>
  <c r="M1521" i="1"/>
  <c r="N1521" i="1"/>
  <c r="L1522" i="1"/>
  <c r="M1522" i="1"/>
  <c r="N1522" i="1"/>
  <c r="L1523" i="1"/>
  <c r="M1523" i="1"/>
  <c r="N1523" i="1"/>
  <c r="L1524" i="1"/>
  <c r="M1524" i="1"/>
  <c r="N1524" i="1"/>
  <c r="L1525" i="1"/>
  <c r="M1525" i="1"/>
  <c r="N1525" i="1"/>
  <c r="L1526" i="1"/>
  <c r="M1526" i="1"/>
  <c r="N1526" i="1"/>
  <c r="L1527" i="1"/>
  <c r="M1527" i="1"/>
  <c r="N1527" i="1"/>
  <c r="L1528" i="1"/>
  <c r="M1528" i="1"/>
  <c r="N1528" i="1"/>
  <c r="L1529" i="1"/>
  <c r="M1529" i="1"/>
  <c r="N1529" i="1"/>
  <c r="L1530" i="1"/>
  <c r="M1530" i="1"/>
  <c r="N1530" i="1"/>
  <c r="L1531" i="1"/>
  <c r="M1531" i="1"/>
  <c r="N1531" i="1"/>
  <c r="L1532" i="1"/>
  <c r="M1532" i="1"/>
  <c r="N1532" i="1"/>
  <c r="L1533" i="1"/>
  <c r="M1533" i="1"/>
  <c r="N1533" i="1"/>
  <c r="L1534" i="1"/>
  <c r="M1534" i="1"/>
  <c r="N1534" i="1"/>
  <c r="L1535" i="1"/>
  <c r="M1535" i="1"/>
  <c r="N1535" i="1"/>
  <c r="L1536" i="1"/>
  <c r="M1536" i="1"/>
  <c r="N1536" i="1"/>
  <c r="L1537" i="1"/>
  <c r="M1537" i="1"/>
  <c r="N1537" i="1"/>
  <c r="L1538" i="1"/>
  <c r="M1538" i="1"/>
  <c r="N1538" i="1"/>
  <c r="L1539" i="1"/>
  <c r="M1539" i="1"/>
  <c r="N1539" i="1"/>
  <c r="L1540" i="1"/>
  <c r="M1540" i="1"/>
  <c r="N1540" i="1"/>
  <c r="L1541" i="1"/>
  <c r="M1541" i="1"/>
  <c r="N1541" i="1"/>
  <c r="L1542" i="1"/>
  <c r="M1542" i="1"/>
  <c r="N1542" i="1"/>
  <c r="L1543" i="1"/>
  <c r="M1543" i="1"/>
  <c r="N1543" i="1"/>
  <c r="L1544" i="1"/>
  <c r="M1544" i="1"/>
  <c r="N1544" i="1"/>
  <c r="L1545" i="1"/>
  <c r="M1545" i="1"/>
  <c r="N1545" i="1"/>
  <c r="L1546" i="1"/>
  <c r="M1546" i="1"/>
  <c r="N1546" i="1"/>
  <c r="L1547" i="1"/>
  <c r="M1547" i="1"/>
  <c r="N1547" i="1"/>
  <c r="L1548" i="1"/>
  <c r="M1548" i="1"/>
  <c r="N1548" i="1"/>
  <c r="L1549" i="1"/>
  <c r="M1549" i="1"/>
  <c r="N1549" i="1"/>
  <c r="L1550" i="1"/>
  <c r="M1550" i="1"/>
  <c r="N1550" i="1"/>
  <c r="L1551" i="1"/>
  <c r="M1551" i="1"/>
  <c r="N1551" i="1"/>
  <c r="L1552" i="1"/>
  <c r="M1552" i="1"/>
  <c r="N1552" i="1"/>
  <c r="L1553" i="1"/>
  <c r="M1553" i="1"/>
  <c r="N1553" i="1"/>
  <c r="L1554" i="1"/>
  <c r="M1554" i="1"/>
  <c r="N1554" i="1"/>
  <c r="L1555" i="1"/>
  <c r="M1555" i="1"/>
  <c r="N1555" i="1"/>
  <c r="L1556" i="1"/>
  <c r="M1556" i="1"/>
  <c r="N1556" i="1"/>
  <c r="L1557" i="1"/>
  <c r="M1557" i="1"/>
  <c r="N1557" i="1"/>
  <c r="L1558" i="1"/>
  <c r="M1558" i="1"/>
  <c r="N1558" i="1"/>
  <c r="L1559" i="1"/>
  <c r="M1559" i="1"/>
  <c r="N1559" i="1"/>
  <c r="L1560" i="1"/>
  <c r="M1560" i="1"/>
  <c r="N1560" i="1"/>
  <c r="L1561" i="1"/>
  <c r="M1561" i="1"/>
  <c r="N1561" i="1"/>
  <c r="L1562" i="1"/>
  <c r="M1562" i="1"/>
  <c r="N1562" i="1"/>
  <c r="L1563" i="1"/>
  <c r="M1563" i="1"/>
  <c r="N1563" i="1"/>
  <c r="L1564" i="1"/>
  <c r="M1564" i="1"/>
  <c r="N1564" i="1"/>
  <c r="L1565" i="1"/>
  <c r="M1565" i="1"/>
  <c r="N1565" i="1"/>
  <c r="L1566" i="1"/>
  <c r="M1566" i="1"/>
  <c r="N1566" i="1"/>
  <c r="L1567" i="1"/>
  <c r="M1567" i="1"/>
  <c r="N1567" i="1"/>
  <c r="L1568" i="1"/>
  <c r="M1568" i="1"/>
  <c r="N1568" i="1"/>
  <c r="L1569" i="1"/>
  <c r="M1569" i="1"/>
  <c r="N1569" i="1"/>
  <c r="L1570" i="1"/>
  <c r="M1570" i="1"/>
  <c r="N1570" i="1"/>
  <c r="L1571" i="1"/>
  <c r="M1571" i="1"/>
  <c r="N1571" i="1"/>
  <c r="L1572" i="1"/>
  <c r="M1572" i="1"/>
  <c r="N1572" i="1"/>
  <c r="L1573" i="1"/>
  <c r="M1573" i="1"/>
  <c r="N1573" i="1"/>
  <c r="L1574" i="1"/>
  <c r="M1574" i="1"/>
  <c r="N1574" i="1"/>
  <c r="L1575" i="1"/>
  <c r="M1575" i="1"/>
  <c r="N1575" i="1"/>
  <c r="L1576" i="1"/>
  <c r="M1576" i="1"/>
  <c r="N1576" i="1"/>
  <c r="L1577" i="1"/>
  <c r="M1577" i="1"/>
  <c r="N1577" i="1"/>
  <c r="L1578" i="1"/>
  <c r="M1578" i="1"/>
  <c r="N1578" i="1"/>
  <c r="L1579" i="1"/>
  <c r="M1579" i="1"/>
  <c r="N1579" i="1"/>
  <c r="L1580" i="1"/>
  <c r="M1580" i="1"/>
  <c r="N1580" i="1"/>
  <c r="L1581" i="1"/>
  <c r="M1581" i="1"/>
  <c r="N1581" i="1"/>
  <c r="L1582" i="1"/>
  <c r="M1582" i="1"/>
  <c r="N1582" i="1"/>
  <c r="L1583" i="1"/>
  <c r="M1583" i="1"/>
  <c r="N1583" i="1"/>
  <c r="L1584" i="1"/>
  <c r="M1584" i="1"/>
  <c r="N1584" i="1"/>
  <c r="L1585" i="1"/>
  <c r="M1585" i="1"/>
  <c r="N1585" i="1"/>
  <c r="L1586" i="1"/>
  <c r="M1586" i="1"/>
  <c r="N1586" i="1"/>
  <c r="L1587" i="1"/>
  <c r="M1587" i="1"/>
  <c r="N1587" i="1"/>
  <c r="L1588" i="1"/>
  <c r="M1588" i="1"/>
  <c r="N1588" i="1"/>
  <c r="L1589" i="1"/>
  <c r="M1589" i="1"/>
  <c r="N1589" i="1"/>
  <c r="L1590" i="1"/>
  <c r="M1590" i="1"/>
  <c r="N1590" i="1"/>
  <c r="L1591" i="1"/>
  <c r="M1591" i="1"/>
  <c r="N1591" i="1"/>
  <c r="L1592" i="1"/>
  <c r="M1592" i="1"/>
  <c r="N1592" i="1"/>
  <c r="L1593" i="1"/>
  <c r="M1593" i="1"/>
  <c r="N1593" i="1"/>
  <c r="L1594" i="1"/>
  <c r="M1594" i="1"/>
  <c r="N1594" i="1"/>
  <c r="L1595" i="1"/>
  <c r="M1595" i="1"/>
  <c r="N1595" i="1"/>
  <c r="L1596" i="1"/>
  <c r="M1596" i="1"/>
  <c r="N1596" i="1"/>
  <c r="L1597" i="1"/>
  <c r="M1597" i="1"/>
  <c r="N1597" i="1"/>
  <c r="L1598" i="1"/>
  <c r="M1598" i="1"/>
  <c r="N1598" i="1"/>
  <c r="L1599" i="1"/>
  <c r="M1599" i="1"/>
  <c r="N1599" i="1"/>
  <c r="L1600" i="1"/>
  <c r="M1600" i="1"/>
  <c r="N1600" i="1"/>
  <c r="L1601" i="1"/>
  <c r="M1601" i="1"/>
  <c r="N1601" i="1"/>
  <c r="L1602" i="1"/>
  <c r="M1602" i="1"/>
  <c r="N1602" i="1"/>
  <c r="L1603" i="1"/>
  <c r="M1603" i="1"/>
  <c r="N1603" i="1"/>
  <c r="L1604" i="1"/>
  <c r="M1604" i="1"/>
  <c r="N1604" i="1"/>
  <c r="L1605" i="1"/>
  <c r="M1605" i="1"/>
  <c r="N1605" i="1"/>
  <c r="L1606" i="1"/>
  <c r="M1606" i="1"/>
  <c r="N1606" i="1"/>
  <c r="L1607" i="1"/>
  <c r="M1607" i="1"/>
  <c r="N1607" i="1"/>
  <c r="L1608" i="1"/>
  <c r="M1608" i="1"/>
  <c r="N1608" i="1"/>
  <c r="L1609" i="1"/>
  <c r="M1609" i="1"/>
  <c r="N1609" i="1"/>
  <c r="L1610" i="1"/>
  <c r="M1610" i="1"/>
  <c r="N1610" i="1"/>
  <c r="L1611" i="1"/>
  <c r="M1611" i="1"/>
  <c r="N1611" i="1"/>
  <c r="L1612" i="1"/>
  <c r="M1612" i="1"/>
  <c r="N1612" i="1"/>
  <c r="L1613" i="1"/>
  <c r="M1613" i="1"/>
  <c r="N1613" i="1"/>
  <c r="L1614" i="1"/>
  <c r="M1614" i="1"/>
  <c r="N1614" i="1"/>
  <c r="L1615" i="1"/>
  <c r="M1615" i="1"/>
  <c r="N1615" i="1"/>
  <c r="L1616" i="1"/>
  <c r="M1616" i="1"/>
  <c r="N1616" i="1"/>
  <c r="L1617" i="1"/>
  <c r="M1617" i="1"/>
  <c r="N1617" i="1"/>
  <c r="L1618" i="1"/>
  <c r="M1618" i="1"/>
  <c r="N1618" i="1"/>
  <c r="L1619" i="1"/>
  <c r="M1619" i="1"/>
  <c r="N1619" i="1"/>
  <c r="L1620" i="1"/>
  <c r="M1620" i="1"/>
  <c r="N1620" i="1"/>
  <c r="L1621" i="1"/>
  <c r="M1621" i="1"/>
  <c r="N1621" i="1"/>
  <c r="L1622" i="1"/>
  <c r="M1622" i="1"/>
  <c r="N1622" i="1"/>
  <c r="L1623" i="1"/>
  <c r="M1623" i="1"/>
  <c r="N1623" i="1"/>
  <c r="L1624" i="1"/>
  <c r="M1624" i="1"/>
  <c r="N1624" i="1"/>
  <c r="L1625" i="1"/>
  <c r="M1625" i="1"/>
  <c r="N1625" i="1"/>
  <c r="L1626" i="1"/>
  <c r="M1626" i="1"/>
  <c r="N1626" i="1"/>
  <c r="L1627" i="1"/>
  <c r="M1627" i="1"/>
  <c r="N1627" i="1"/>
  <c r="L1628" i="1"/>
  <c r="M1628" i="1"/>
  <c r="N1628" i="1"/>
  <c r="L1629" i="1"/>
  <c r="M1629" i="1"/>
  <c r="N1629" i="1"/>
  <c r="L1630" i="1"/>
  <c r="M1630" i="1"/>
  <c r="N1630" i="1"/>
  <c r="L1631" i="1"/>
  <c r="M1631" i="1"/>
  <c r="N1631" i="1"/>
  <c r="L1632" i="1"/>
  <c r="M1632" i="1"/>
  <c r="N1632" i="1"/>
  <c r="L1633" i="1"/>
  <c r="M1633" i="1"/>
  <c r="N1633" i="1"/>
  <c r="L1634" i="1"/>
  <c r="M1634" i="1"/>
  <c r="N1634" i="1"/>
  <c r="L1635" i="1"/>
  <c r="M1635" i="1"/>
  <c r="N1635" i="1"/>
  <c r="L1636" i="1"/>
  <c r="M1636" i="1"/>
  <c r="N1636" i="1"/>
  <c r="L1637" i="1"/>
  <c r="M1637" i="1"/>
  <c r="N1637" i="1"/>
  <c r="L1638" i="1"/>
  <c r="M1638" i="1"/>
  <c r="N1638" i="1"/>
  <c r="L1639" i="1"/>
  <c r="M1639" i="1"/>
  <c r="N1639" i="1"/>
  <c r="L1640" i="1"/>
  <c r="M1640" i="1"/>
  <c r="N1640" i="1"/>
  <c r="L1641" i="1"/>
  <c r="M1641" i="1"/>
  <c r="N1641" i="1"/>
  <c r="L1642" i="1"/>
  <c r="M1642" i="1"/>
  <c r="N1642" i="1"/>
  <c r="L1643" i="1"/>
  <c r="M1643" i="1"/>
  <c r="N1643" i="1"/>
  <c r="L1644" i="1"/>
  <c r="M1644" i="1"/>
  <c r="N1644" i="1"/>
  <c r="L1645" i="1"/>
  <c r="M1645" i="1"/>
  <c r="N1645" i="1"/>
  <c r="L1646" i="1"/>
  <c r="M1646" i="1"/>
  <c r="N1646" i="1"/>
  <c r="L1647" i="1"/>
  <c r="M1647" i="1"/>
  <c r="N1647" i="1"/>
  <c r="L1648" i="1"/>
  <c r="M1648" i="1"/>
  <c r="N1648" i="1"/>
  <c r="L1649" i="1"/>
  <c r="M1649" i="1"/>
  <c r="N1649" i="1"/>
  <c r="L1650" i="1"/>
  <c r="M1650" i="1"/>
  <c r="N1650" i="1"/>
  <c r="L1651" i="1"/>
  <c r="M1651" i="1"/>
  <c r="N1651" i="1"/>
  <c r="L1652" i="1"/>
  <c r="M1652" i="1"/>
  <c r="N1652" i="1"/>
  <c r="L1653" i="1"/>
  <c r="M1653" i="1"/>
  <c r="N1653" i="1"/>
  <c r="L1654" i="1"/>
  <c r="M1654" i="1"/>
  <c r="N1654" i="1"/>
  <c r="L1655" i="1"/>
  <c r="M1655" i="1"/>
  <c r="N1655" i="1"/>
  <c r="L1656" i="1"/>
  <c r="M1656" i="1"/>
  <c r="N1656" i="1"/>
  <c r="L1657" i="1"/>
  <c r="M1657" i="1"/>
  <c r="N1657" i="1"/>
  <c r="L1658" i="1"/>
  <c r="M1658" i="1"/>
  <c r="N1658" i="1"/>
  <c r="L1659" i="1"/>
  <c r="M1659" i="1"/>
  <c r="N1659" i="1"/>
  <c r="L1660" i="1"/>
  <c r="M1660" i="1"/>
  <c r="N1660" i="1"/>
  <c r="L1661" i="1"/>
  <c r="M1661" i="1"/>
  <c r="N1661" i="1"/>
  <c r="L1662" i="1"/>
  <c r="M1662" i="1"/>
  <c r="N1662" i="1"/>
  <c r="L1663" i="1"/>
  <c r="M1663" i="1"/>
  <c r="N1663" i="1"/>
  <c r="L1664" i="1"/>
  <c r="M1664" i="1"/>
  <c r="N1664" i="1"/>
  <c r="L1665" i="1"/>
  <c r="M1665" i="1"/>
  <c r="N1665" i="1"/>
  <c r="L1666" i="1"/>
  <c r="M1666" i="1"/>
  <c r="N1666" i="1"/>
  <c r="L1667" i="1"/>
  <c r="M1667" i="1"/>
  <c r="N1667" i="1"/>
  <c r="L1668" i="1"/>
  <c r="M1668" i="1"/>
  <c r="N1668" i="1"/>
  <c r="L1669" i="1"/>
  <c r="M1669" i="1"/>
  <c r="N1669" i="1"/>
  <c r="L1670" i="1"/>
  <c r="M1670" i="1"/>
  <c r="N1670" i="1"/>
  <c r="L1671" i="1"/>
  <c r="M1671" i="1"/>
  <c r="N1671" i="1"/>
  <c r="L1672" i="1"/>
  <c r="M1672" i="1"/>
  <c r="N1672" i="1"/>
  <c r="L1673" i="1"/>
  <c r="M1673" i="1"/>
  <c r="N1673" i="1"/>
  <c r="L1674" i="1"/>
  <c r="M1674" i="1"/>
  <c r="N1674" i="1"/>
  <c r="L1675" i="1"/>
  <c r="M1675" i="1"/>
  <c r="N1675" i="1"/>
  <c r="L1676" i="1"/>
  <c r="M1676" i="1"/>
  <c r="N1676" i="1"/>
  <c r="L1677" i="1"/>
  <c r="M1677" i="1"/>
  <c r="N1677" i="1"/>
  <c r="L1678" i="1"/>
  <c r="M1678" i="1"/>
  <c r="N1678" i="1"/>
  <c r="L1679" i="1"/>
  <c r="M1679" i="1"/>
  <c r="N1679" i="1"/>
  <c r="L1680" i="1"/>
  <c r="M1680" i="1"/>
  <c r="N1680" i="1"/>
  <c r="L1681" i="1"/>
  <c r="M1681" i="1"/>
  <c r="N1681" i="1"/>
  <c r="L1682" i="1"/>
  <c r="M1682" i="1"/>
  <c r="N1682" i="1"/>
  <c r="L1683" i="1"/>
  <c r="M1683" i="1"/>
  <c r="N1683" i="1"/>
  <c r="L1684" i="1"/>
  <c r="M1684" i="1"/>
  <c r="N1684" i="1"/>
  <c r="L1685" i="1"/>
  <c r="M1685" i="1"/>
  <c r="N1685" i="1"/>
  <c r="L1686" i="1"/>
  <c r="M1686" i="1"/>
  <c r="N1686" i="1"/>
  <c r="L1687" i="1"/>
  <c r="M1687" i="1"/>
  <c r="N1687" i="1"/>
  <c r="L1688" i="1"/>
  <c r="M1688" i="1"/>
  <c r="N1688" i="1"/>
  <c r="L1689" i="1"/>
  <c r="M1689" i="1"/>
  <c r="N1689" i="1"/>
  <c r="L1690" i="1"/>
  <c r="M1690" i="1"/>
  <c r="N1690" i="1"/>
  <c r="L1691" i="1"/>
  <c r="M1691" i="1"/>
  <c r="N1691" i="1"/>
  <c r="L1692" i="1"/>
  <c r="M1692" i="1"/>
  <c r="N1692" i="1"/>
  <c r="L1693" i="1"/>
  <c r="M1693" i="1"/>
  <c r="N1693" i="1"/>
  <c r="L1694" i="1"/>
  <c r="M1694" i="1"/>
  <c r="N1694" i="1"/>
  <c r="L1695" i="1"/>
  <c r="M1695" i="1"/>
  <c r="N1695" i="1"/>
  <c r="L1696" i="1"/>
  <c r="M1696" i="1"/>
  <c r="N1696" i="1"/>
  <c r="L1697" i="1"/>
  <c r="M1697" i="1"/>
  <c r="N1697" i="1"/>
  <c r="L1698" i="1"/>
  <c r="M1698" i="1"/>
  <c r="N1698" i="1"/>
  <c r="L1699" i="1"/>
  <c r="M1699" i="1"/>
  <c r="N1699" i="1"/>
  <c r="L1700" i="1"/>
  <c r="M1700" i="1"/>
  <c r="N1700" i="1"/>
  <c r="L1701" i="1"/>
  <c r="M1701" i="1"/>
  <c r="N1701" i="1"/>
  <c r="L1702" i="1"/>
  <c r="M1702" i="1"/>
  <c r="N1702" i="1"/>
  <c r="L1703" i="1"/>
  <c r="M1703" i="1"/>
  <c r="N1703" i="1"/>
  <c r="L1704" i="1"/>
  <c r="M1704" i="1"/>
  <c r="N1704" i="1"/>
  <c r="L1705" i="1"/>
  <c r="M1705" i="1"/>
  <c r="N1705" i="1"/>
  <c r="L1706" i="1"/>
  <c r="M1706" i="1"/>
  <c r="N1706" i="1"/>
  <c r="L1707" i="1"/>
  <c r="M1707" i="1"/>
  <c r="N1707" i="1"/>
  <c r="L1708" i="1"/>
  <c r="M1708" i="1"/>
  <c r="N1708" i="1"/>
  <c r="L1709" i="1"/>
  <c r="M1709" i="1"/>
  <c r="N1709" i="1"/>
  <c r="L1710" i="1"/>
  <c r="M1710" i="1"/>
  <c r="N1710" i="1"/>
  <c r="L1711" i="1"/>
  <c r="M1711" i="1"/>
  <c r="N1711" i="1"/>
  <c r="L1712" i="1"/>
  <c r="M1712" i="1"/>
  <c r="N1712" i="1"/>
  <c r="L1713" i="1"/>
  <c r="M1713" i="1"/>
  <c r="N1713" i="1"/>
  <c r="L1714" i="1"/>
  <c r="M1714" i="1"/>
  <c r="N1714" i="1"/>
  <c r="L1715" i="1"/>
  <c r="M1715" i="1"/>
  <c r="N1715" i="1"/>
  <c r="L1716" i="1"/>
  <c r="M1716" i="1"/>
  <c r="N1716" i="1"/>
  <c r="L1717" i="1"/>
  <c r="M1717" i="1"/>
  <c r="N1717" i="1"/>
  <c r="L1718" i="1"/>
  <c r="M1718" i="1"/>
  <c r="N1718" i="1"/>
  <c r="L1719" i="1"/>
  <c r="M1719" i="1"/>
  <c r="N1719" i="1"/>
  <c r="L1720" i="1"/>
  <c r="M1720" i="1"/>
  <c r="N1720" i="1"/>
  <c r="L1721" i="1"/>
  <c r="M1721" i="1"/>
  <c r="N1721" i="1"/>
  <c r="L1722" i="1"/>
  <c r="M1722" i="1"/>
  <c r="N1722" i="1"/>
  <c r="L1723" i="1"/>
  <c r="M1723" i="1"/>
  <c r="N1723" i="1"/>
  <c r="L1724" i="1"/>
  <c r="M1724" i="1"/>
  <c r="N1724" i="1"/>
  <c r="L1725" i="1"/>
  <c r="M1725" i="1"/>
  <c r="N1725" i="1"/>
  <c r="L1726" i="1"/>
  <c r="M1726" i="1"/>
  <c r="N1726" i="1"/>
  <c r="L1727" i="1"/>
  <c r="M1727" i="1"/>
  <c r="N1727" i="1"/>
  <c r="L1728" i="1"/>
  <c r="M1728" i="1"/>
  <c r="N1728" i="1"/>
  <c r="L1729" i="1"/>
  <c r="M1729" i="1"/>
  <c r="N1729" i="1"/>
  <c r="L1730" i="1"/>
  <c r="M1730" i="1"/>
  <c r="N1730" i="1"/>
  <c r="L1731" i="1"/>
  <c r="M1731" i="1"/>
  <c r="N1731" i="1"/>
  <c r="L1732" i="1"/>
  <c r="M1732" i="1"/>
  <c r="N1732" i="1"/>
  <c r="L1733" i="1"/>
  <c r="M1733" i="1"/>
  <c r="N1733" i="1"/>
  <c r="L1734" i="1"/>
  <c r="M1734" i="1"/>
  <c r="N1734" i="1"/>
  <c r="L1735" i="1"/>
  <c r="M1735" i="1"/>
  <c r="N1735" i="1"/>
  <c r="L1736" i="1"/>
  <c r="M1736" i="1"/>
  <c r="N1736" i="1"/>
  <c r="L1737" i="1"/>
  <c r="M1737" i="1"/>
  <c r="N1737" i="1"/>
  <c r="L1738" i="1"/>
  <c r="M1738" i="1"/>
  <c r="N1738" i="1"/>
  <c r="L1739" i="1"/>
  <c r="M1739" i="1"/>
  <c r="N1739" i="1"/>
  <c r="L1740" i="1"/>
  <c r="M1740" i="1"/>
  <c r="N1740" i="1"/>
  <c r="L1741" i="1"/>
  <c r="M1741" i="1"/>
  <c r="N1741" i="1"/>
  <c r="L1742" i="1"/>
  <c r="M1742" i="1"/>
  <c r="N1742" i="1"/>
  <c r="L1743" i="1"/>
  <c r="M1743" i="1"/>
  <c r="N1743" i="1"/>
  <c r="L1744" i="1"/>
  <c r="M1744" i="1"/>
  <c r="N1744" i="1"/>
  <c r="L1745" i="1"/>
  <c r="M1745" i="1"/>
  <c r="N1745" i="1"/>
  <c r="L1746" i="1"/>
  <c r="M1746" i="1"/>
  <c r="N1746" i="1"/>
  <c r="L1747" i="1"/>
  <c r="M1747" i="1"/>
  <c r="N1747" i="1"/>
  <c r="L1748" i="1"/>
  <c r="M1748" i="1"/>
  <c r="N1748" i="1"/>
  <c r="L1749" i="1"/>
  <c r="M1749" i="1"/>
  <c r="N1749" i="1"/>
  <c r="L1750" i="1"/>
  <c r="M1750" i="1"/>
  <c r="N1750" i="1"/>
  <c r="L1751" i="1"/>
  <c r="M1751" i="1"/>
  <c r="N1751" i="1"/>
  <c r="L1752" i="1"/>
  <c r="M1752" i="1"/>
  <c r="N1752" i="1"/>
  <c r="L1753" i="1"/>
  <c r="M1753" i="1"/>
  <c r="N1753" i="1"/>
  <c r="L1754" i="1"/>
  <c r="M1754" i="1"/>
  <c r="N1754" i="1"/>
  <c r="L1755" i="1"/>
  <c r="M1755" i="1"/>
  <c r="N1755" i="1"/>
  <c r="L1756" i="1"/>
  <c r="M1756" i="1"/>
  <c r="N1756" i="1"/>
  <c r="L1757" i="1"/>
  <c r="M1757" i="1"/>
  <c r="N1757" i="1"/>
  <c r="L1758" i="1"/>
  <c r="M1758" i="1"/>
  <c r="N1758" i="1"/>
  <c r="L1759" i="1"/>
  <c r="M1759" i="1"/>
  <c r="N1759" i="1"/>
  <c r="L1760" i="1"/>
  <c r="M1760" i="1"/>
  <c r="N1760" i="1"/>
  <c r="L1761" i="1"/>
  <c r="M1761" i="1"/>
  <c r="N1761" i="1"/>
  <c r="L1762" i="1"/>
  <c r="M1762" i="1"/>
  <c r="N1762" i="1"/>
  <c r="L1763" i="1"/>
  <c r="M1763" i="1"/>
  <c r="N1763" i="1"/>
  <c r="L1764" i="1"/>
  <c r="M1764" i="1"/>
  <c r="N1764" i="1"/>
  <c r="L1765" i="1"/>
  <c r="M1765" i="1"/>
  <c r="N1765" i="1"/>
  <c r="L1766" i="1"/>
  <c r="M1766" i="1"/>
  <c r="N1766" i="1"/>
  <c r="L1767" i="1"/>
  <c r="M1767" i="1"/>
  <c r="N1767" i="1"/>
  <c r="L1768" i="1"/>
  <c r="M1768" i="1"/>
  <c r="N1768" i="1"/>
  <c r="L1769" i="1"/>
  <c r="M1769" i="1"/>
  <c r="N1769" i="1"/>
  <c r="L1770" i="1"/>
  <c r="M1770" i="1"/>
  <c r="N1770" i="1"/>
  <c r="L1771" i="1"/>
  <c r="M1771" i="1"/>
  <c r="N1771" i="1"/>
  <c r="L1772" i="1"/>
  <c r="M1772" i="1"/>
  <c r="N1772" i="1"/>
  <c r="L1773" i="1"/>
  <c r="M1773" i="1"/>
  <c r="N1773" i="1"/>
  <c r="L1774" i="1"/>
  <c r="M1774" i="1"/>
  <c r="N1774" i="1"/>
  <c r="L1775" i="1"/>
  <c r="M1775" i="1"/>
  <c r="N1775" i="1"/>
  <c r="L1776" i="1"/>
  <c r="M1776" i="1"/>
  <c r="N1776" i="1"/>
  <c r="L1777" i="1"/>
  <c r="M1777" i="1"/>
  <c r="N1777" i="1"/>
  <c r="L1778" i="1"/>
  <c r="M1778" i="1"/>
  <c r="N1778" i="1"/>
  <c r="L1779" i="1"/>
  <c r="M1779" i="1"/>
  <c r="N1779" i="1"/>
  <c r="L1780" i="1"/>
  <c r="M1780" i="1"/>
  <c r="N1780" i="1"/>
  <c r="L1781" i="1"/>
  <c r="M1781" i="1"/>
  <c r="N1781" i="1"/>
  <c r="L1782" i="1"/>
  <c r="M1782" i="1"/>
  <c r="N1782" i="1"/>
  <c r="L1783" i="1"/>
  <c r="M1783" i="1"/>
  <c r="N1783" i="1"/>
  <c r="L1784" i="1"/>
  <c r="M1784" i="1"/>
  <c r="N1784" i="1"/>
  <c r="L1785" i="1"/>
  <c r="M1785" i="1"/>
  <c r="N1785" i="1"/>
  <c r="L1786" i="1"/>
  <c r="M1786" i="1"/>
  <c r="N1786" i="1"/>
  <c r="L1787" i="1"/>
  <c r="M1787" i="1"/>
  <c r="N1787" i="1"/>
  <c r="L1788" i="1"/>
  <c r="M1788" i="1"/>
  <c r="N1788" i="1"/>
  <c r="L1789" i="1"/>
  <c r="M1789" i="1"/>
  <c r="N1789" i="1"/>
  <c r="L1790" i="1"/>
  <c r="M1790" i="1"/>
  <c r="N1790" i="1"/>
  <c r="L1791" i="1"/>
  <c r="M1791" i="1"/>
  <c r="N1791" i="1"/>
  <c r="L1792" i="1"/>
  <c r="M1792" i="1"/>
  <c r="N1792" i="1"/>
  <c r="L1793" i="1"/>
  <c r="M1793" i="1"/>
  <c r="N1793" i="1"/>
  <c r="L1794" i="1"/>
  <c r="M1794" i="1"/>
  <c r="N1794" i="1"/>
  <c r="L1795" i="1"/>
  <c r="M1795" i="1"/>
  <c r="N1795" i="1"/>
  <c r="L1796" i="1"/>
  <c r="M1796" i="1"/>
  <c r="N1796" i="1"/>
  <c r="L1797" i="1"/>
  <c r="M1797" i="1"/>
  <c r="N1797" i="1"/>
  <c r="L1798" i="1"/>
  <c r="M1798" i="1"/>
  <c r="N1798" i="1"/>
  <c r="L1799" i="1"/>
  <c r="M1799" i="1"/>
  <c r="N1799" i="1"/>
  <c r="L1800" i="1"/>
  <c r="M1800" i="1"/>
  <c r="N1800" i="1"/>
  <c r="L1801" i="1"/>
  <c r="M1801" i="1"/>
  <c r="N1801" i="1"/>
  <c r="L1802" i="1"/>
  <c r="M1802" i="1"/>
  <c r="N1802" i="1"/>
  <c r="L1803" i="1"/>
  <c r="M1803" i="1"/>
  <c r="N1803" i="1"/>
  <c r="L1804" i="1"/>
  <c r="M1804" i="1"/>
  <c r="N1804" i="1"/>
  <c r="L1805" i="1"/>
  <c r="M1805" i="1"/>
  <c r="N1805" i="1"/>
  <c r="L1806" i="1"/>
  <c r="M1806" i="1"/>
  <c r="N1806" i="1"/>
  <c r="L1807" i="1"/>
  <c r="M1807" i="1"/>
  <c r="N1807" i="1"/>
  <c r="L1808" i="1"/>
  <c r="M1808" i="1"/>
  <c r="N1808" i="1"/>
  <c r="L1809" i="1"/>
  <c r="M1809" i="1"/>
  <c r="N1809" i="1"/>
  <c r="L1810" i="1"/>
  <c r="M1810" i="1"/>
  <c r="N1810" i="1"/>
  <c r="L1811" i="1"/>
  <c r="M1811" i="1"/>
  <c r="N1811" i="1"/>
  <c r="L1812" i="1"/>
  <c r="M1812" i="1"/>
  <c r="N1812" i="1"/>
  <c r="L1813" i="1"/>
  <c r="M1813" i="1"/>
  <c r="N1813" i="1"/>
  <c r="L1814" i="1"/>
  <c r="M1814" i="1"/>
  <c r="N1814" i="1"/>
  <c r="L1815" i="1"/>
  <c r="M1815" i="1"/>
  <c r="N1815" i="1"/>
  <c r="L1816" i="1"/>
  <c r="M1816" i="1"/>
  <c r="N1816" i="1"/>
  <c r="L1817" i="1"/>
  <c r="M1817" i="1"/>
  <c r="N1817" i="1"/>
  <c r="L1818" i="1"/>
  <c r="M1818" i="1"/>
  <c r="N1818" i="1"/>
  <c r="L1819" i="1"/>
  <c r="M1819" i="1"/>
  <c r="N1819" i="1"/>
  <c r="L1820" i="1"/>
  <c r="M1820" i="1"/>
  <c r="N1820" i="1"/>
  <c r="L1821" i="1"/>
  <c r="M1821" i="1"/>
  <c r="N1821" i="1"/>
  <c r="L1822" i="1"/>
  <c r="M1822" i="1"/>
  <c r="N1822" i="1"/>
  <c r="L1823" i="1"/>
  <c r="M1823" i="1"/>
  <c r="N1823" i="1"/>
  <c r="L1824" i="1"/>
  <c r="M1824" i="1"/>
  <c r="N1824" i="1"/>
  <c r="L1825" i="1"/>
  <c r="M1825" i="1"/>
  <c r="N1825" i="1"/>
  <c r="L1826" i="1"/>
  <c r="M1826" i="1"/>
  <c r="N1826" i="1"/>
  <c r="L1827" i="1"/>
  <c r="M1827" i="1"/>
  <c r="N1827" i="1"/>
  <c r="L1828" i="1"/>
  <c r="M1828" i="1"/>
  <c r="N1828" i="1"/>
  <c r="L1829" i="1"/>
  <c r="M1829" i="1"/>
  <c r="N1829" i="1"/>
  <c r="L1830" i="1"/>
  <c r="M1830" i="1"/>
  <c r="N1830" i="1"/>
  <c r="L1831" i="1"/>
  <c r="M1831" i="1"/>
  <c r="N1831" i="1"/>
  <c r="L1832" i="1"/>
  <c r="M1832" i="1"/>
  <c r="N1832" i="1"/>
  <c r="L1833" i="1"/>
  <c r="M1833" i="1"/>
  <c r="N1833" i="1"/>
  <c r="L1834" i="1"/>
  <c r="M1834" i="1"/>
  <c r="N1834" i="1"/>
  <c r="L1835" i="1"/>
  <c r="M1835" i="1"/>
  <c r="N1835" i="1"/>
  <c r="L1836" i="1"/>
  <c r="M1836" i="1"/>
  <c r="N1836" i="1"/>
  <c r="L1837" i="1"/>
  <c r="M1837" i="1"/>
  <c r="N1837" i="1"/>
  <c r="L1838" i="1"/>
  <c r="M1838" i="1"/>
  <c r="N1838" i="1"/>
  <c r="L1839" i="1"/>
  <c r="M1839" i="1"/>
  <c r="N1839" i="1"/>
  <c r="L1840" i="1"/>
  <c r="M1840" i="1"/>
  <c r="N1840" i="1"/>
  <c r="L1841" i="1"/>
  <c r="M1841" i="1"/>
  <c r="N1841" i="1"/>
  <c r="L1842" i="1"/>
  <c r="M1842" i="1"/>
  <c r="N1842" i="1"/>
  <c r="L1843" i="1"/>
  <c r="M1843" i="1"/>
  <c r="N1843" i="1"/>
  <c r="L1844" i="1"/>
  <c r="M1844" i="1"/>
  <c r="N1844" i="1"/>
  <c r="L1845" i="1"/>
  <c r="M1845" i="1"/>
  <c r="N1845" i="1"/>
  <c r="L1846" i="1"/>
  <c r="M1846" i="1"/>
  <c r="N1846" i="1"/>
  <c r="L1847" i="1"/>
  <c r="M1847" i="1"/>
  <c r="N1847" i="1"/>
  <c r="L1848" i="1"/>
  <c r="M1848" i="1"/>
  <c r="N1848" i="1"/>
  <c r="L1849" i="1"/>
  <c r="M1849" i="1"/>
  <c r="N1849" i="1"/>
  <c r="L1850" i="1"/>
  <c r="M1850" i="1"/>
  <c r="N1850" i="1"/>
  <c r="L1851" i="1"/>
  <c r="M1851" i="1"/>
  <c r="N1851" i="1"/>
  <c r="L1852" i="1"/>
  <c r="M1852" i="1"/>
  <c r="N1852" i="1"/>
  <c r="L1853" i="1"/>
  <c r="M1853" i="1"/>
  <c r="N1853" i="1"/>
  <c r="L1854" i="1"/>
  <c r="M1854" i="1"/>
  <c r="N1854" i="1"/>
  <c r="L1855" i="1"/>
  <c r="M1855" i="1"/>
  <c r="N1855" i="1"/>
  <c r="L1856" i="1"/>
  <c r="M1856" i="1"/>
  <c r="N1856" i="1"/>
  <c r="L1857" i="1"/>
  <c r="M1857" i="1"/>
  <c r="N1857" i="1"/>
  <c r="L1858" i="1"/>
  <c r="M1858" i="1"/>
  <c r="N1858" i="1"/>
  <c r="L1859" i="1"/>
  <c r="M1859" i="1"/>
  <c r="N1859" i="1"/>
  <c r="L1860" i="1"/>
  <c r="M1860" i="1"/>
  <c r="N1860" i="1"/>
  <c r="L1861" i="1"/>
  <c r="M1861" i="1"/>
  <c r="N1861" i="1"/>
  <c r="L1862" i="1"/>
  <c r="M1862" i="1"/>
  <c r="N1862" i="1"/>
  <c r="L1863" i="1"/>
  <c r="M1863" i="1"/>
  <c r="N1863" i="1"/>
  <c r="L1864" i="1"/>
  <c r="M1864" i="1"/>
  <c r="N1864" i="1"/>
  <c r="L1865" i="1"/>
  <c r="M1865" i="1"/>
  <c r="N1865" i="1"/>
  <c r="L1866" i="1"/>
  <c r="M1866" i="1"/>
  <c r="N1866" i="1"/>
  <c r="L1867" i="1"/>
  <c r="M1867" i="1"/>
  <c r="N1867" i="1"/>
  <c r="L1868" i="1"/>
  <c r="M1868" i="1"/>
  <c r="N1868" i="1"/>
  <c r="L1869" i="1"/>
  <c r="M1869" i="1"/>
  <c r="N1869" i="1"/>
  <c r="L1870" i="1"/>
  <c r="M1870" i="1"/>
  <c r="N1870" i="1"/>
  <c r="L1871" i="1"/>
  <c r="M1871" i="1"/>
  <c r="N1871" i="1"/>
  <c r="L1872" i="1"/>
  <c r="M1872" i="1"/>
  <c r="N1872" i="1"/>
  <c r="L1873" i="1"/>
  <c r="M1873" i="1"/>
  <c r="N1873" i="1"/>
  <c r="L1874" i="1"/>
  <c r="M1874" i="1"/>
  <c r="N1874" i="1"/>
  <c r="L1875" i="1"/>
  <c r="M1875" i="1"/>
  <c r="N1875" i="1"/>
  <c r="L1876" i="1"/>
  <c r="M1876" i="1"/>
  <c r="N1876" i="1"/>
  <c r="L1877" i="1"/>
  <c r="M1877" i="1"/>
  <c r="N1877" i="1"/>
  <c r="L1878" i="1"/>
  <c r="M1878" i="1"/>
  <c r="N1878" i="1"/>
  <c r="L1879" i="1"/>
  <c r="M1879" i="1"/>
  <c r="N1879" i="1"/>
  <c r="L1880" i="1"/>
  <c r="M1880" i="1"/>
  <c r="N1880" i="1"/>
  <c r="L1881" i="1"/>
  <c r="M1881" i="1"/>
  <c r="N1881" i="1"/>
  <c r="L1882" i="1"/>
  <c r="M1882" i="1"/>
  <c r="N1882" i="1"/>
  <c r="L1883" i="1"/>
  <c r="M1883" i="1"/>
  <c r="N1883" i="1"/>
  <c r="L1884" i="1"/>
  <c r="M1884" i="1"/>
  <c r="N1884" i="1"/>
  <c r="L1885" i="1"/>
  <c r="M1885" i="1"/>
  <c r="N1885" i="1"/>
  <c r="L1886" i="1"/>
  <c r="M1886" i="1"/>
  <c r="N1886" i="1"/>
  <c r="L1887" i="1"/>
  <c r="M1887" i="1"/>
  <c r="N1887" i="1"/>
  <c r="L1888" i="1"/>
  <c r="M1888" i="1"/>
  <c r="N1888" i="1"/>
  <c r="L1889" i="1"/>
  <c r="M1889" i="1"/>
  <c r="N1889" i="1"/>
  <c r="L1890" i="1"/>
  <c r="M1890" i="1"/>
  <c r="N1890" i="1"/>
  <c r="L1891" i="1"/>
  <c r="M1891" i="1"/>
  <c r="N1891" i="1"/>
  <c r="L1892" i="1"/>
  <c r="M1892" i="1"/>
  <c r="N1892" i="1"/>
  <c r="L1893" i="1"/>
  <c r="M1893" i="1"/>
  <c r="N1893" i="1"/>
  <c r="L1894" i="1"/>
  <c r="M1894" i="1"/>
  <c r="N1894" i="1"/>
  <c r="L1895" i="1"/>
  <c r="M1895" i="1"/>
  <c r="N1895" i="1"/>
  <c r="L1896" i="1"/>
  <c r="M1896" i="1"/>
  <c r="N1896" i="1"/>
  <c r="L1897" i="1"/>
  <c r="M1897" i="1"/>
  <c r="N1897" i="1"/>
  <c r="L1898" i="1"/>
  <c r="M1898" i="1"/>
  <c r="N1898" i="1"/>
  <c r="L1899" i="1"/>
  <c r="M1899" i="1"/>
  <c r="N1899" i="1"/>
  <c r="L1900" i="1"/>
  <c r="M1900" i="1"/>
  <c r="N1900" i="1"/>
  <c r="L1901" i="1"/>
  <c r="M1901" i="1"/>
  <c r="N1901" i="1"/>
  <c r="L1902" i="1"/>
  <c r="M1902" i="1"/>
  <c r="N1902" i="1"/>
  <c r="L1903" i="1"/>
  <c r="M1903" i="1"/>
  <c r="N1903" i="1"/>
  <c r="L1904" i="1"/>
  <c r="M1904" i="1"/>
  <c r="N1904" i="1"/>
  <c r="L1905" i="1"/>
  <c r="M1905" i="1"/>
  <c r="N1905" i="1"/>
  <c r="L1906" i="1"/>
  <c r="M1906" i="1"/>
  <c r="N1906" i="1"/>
  <c r="L1907" i="1"/>
  <c r="M1907" i="1"/>
  <c r="N1907" i="1"/>
  <c r="L1908" i="1"/>
  <c r="M1908" i="1"/>
  <c r="N1908" i="1"/>
  <c r="L1909" i="1"/>
  <c r="M1909" i="1"/>
  <c r="N1909" i="1"/>
  <c r="L1910" i="1"/>
  <c r="M1910" i="1"/>
  <c r="N1910" i="1"/>
  <c r="L1911" i="1"/>
  <c r="M1911" i="1"/>
  <c r="N1911" i="1"/>
  <c r="L1912" i="1"/>
  <c r="M1912" i="1"/>
  <c r="N1912" i="1"/>
  <c r="L1913" i="1"/>
  <c r="M1913" i="1"/>
  <c r="N1913" i="1"/>
  <c r="L1914" i="1"/>
  <c r="M1914" i="1"/>
  <c r="N1914" i="1"/>
  <c r="L1915" i="1"/>
  <c r="M1915" i="1"/>
  <c r="N1915" i="1"/>
  <c r="L1916" i="1"/>
  <c r="M1916" i="1"/>
  <c r="N1916" i="1"/>
  <c r="L1917" i="1"/>
  <c r="M1917" i="1"/>
  <c r="N1917" i="1"/>
  <c r="L1918" i="1"/>
  <c r="M1918" i="1"/>
  <c r="N1918" i="1"/>
  <c r="L1919" i="1"/>
  <c r="M1919" i="1"/>
  <c r="N1919" i="1"/>
  <c r="L1920" i="1"/>
  <c r="M1920" i="1"/>
  <c r="N1920" i="1"/>
  <c r="L1921" i="1"/>
  <c r="M1921" i="1"/>
  <c r="N1921" i="1"/>
  <c r="L1922" i="1"/>
  <c r="M1922" i="1"/>
  <c r="N1922" i="1"/>
  <c r="L1923" i="1"/>
  <c r="M1923" i="1"/>
  <c r="N1923" i="1"/>
  <c r="L1924" i="1"/>
  <c r="M1924" i="1"/>
  <c r="N1924" i="1"/>
  <c r="L1925" i="1"/>
  <c r="M1925" i="1"/>
  <c r="N1925" i="1"/>
  <c r="L1926" i="1"/>
  <c r="M1926" i="1"/>
  <c r="N1926" i="1"/>
  <c r="L1927" i="1"/>
  <c r="M1927" i="1"/>
  <c r="N1927" i="1"/>
  <c r="L1928" i="1"/>
  <c r="M1928" i="1"/>
  <c r="N1928" i="1"/>
  <c r="L1929" i="1"/>
  <c r="M1929" i="1"/>
  <c r="N1929" i="1"/>
  <c r="L1930" i="1"/>
  <c r="M1930" i="1"/>
  <c r="N1930" i="1"/>
  <c r="L1931" i="1"/>
  <c r="M1931" i="1"/>
  <c r="N1931" i="1"/>
  <c r="L1932" i="1"/>
  <c r="M1932" i="1"/>
  <c r="N1932" i="1"/>
  <c r="L1933" i="1"/>
  <c r="M1933" i="1"/>
  <c r="N1933" i="1"/>
  <c r="L1934" i="1"/>
  <c r="M1934" i="1"/>
  <c r="N1934" i="1"/>
  <c r="L1935" i="1"/>
  <c r="M1935" i="1"/>
  <c r="N1935" i="1"/>
  <c r="L1936" i="1"/>
  <c r="M1936" i="1"/>
  <c r="N1936" i="1"/>
  <c r="L1937" i="1"/>
  <c r="M1937" i="1"/>
  <c r="N1937" i="1"/>
  <c r="L1938" i="1"/>
  <c r="M1938" i="1"/>
  <c r="N1938" i="1"/>
  <c r="L1939" i="1"/>
  <c r="M1939" i="1"/>
  <c r="N1939" i="1"/>
  <c r="L1940" i="1"/>
  <c r="M1940" i="1"/>
  <c r="N1940" i="1"/>
  <c r="L1941" i="1"/>
  <c r="M1941" i="1"/>
  <c r="N1941" i="1"/>
  <c r="L1942" i="1"/>
  <c r="M1942" i="1"/>
  <c r="N1942" i="1"/>
  <c r="L1943" i="1"/>
  <c r="M1943" i="1"/>
  <c r="N1943" i="1"/>
  <c r="L1944" i="1"/>
  <c r="M1944" i="1"/>
  <c r="N1944" i="1"/>
  <c r="L1945" i="1"/>
  <c r="M1945" i="1"/>
  <c r="N1945" i="1"/>
  <c r="L1946" i="1"/>
  <c r="M1946" i="1"/>
  <c r="N1946" i="1"/>
  <c r="L1947" i="1"/>
  <c r="M1947" i="1"/>
  <c r="N1947" i="1"/>
  <c r="L1948" i="1"/>
  <c r="M1948" i="1"/>
  <c r="N1948" i="1"/>
  <c r="L1949" i="1"/>
  <c r="M1949" i="1"/>
  <c r="N1949" i="1"/>
  <c r="L1950" i="1"/>
  <c r="M1950" i="1"/>
  <c r="N1950" i="1"/>
  <c r="L1951" i="1"/>
  <c r="M1951" i="1"/>
  <c r="N1951" i="1"/>
  <c r="L1952" i="1"/>
  <c r="M1952" i="1"/>
  <c r="N1952" i="1"/>
  <c r="L1953" i="1"/>
  <c r="M1953" i="1"/>
  <c r="N1953" i="1"/>
  <c r="L1954" i="1"/>
  <c r="M1954" i="1"/>
  <c r="N1954" i="1"/>
  <c r="L1955" i="1"/>
  <c r="M1955" i="1"/>
  <c r="N1955" i="1"/>
  <c r="L1956" i="1"/>
  <c r="M1956" i="1"/>
  <c r="N1956" i="1"/>
  <c r="L1957" i="1"/>
  <c r="M1957" i="1"/>
  <c r="N1957" i="1"/>
  <c r="L1958" i="1"/>
  <c r="M1958" i="1"/>
  <c r="N1958" i="1"/>
  <c r="L1959" i="1"/>
  <c r="M1959" i="1"/>
  <c r="N1959" i="1"/>
  <c r="L1960" i="1"/>
  <c r="M1960" i="1"/>
  <c r="N1960" i="1"/>
  <c r="L1961" i="1"/>
  <c r="M1961" i="1"/>
  <c r="N1961" i="1"/>
  <c r="L1962" i="1"/>
  <c r="M1962" i="1"/>
  <c r="N1962" i="1"/>
  <c r="L1963" i="1"/>
  <c r="M1963" i="1"/>
  <c r="N1963" i="1"/>
  <c r="L1964" i="1"/>
  <c r="M1964" i="1"/>
  <c r="N1964" i="1"/>
  <c r="L1965" i="1"/>
  <c r="M1965" i="1"/>
  <c r="N1965" i="1"/>
  <c r="L1966" i="1"/>
  <c r="M1966" i="1"/>
  <c r="N1966" i="1"/>
  <c r="L1967" i="1"/>
  <c r="M1967" i="1"/>
  <c r="N1967" i="1"/>
  <c r="L1968" i="1"/>
  <c r="M1968" i="1"/>
  <c r="N1968" i="1"/>
  <c r="L1969" i="1"/>
  <c r="M1969" i="1"/>
  <c r="N1969" i="1"/>
  <c r="L1970" i="1"/>
  <c r="M1970" i="1"/>
  <c r="N1970" i="1"/>
  <c r="L1971" i="1"/>
  <c r="M1971" i="1"/>
  <c r="N1971" i="1"/>
  <c r="L1972" i="1"/>
  <c r="M1972" i="1"/>
  <c r="N1972" i="1"/>
  <c r="L1973" i="1"/>
  <c r="M1973" i="1"/>
  <c r="N1973" i="1"/>
  <c r="L1974" i="1"/>
  <c r="M1974" i="1"/>
  <c r="N1974" i="1"/>
  <c r="L1975" i="1"/>
  <c r="M1975" i="1"/>
  <c r="N1975" i="1"/>
  <c r="L1976" i="1"/>
  <c r="M1976" i="1"/>
  <c r="N1976" i="1"/>
  <c r="L1977" i="1"/>
  <c r="M1977" i="1"/>
  <c r="N1977" i="1"/>
  <c r="L1978" i="1"/>
  <c r="M1978" i="1"/>
  <c r="N1978" i="1"/>
  <c r="L1979" i="1"/>
  <c r="M1979" i="1"/>
  <c r="N1979" i="1"/>
  <c r="L1980" i="1"/>
  <c r="M1980" i="1"/>
  <c r="N1980" i="1"/>
  <c r="L1981" i="1"/>
  <c r="M1981" i="1"/>
  <c r="N1981" i="1"/>
  <c r="L1982" i="1"/>
  <c r="M1982" i="1"/>
  <c r="N1982" i="1"/>
  <c r="L1983" i="1"/>
  <c r="M1983" i="1"/>
  <c r="N1983" i="1"/>
  <c r="L1984" i="1"/>
  <c r="M1984" i="1"/>
  <c r="N1984" i="1"/>
  <c r="L1985" i="1"/>
  <c r="M1985" i="1"/>
  <c r="N1985" i="1"/>
  <c r="L1986" i="1"/>
  <c r="M1986" i="1"/>
  <c r="N1986" i="1"/>
  <c r="L1987" i="1"/>
  <c r="M1987" i="1"/>
  <c r="N1987" i="1"/>
  <c r="L1988" i="1"/>
  <c r="M1988" i="1"/>
  <c r="N1988" i="1"/>
  <c r="L1989" i="1"/>
  <c r="M1989" i="1"/>
  <c r="N1989" i="1"/>
  <c r="L1990" i="1"/>
  <c r="M1990" i="1"/>
  <c r="N1990" i="1"/>
  <c r="L1991" i="1"/>
  <c r="M1991" i="1"/>
  <c r="N1991" i="1"/>
  <c r="L1992" i="1"/>
  <c r="M1992" i="1"/>
  <c r="N1992" i="1"/>
  <c r="L1993" i="1"/>
  <c r="M1993" i="1"/>
  <c r="N1993" i="1"/>
  <c r="L1994" i="1"/>
  <c r="M1994" i="1"/>
  <c r="N1994" i="1"/>
  <c r="L1995" i="1"/>
  <c r="M1995" i="1"/>
  <c r="N1995" i="1"/>
  <c r="L1996" i="1"/>
  <c r="M1996" i="1"/>
  <c r="N1996" i="1"/>
  <c r="L1997" i="1"/>
  <c r="M1997" i="1"/>
  <c r="N1997" i="1"/>
  <c r="L1998" i="1"/>
  <c r="M1998" i="1"/>
  <c r="N1998" i="1"/>
  <c r="L1999" i="1"/>
  <c r="M1999" i="1"/>
  <c r="N1999" i="1"/>
  <c r="L2000" i="1"/>
  <c r="M2000" i="1"/>
  <c r="N2000" i="1"/>
  <c r="L2001" i="1"/>
  <c r="M2001" i="1"/>
  <c r="N2001" i="1"/>
  <c r="L2002" i="1"/>
  <c r="M2002" i="1"/>
  <c r="N2002" i="1"/>
  <c r="L2003" i="1"/>
  <c r="M2003" i="1"/>
  <c r="N2003" i="1"/>
  <c r="L2004" i="1"/>
  <c r="M2004" i="1"/>
  <c r="N2004" i="1"/>
  <c r="L2005" i="1"/>
  <c r="M2005" i="1"/>
  <c r="N2005" i="1"/>
  <c r="L2006" i="1"/>
  <c r="M2006" i="1"/>
  <c r="N2006" i="1"/>
  <c r="L2007" i="1"/>
  <c r="M2007" i="1"/>
  <c r="N2007" i="1"/>
  <c r="L2008" i="1"/>
  <c r="M2008" i="1"/>
  <c r="N2008" i="1"/>
  <c r="L2009" i="1"/>
  <c r="M2009" i="1"/>
  <c r="N2009" i="1"/>
  <c r="L2010" i="1"/>
  <c r="M2010" i="1"/>
  <c r="N2010" i="1"/>
  <c r="L2011" i="1"/>
  <c r="M2011" i="1"/>
  <c r="N2011" i="1"/>
  <c r="L2012" i="1"/>
  <c r="M2012" i="1"/>
  <c r="N2012" i="1"/>
  <c r="L2013" i="1"/>
  <c r="M2013" i="1"/>
  <c r="N2013" i="1"/>
  <c r="L2014" i="1"/>
  <c r="M2014" i="1"/>
  <c r="N2014" i="1"/>
  <c r="L2015" i="1"/>
  <c r="M2015" i="1"/>
  <c r="N2015" i="1"/>
  <c r="L2016" i="1"/>
  <c r="M2016" i="1"/>
  <c r="N2016" i="1"/>
  <c r="L2017" i="1"/>
  <c r="M2017" i="1"/>
  <c r="N2017" i="1"/>
  <c r="L2018" i="1"/>
  <c r="M2018" i="1"/>
  <c r="N2018" i="1"/>
  <c r="L2019" i="1"/>
  <c r="M2019" i="1"/>
  <c r="N2019" i="1"/>
  <c r="L2020" i="1"/>
  <c r="M2020" i="1"/>
  <c r="N2020" i="1"/>
  <c r="L2021" i="1"/>
  <c r="M2021" i="1"/>
  <c r="N2021" i="1"/>
  <c r="L2022" i="1"/>
  <c r="M2022" i="1"/>
  <c r="N2022" i="1"/>
  <c r="L2023" i="1"/>
  <c r="M2023" i="1"/>
  <c r="N2023" i="1"/>
  <c r="L2024" i="1"/>
  <c r="M2024" i="1"/>
  <c r="N2024" i="1"/>
  <c r="L2025" i="1"/>
  <c r="M2025" i="1"/>
  <c r="N2025" i="1"/>
  <c r="M3" i="1"/>
  <c r="N3" i="1"/>
  <c r="L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R1267" i="1"/>
  <c r="R1611" i="1"/>
  <c r="R1833" i="1"/>
  <c r="R1884" i="1"/>
  <c r="P2025" i="1"/>
  <c r="P2024" i="1"/>
  <c r="P2023" i="1"/>
  <c r="P2022" i="1"/>
  <c r="P2021" i="1"/>
  <c r="R2020" i="1" s="1"/>
  <c r="P2020" i="1"/>
  <c r="P2019" i="1"/>
  <c r="P2018" i="1"/>
  <c r="P2017" i="1"/>
  <c r="P2016" i="1"/>
  <c r="P2015" i="1"/>
  <c r="P2014" i="1"/>
  <c r="R2014" i="1" s="1"/>
  <c r="P2013" i="1"/>
  <c r="P2012" i="1"/>
  <c r="P2011" i="1"/>
  <c r="P2010" i="1"/>
  <c r="P2009" i="1"/>
  <c r="P2008" i="1"/>
  <c r="P2007" i="1"/>
  <c r="P2006" i="1"/>
  <c r="P2005" i="1"/>
  <c r="R2004" i="1" s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R1958" i="1" s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R1918" i="1" s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R1902" i="1" s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R1891" i="1" s="1"/>
  <c r="P1890" i="1"/>
  <c r="P1889" i="1"/>
  <c r="P1888" i="1"/>
  <c r="P1887" i="1"/>
  <c r="P1886" i="1"/>
  <c r="P1885" i="1"/>
  <c r="P1884" i="1"/>
  <c r="P1883" i="1"/>
  <c r="R1883" i="1" s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R1867" i="1" s="1"/>
  <c r="P1866" i="1"/>
  <c r="P1865" i="1"/>
  <c r="P1864" i="1"/>
  <c r="P1863" i="1"/>
  <c r="P1862" i="1"/>
  <c r="P1861" i="1"/>
  <c r="P1860" i="1"/>
  <c r="P1859" i="1"/>
  <c r="R1859" i="1" s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R1846" i="1" s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R1827" i="1" s="1"/>
  <c r="P1826" i="1"/>
  <c r="P1825" i="1"/>
  <c r="P1824" i="1"/>
  <c r="P1823" i="1"/>
  <c r="P1822" i="1"/>
  <c r="P1821" i="1"/>
  <c r="P1820" i="1"/>
  <c r="R1820" i="1" s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R1807" i="1" s="1"/>
  <c r="P1806" i="1"/>
  <c r="P1805" i="1"/>
  <c r="P1804" i="1"/>
  <c r="P1803" i="1"/>
  <c r="R1803" i="1" s="1"/>
  <c r="P1802" i="1"/>
  <c r="P1801" i="1"/>
  <c r="P1800" i="1"/>
  <c r="P1799" i="1"/>
  <c r="R1799" i="1" s="1"/>
  <c r="P1798" i="1"/>
  <c r="P1797" i="1"/>
  <c r="P1796" i="1"/>
  <c r="P1795" i="1"/>
  <c r="P1794" i="1"/>
  <c r="P1793" i="1"/>
  <c r="P1792" i="1"/>
  <c r="P1791" i="1"/>
  <c r="R1791" i="1" s="1"/>
  <c r="P1790" i="1"/>
  <c r="P1789" i="1"/>
  <c r="P1788" i="1"/>
  <c r="P1787" i="1"/>
  <c r="R1787" i="1" s="1"/>
  <c r="P1786" i="1"/>
  <c r="P1785" i="1"/>
  <c r="P1784" i="1"/>
  <c r="P1783" i="1"/>
  <c r="R1783" i="1" s="1"/>
  <c r="P1782" i="1"/>
  <c r="P1781" i="1"/>
  <c r="R1780" i="1" s="1"/>
  <c r="P1780" i="1"/>
  <c r="P1779" i="1"/>
  <c r="P1778" i="1"/>
  <c r="P1777" i="1"/>
  <c r="P1776" i="1"/>
  <c r="P1775" i="1"/>
  <c r="R1775" i="1" s="1"/>
  <c r="P1774" i="1"/>
  <c r="P1773" i="1"/>
  <c r="P1772" i="1"/>
  <c r="P1771" i="1"/>
  <c r="P1770" i="1"/>
  <c r="P1769" i="1"/>
  <c r="P1768" i="1"/>
  <c r="P1767" i="1"/>
  <c r="R1767" i="1" s="1"/>
  <c r="P1766" i="1"/>
  <c r="P1765" i="1"/>
  <c r="P1764" i="1"/>
  <c r="P1763" i="1"/>
  <c r="R1763" i="1" s="1"/>
  <c r="P1762" i="1"/>
  <c r="P1761" i="1"/>
  <c r="P1760" i="1"/>
  <c r="P1759" i="1"/>
  <c r="R1759" i="1" s="1"/>
  <c r="P1758" i="1"/>
  <c r="P1757" i="1"/>
  <c r="P1756" i="1"/>
  <c r="P1755" i="1"/>
  <c r="R1755" i="1" s="1"/>
  <c r="P1754" i="1"/>
  <c r="P1753" i="1"/>
  <c r="P1752" i="1"/>
  <c r="P1751" i="1"/>
  <c r="R1751" i="1" s="1"/>
  <c r="P1750" i="1"/>
  <c r="P1749" i="1"/>
  <c r="P1748" i="1"/>
  <c r="R1748" i="1" s="1"/>
  <c r="P1747" i="1"/>
  <c r="P1746" i="1"/>
  <c r="P1745" i="1"/>
  <c r="P1744" i="1"/>
  <c r="P1743" i="1"/>
  <c r="R1743" i="1" s="1"/>
  <c r="P1742" i="1"/>
  <c r="P1741" i="1"/>
  <c r="P1740" i="1"/>
  <c r="P1739" i="1"/>
  <c r="P1738" i="1"/>
  <c r="P1737" i="1"/>
  <c r="P1736" i="1"/>
  <c r="P1735" i="1"/>
  <c r="R1735" i="1" s="1"/>
  <c r="P1734" i="1"/>
  <c r="P1733" i="1"/>
  <c r="P1732" i="1"/>
  <c r="P1731" i="1"/>
  <c r="R1731" i="1" s="1"/>
  <c r="P1730" i="1"/>
  <c r="P1729" i="1"/>
  <c r="P1728" i="1"/>
  <c r="P1727" i="1"/>
  <c r="R1727" i="1" s="1"/>
  <c r="P1726" i="1"/>
  <c r="R1726" i="1" s="1"/>
  <c r="P1725" i="1"/>
  <c r="P1724" i="1"/>
  <c r="P1723" i="1"/>
  <c r="P1722" i="1"/>
  <c r="P1721" i="1"/>
  <c r="P1720" i="1"/>
  <c r="P1719" i="1"/>
  <c r="R1719" i="1" s="1"/>
  <c r="P1718" i="1"/>
  <c r="P1717" i="1"/>
  <c r="P1716" i="1"/>
  <c r="P1715" i="1"/>
  <c r="R1715" i="1" s="1"/>
  <c r="P1714" i="1"/>
  <c r="P1713" i="1"/>
  <c r="P1712" i="1"/>
  <c r="P1711" i="1"/>
  <c r="R1711" i="1" s="1"/>
  <c r="P1710" i="1"/>
  <c r="P1709" i="1"/>
  <c r="R1708" i="1" s="1"/>
  <c r="P1708" i="1"/>
  <c r="P1707" i="1"/>
  <c r="P1706" i="1"/>
  <c r="P1705" i="1"/>
  <c r="P1704" i="1"/>
  <c r="P1703" i="1"/>
  <c r="R1703" i="1" s="1"/>
  <c r="P1702" i="1"/>
  <c r="P1701" i="1"/>
  <c r="P1700" i="1"/>
  <c r="P1699" i="1"/>
  <c r="P1698" i="1"/>
  <c r="P1697" i="1"/>
  <c r="P1696" i="1"/>
  <c r="P1695" i="1"/>
  <c r="R1695" i="1" s="1"/>
  <c r="P1694" i="1"/>
  <c r="P1693" i="1"/>
  <c r="R1692" i="1" s="1"/>
  <c r="P1692" i="1"/>
  <c r="P1691" i="1"/>
  <c r="P1690" i="1"/>
  <c r="P1689" i="1"/>
  <c r="P1688" i="1"/>
  <c r="P1687" i="1"/>
  <c r="R1687" i="1" s="1"/>
  <c r="P1686" i="1"/>
  <c r="P1685" i="1"/>
  <c r="P1684" i="1"/>
  <c r="P1683" i="1"/>
  <c r="P1682" i="1"/>
  <c r="P1681" i="1"/>
  <c r="P1680" i="1"/>
  <c r="P1679" i="1"/>
  <c r="R1679" i="1" s="1"/>
  <c r="P1678" i="1"/>
  <c r="P1677" i="1"/>
  <c r="P1676" i="1"/>
  <c r="R1676" i="1" s="1"/>
  <c r="P1675" i="1"/>
  <c r="P1674" i="1"/>
  <c r="P1673" i="1"/>
  <c r="P1672" i="1"/>
  <c r="P1671" i="1"/>
  <c r="R1671" i="1" s="1"/>
  <c r="P1670" i="1"/>
  <c r="P1669" i="1"/>
  <c r="P1668" i="1"/>
  <c r="P1667" i="1"/>
  <c r="P1666" i="1"/>
  <c r="P1665" i="1"/>
  <c r="P1664" i="1"/>
  <c r="P1663" i="1"/>
  <c r="R1663" i="1" s="1"/>
  <c r="P1662" i="1"/>
  <c r="P1661" i="1"/>
  <c r="P1660" i="1"/>
  <c r="R1660" i="1" s="1"/>
  <c r="P1659" i="1"/>
  <c r="P1658" i="1"/>
  <c r="P1657" i="1"/>
  <c r="P1656" i="1"/>
  <c r="P1655" i="1"/>
  <c r="R1655" i="1" s="1"/>
  <c r="P1654" i="1"/>
  <c r="P1653" i="1"/>
  <c r="P1652" i="1"/>
  <c r="P1651" i="1"/>
  <c r="R1651" i="1" s="1"/>
  <c r="P1650" i="1"/>
  <c r="P1649" i="1"/>
  <c r="P1648" i="1"/>
  <c r="P1647" i="1"/>
  <c r="R1647" i="1" s="1"/>
  <c r="P1646" i="1"/>
  <c r="P1645" i="1"/>
  <c r="P1644" i="1"/>
  <c r="P1643" i="1"/>
  <c r="R1643" i="1" s="1"/>
  <c r="P1642" i="1"/>
  <c r="P1641" i="1"/>
  <c r="P1640" i="1"/>
  <c r="P1639" i="1"/>
  <c r="R1639" i="1" s="1"/>
  <c r="P1638" i="1"/>
  <c r="P1637" i="1"/>
  <c r="P1636" i="1"/>
  <c r="P1635" i="1"/>
  <c r="R1635" i="1" s="1"/>
  <c r="P1634" i="1"/>
  <c r="P1633" i="1"/>
  <c r="P1632" i="1"/>
  <c r="P1631" i="1"/>
  <c r="R1631" i="1" s="1"/>
  <c r="P1630" i="1"/>
  <c r="P1629" i="1"/>
  <c r="P1628" i="1"/>
  <c r="P1627" i="1"/>
  <c r="P1626" i="1"/>
  <c r="P1625" i="1"/>
  <c r="P1624" i="1"/>
  <c r="P1623" i="1"/>
  <c r="R1623" i="1" s="1"/>
  <c r="P1622" i="1"/>
  <c r="P1621" i="1"/>
  <c r="P1620" i="1"/>
  <c r="P1619" i="1"/>
  <c r="R1619" i="1" s="1"/>
  <c r="P1618" i="1"/>
  <c r="P1617" i="1"/>
  <c r="P1616" i="1"/>
  <c r="P1615" i="1"/>
  <c r="R1615" i="1" s="1"/>
  <c r="P1614" i="1"/>
  <c r="P1613" i="1"/>
  <c r="P1612" i="1"/>
  <c r="P1611" i="1"/>
  <c r="P1610" i="1"/>
  <c r="P1609" i="1"/>
  <c r="P1608" i="1"/>
  <c r="P1607" i="1"/>
  <c r="R1607" i="1" s="1"/>
  <c r="P1606" i="1"/>
  <c r="P1605" i="1"/>
  <c r="P1604" i="1"/>
  <c r="P1603" i="1"/>
  <c r="P1602" i="1"/>
  <c r="P1601" i="1"/>
  <c r="P1600" i="1"/>
  <c r="P1599" i="1"/>
  <c r="R1599" i="1" s="1"/>
  <c r="P1598" i="1"/>
  <c r="P1597" i="1"/>
  <c r="P1596" i="1"/>
  <c r="P1595" i="1"/>
  <c r="R1595" i="1" s="1"/>
  <c r="P1594" i="1"/>
  <c r="R1594" i="1" s="1"/>
  <c r="P1593" i="1"/>
  <c r="P1592" i="1"/>
  <c r="P1591" i="1"/>
  <c r="R1591" i="1" s="1"/>
  <c r="P1590" i="1"/>
  <c r="P1589" i="1"/>
  <c r="P1588" i="1"/>
  <c r="P1587" i="1"/>
  <c r="R1587" i="1" s="1"/>
  <c r="P1586" i="1"/>
  <c r="P1585" i="1"/>
  <c r="P1584" i="1"/>
  <c r="P1583" i="1"/>
  <c r="R1583" i="1" s="1"/>
  <c r="P1582" i="1"/>
  <c r="P1581" i="1"/>
  <c r="P1580" i="1"/>
  <c r="P1579" i="1"/>
  <c r="P1578" i="1"/>
  <c r="P1577" i="1"/>
  <c r="P1576" i="1"/>
  <c r="P1575" i="1"/>
  <c r="R1575" i="1" s="1"/>
  <c r="P1574" i="1"/>
  <c r="P1573" i="1"/>
  <c r="P1572" i="1"/>
  <c r="P1571" i="1"/>
  <c r="P1570" i="1"/>
  <c r="P1569" i="1"/>
  <c r="P1568" i="1"/>
  <c r="P1567" i="1"/>
  <c r="R1567" i="1" s="1"/>
  <c r="P1566" i="1"/>
  <c r="P1565" i="1"/>
  <c r="P1564" i="1"/>
  <c r="P1563" i="1"/>
  <c r="P1562" i="1"/>
  <c r="P1561" i="1"/>
  <c r="P1560" i="1"/>
  <c r="P1559" i="1"/>
  <c r="R1559" i="1" s="1"/>
  <c r="P1558" i="1"/>
  <c r="P1557" i="1"/>
  <c r="R1556" i="1" s="1"/>
  <c r="P1556" i="1"/>
  <c r="P1555" i="1"/>
  <c r="P1554" i="1"/>
  <c r="P1553" i="1"/>
  <c r="P1552" i="1"/>
  <c r="P1551" i="1"/>
  <c r="R1551" i="1" s="1"/>
  <c r="P1550" i="1"/>
  <c r="P1549" i="1"/>
  <c r="P1548" i="1"/>
  <c r="P1547" i="1"/>
  <c r="P1546" i="1"/>
  <c r="P1545" i="1"/>
  <c r="P1544" i="1"/>
  <c r="P1543" i="1"/>
  <c r="R1543" i="1" s="1"/>
  <c r="P1542" i="1"/>
  <c r="P1541" i="1"/>
  <c r="P1540" i="1"/>
  <c r="R1540" i="1" s="1"/>
  <c r="P1539" i="1"/>
  <c r="P1538" i="1"/>
  <c r="P1537" i="1"/>
  <c r="P1536" i="1"/>
  <c r="P1535" i="1"/>
  <c r="R1535" i="1" s="1"/>
  <c r="P1534" i="1"/>
  <c r="P1533" i="1"/>
  <c r="P1532" i="1"/>
  <c r="P1531" i="1"/>
  <c r="R1531" i="1" s="1"/>
  <c r="P1530" i="1"/>
  <c r="P1529" i="1"/>
  <c r="P1528" i="1"/>
  <c r="P1527" i="1"/>
  <c r="R1527" i="1" s="1"/>
  <c r="P1526" i="1"/>
  <c r="P1525" i="1"/>
  <c r="P1524" i="1"/>
  <c r="P1523" i="1"/>
  <c r="R1523" i="1" s="1"/>
  <c r="P1522" i="1"/>
  <c r="P1521" i="1"/>
  <c r="P1520" i="1"/>
  <c r="P1519" i="1"/>
  <c r="R1519" i="1" s="1"/>
  <c r="P1518" i="1"/>
  <c r="R1518" i="1" s="1"/>
  <c r="P1517" i="1"/>
  <c r="P1516" i="1"/>
  <c r="P1515" i="1"/>
  <c r="P1514" i="1"/>
  <c r="P1513" i="1"/>
  <c r="P1512" i="1"/>
  <c r="P1511" i="1"/>
  <c r="R1511" i="1" s="1"/>
  <c r="P1510" i="1"/>
  <c r="P1509" i="1"/>
  <c r="P1508" i="1"/>
  <c r="P1507" i="1"/>
  <c r="R1507" i="1" s="1"/>
  <c r="P1506" i="1"/>
  <c r="P1505" i="1"/>
  <c r="P1504" i="1"/>
  <c r="P1503" i="1"/>
  <c r="R1503" i="1" s="1"/>
  <c r="P1502" i="1"/>
  <c r="P1501" i="1"/>
  <c r="P1500" i="1"/>
  <c r="P1499" i="1"/>
  <c r="R1499" i="1" s="1"/>
  <c r="P1498" i="1"/>
  <c r="P1497" i="1"/>
  <c r="P1496" i="1"/>
  <c r="P1495" i="1"/>
  <c r="R1495" i="1" s="1"/>
  <c r="P1494" i="1"/>
  <c r="P1493" i="1"/>
  <c r="P1492" i="1"/>
  <c r="P1491" i="1"/>
  <c r="P1490" i="1"/>
  <c r="P1489" i="1"/>
  <c r="P1488" i="1"/>
  <c r="P1487" i="1"/>
  <c r="R1487" i="1" s="1"/>
  <c r="P1486" i="1"/>
  <c r="P1485" i="1"/>
  <c r="P1484" i="1"/>
  <c r="P1483" i="1"/>
  <c r="P1482" i="1"/>
  <c r="P1481" i="1"/>
  <c r="P1480" i="1"/>
  <c r="P1479" i="1"/>
  <c r="R1479" i="1" s="1"/>
  <c r="P1478" i="1"/>
  <c r="P1477" i="1"/>
  <c r="P1476" i="1"/>
  <c r="P1475" i="1"/>
  <c r="R1475" i="1" s="1"/>
  <c r="P1474" i="1"/>
  <c r="P1473" i="1"/>
  <c r="P1472" i="1"/>
  <c r="P1471" i="1"/>
  <c r="R1471" i="1" s="1"/>
  <c r="P1470" i="1"/>
  <c r="P1469" i="1"/>
  <c r="P1468" i="1"/>
  <c r="P1467" i="1"/>
  <c r="R1467" i="1" s="1"/>
  <c r="P1466" i="1"/>
  <c r="P1465" i="1"/>
  <c r="P1464" i="1"/>
  <c r="P1463" i="1"/>
  <c r="R1463" i="1" s="1"/>
  <c r="P1462" i="1"/>
  <c r="P1461" i="1"/>
  <c r="P1460" i="1"/>
  <c r="P1459" i="1"/>
  <c r="P1458" i="1"/>
  <c r="P1457" i="1"/>
  <c r="P1456" i="1"/>
  <c r="P1455" i="1"/>
  <c r="R1455" i="1" s="1"/>
  <c r="P1454" i="1"/>
  <c r="P1453" i="1"/>
  <c r="P1452" i="1"/>
  <c r="P1451" i="1"/>
  <c r="P1450" i="1"/>
  <c r="P1449" i="1"/>
  <c r="P1448" i="1"/>
  <c r="P1447" i="1"/>
  <c r="R1447" i="1" s="1"/>
  <c r="P1446" i="1"/>
  <c r="P1445" i="1"/>
  <c r="P1444" i="1"/>
  <c r="P1443" i="1"/>
  <c r="P1442" i="1"/>
  <c r="P1441" i="1"/>
  <c r="P1440" i="1"/>
  <c r="P1439" i="1"/>
  <c r="R1439" i="1" s="1"/>
  <c r="P1438" i="1"/>
  <c r="P1437" i="1"/>
  <c r="P1436" i="1"/>
  <c r="P1435" i="1"/>
  <c r="P1434" i="1"/>
  <c r="P1433" i="1"/>
  <c r="P1432" i="1"/>
  <c r="P1431" i="1"/>
  <c r="R1431" i="1" s="1"/>
  <c r="P1430" i="1"/>
  <c r="P1429" i="1"/>
  <c r="P1428" i="1"/>
  <c r="P1427" i="1"/>
  <c r="P1426" i="1"/>
  <c r="P1425" i="1"/>
  <c r="P1424" i="1"/>
  <c r="P1423" i="1"/>
  <c r="R1423" i="1" s="1"/>
  <c r="P1422" i="1"/>
  <c r="P1421" i="1"/>
  <c r="P1420" i="1"/>
  <c r="P1419" i="1"/>
  <c r="P1418" i="1"/>
  <c r="P1417" i="1"/>
  <c r="P1416" i="1"/>
  <c r="P1415" i="1"/>
  <c r="R1415" i="1" s="1"/>
  <c r="P1414" i="1"/>
  <c r="P1413" i="1"/>
  <c r="P1412" i="1"/>
  <c r="P1411" i="1"/>
  <c r="P1410" i="1"/>
  <c r="P1409" i="1"/>
  <c r="P1408" i="1"/>
  <c r="P1407" i="1"/>
  <c r="R1407" i="1" s="1"/>
  <c r="P1406" i="1"/>
  <c r="P1405" i="1"/>
  <c r="P1404" i="1"/>
  <c r="P1403" i="1"/>
  <c r="R1403" i="1" s="1"/>
  <c r="P1402" i="1"/>
  <c r="P1401" i="1"/>
  <c r="P1400" i="1"/>
  <c r="P1399" i="1"/>
  <c r="R1399" i="1" s="1"/>
  <c r="P1398" i="1"/>
  <c r="P1397" i="1"/>
  <c r="P1396" i="1"/>
  <c r="P1395" i="1"/>
  <c r="P1394" i="1"/>
  <c r="P1393" i="1"/>
  <c r="P1392" i="1"/>
  <c r="P1391" i="1"/>
  <c r="R1391" i="1" s="1"/>
  <c r="P1390" i="1"/>
  <c r="P1389" i="1"/>
  <c r="P1388" i="1"/>
  <c r="P1387" i="1"/>
  <c r="R1387" i="1" s="1"/>
  <c r="P1386" i="1"/>
  <c r="P1385" i="1"/>
  <c r="P1384" i="1"/>
  <c r="P1383" i="1"/>
  <c r="R1383" i="1" s="1"/>
  <c r="P1382" i="1"/>
  <c r="P1381" i="1"/>
  <c r="P1380" i="1"/>
  <c r="P1379" i="1"/>
  <c r="P1378" i="1"/>
  <c r="P1377" i="1"/>
  <c r="P1376" i="1"/>
  <c r="P1375" i="1"/>
  <c r="R1375" i="1" s="1"/>
  <c r="P1374" i="1"/>
  <c r="P1373" i="1"/>
  <c r="P1372" i="1"/>
  <c r="P1371" i="1"/>
  <c r="P1370" i="1"/>
  <c r="P1369" i="1"/>
  <c r="P1368" i="1"/>
  <c r="P1367" i="1"/>
  <c r="R1367" i="1" s="1"/>
  <c r="P1366" i="1"/>
  <c r="P1365" i="1"/>
  <c r="P1364" i="1"/>
  <c r="R1364" i="1" s="1"/>
  <c r="P1363" i="1"/>
  <c r="P1362" i="1"/>
  <c r="P1361" i="1"/>
  <c r="P1360" i="1"/>
  <c r="P1359" i="1"/>
  <c r="R1359" i="1" s="1"/>
  <c r="P1358" i="1"/>
  <c r="P1357" i="1"/>
  <c r="P1356" i="1"/>
  <c r="P1355" i="1"/>
  <c r="P1354" i="1"/>
  <c r="P1353" i="1"/>
  <c r="P1352" i="1"/>
  <c r="P1351" i="1"/>
  <c r="R1351" i="1" s="1"/>
  <c r="P1350" i="1"/>
  <c r="P1349" i="1"/>
  <c r="P1348" i="1"/>
  <c r="P1347" i="1"/>
  <c r="P1346" i="1"/>
  <c r="P1345" i="1"/>
  <c r="P1344" i="1"/>
  <c r="P1343" i="1"/>
  <c r="R1343" i="1" s="1"/>
  <c r="P1342" i="1"/>
  <c r="P1341" i="1"/>
  <c r="P1340" i="1"/>
  <c r="P1339" i="1"/>
  <c r="R1339" i="1" s="1"/>
  <c r="P1338" i="1"/>
  <c r="P1337" i="1"/>
  <c r="P1336" i="1"/>
  <c r="P1335" i="1"/>
  <c r="R1335" i="1" s="1"/>
  <c r="P1334" i="1"/>
  <c r="P1333" i="1"/>
  <c r="P1332" i="1"/>
  <c r="P1331" i="1"/>
  <c r="P1330" i="1"/>
  <c r="P1329" i="1"/>
  <c r="P1328" i="1"/>
  <c r="P1327" i="1"/>
  <c r="R1327" i="1" s="1"/>
  <c r="P1326" i="1"/>
  <c r="P1325" i="1"/>
  <c r="P1324" i="1"/>
  <c r="P1323" i="1"/>
  <c r="P1322" i="1"/>
  <c r="P1321" i="1"/>
  <c r="P1320" i="1"/>
  <c r="P1319" i="1"/>
  <c r="R1319" i="1" s="1"/>
  <c r="P1318" i="1"/>
  <c r="P1317" i="1"/>
  <c r="P1316" i="1"/>
  <c r="P1315" i="1"/>
  <c r="P1314" i="1"/>
  <c r="P1313" i="1"/>
  <c r="P1312" i="1"/>
  <c r="P1311" i="1"/>
  <c r="R1311" i="1" s="1"/>
  <c r="P1310" i="1"/>
  <c r="P1309" i="1"/>
  <c r="P1308" i="1"/>
  <c r="P1307" i="1"/>
  <c r="P1306" i="1"/>
  <c r="P1305" i="1"/>
  <c r="P1304" i="1"/>
  <c r="P1303" i="1"/>
  <c r="R1303" i="1" s="1"/>
  <c r="P1302" i="1"/>
  <c r="P1301" i="1"/>
  <c r="P1300" i="1"/>
  <c r="P1299" i="1"/>
  <c r="R1299" i="1" s="1"/>
  <c r="P1298" i="1"/>
  <c r="P1297" i="1"/>
  <c r="P1296" i="1"/>
  <c r="P1295" i="1"/>
  <c r="R1295" i="1" s="1"/>
  <c r="P1294" i="1"/>
  <c r="P1293" i="1"/>
  <c r="P1292" i="1"/>
  <c r="P1291" i="1"/>
  <c r="P1290" i="1"/>
  <c r="P1289" i="1"/>
  <c r="P1288" i="1"/>
  <c r="P1287" i="1"/>
  <c r="R1287" i="1" s="1"/>
  <c r="P1286" i="1"/>
  <c r="P1285" i="1"/>
  <c r="P1284" i="1"/>
  <c r="P1283" i="1"/>
  <c r="P1282" i="1"/>
  <c r="P1281" i="1"/>
  <c r="P1280" i="1"/>
  <c r="P1279" i="1"/>
  <c r="R1279" i="1" s="1"/>
  <c r="P1278" i="1"/>
  <c r="P1277" i="1"/>
  <c r="P1276" i="1"/>
  <c r="P1275" i="1"/>
  <c r="R1275" i="1" s="1"/>
  <c r="P1274" i="1"/>
  <c r="P1273" i="1"/>
  <c r="P1272" i="1"/>
  <c r="P1271" i="1"/>
  <c r="R1271" i="1" s="1"/>
  <c r="P1270" i="1"/>
  <c r="P1269" i="1"/>
  <c r="P1268" i="1"/>
  <c r="P1267" i="1"/>
  <c r="P1266" i="1"/>
  <c r="P1265" i="1"/>
  <c r="P1264" i="1"/>
  <c r="P1263" i="1"/>
  <c r="R1263" i="1" s="1"/>
  <c r="P1262" i="1"/>
  <c r="P1261" i="1"/>
  <c r="P1260" i="1"/>
  <c r="P1259" i="1"/>
  <c r="P1258" i="1"/>
  <c r="P1257" i="1"/>
  <c r="P1256" i="1"/>
  <c r="P1255" i="1"/>
  <c r="R1255" i="1" s="1"/>
  <c r="P1254" i="1"/>
  <c r="P1253" i="1"/>
  <c r="P1252" i="1"/>
  <c r="P1251" i="1"/>
  <c r="P1250" i="1"/>
  <c r="P1249" i="1"/>
  <c r="P1248" i="1"/>
  <c r="P1247" i="1"/>
  <c r="R1247" i="1" s="1"/>
  <c r="P1246" i="1"/>
  <c r="P1245" i="1"/>
  <c r="P1244" i="1"/>
  <c r="P1243" i="1"/>
  <c r="P1242" i="1"/>
  <c r="P1241" i="1"/>
  <c r="P1240" i="1"/>
  <c r="P1239" i="1"/>
  <c r="R1239" i="1" s="1"/>
  <c r="P1238" i="1"/>
  <c r="P1237" i="1"/>
  <c r="P1236" i="1"/>
  <c r="P1235" i="1"/>
  <c r="R1235" i="1" s="1"/>
  <c r="P1234" i="1"/>
  <c r="P1233" i="1"/>
  <c r="P1232" i="1"/>
  <c r="P1231" i="1"/>
  <c r="R1231" i="1" s="1"/>
  <c r="P1230" i="1"/>
  <c r="P1229" i="1"/>
  <c r="P1228" i="1"/>
  <c r="P1227" i="1"/>
  <c r="P1226" i="1"/>
  <c r="P1225" i="1"/>
  <c r="P1224" i="1"/>
  <c r="P1223" i="1"/>
  <c r="R1223" i="1" s="1"/>
  <c r="P1222" i="1"/>
  <c r="P1221" i="1"/>
  <c r="P1220" i="1"/>
  <c r="P1219" i="1"/>
  <c r="P1218" i="1"/>
  <c r="P1217" i="1"/>
  <c r="P1216" i="1"/>
  <c r="P1215" i="1"/>
  <c r="R1215" i="1" s="1"/>
  <c r="P1214" i="1"/>
  <c r="P1213" i="1"/>
  <c r="P1212" i="1"/>
  <c r="P1211" i="1"/>
  <c r="R1211" i="1" s="1"/>
  <c r="P1210" i="1"/>
  <c r="P1209" i="1"/>
  <c r="P1208" i="1"/>
  <c r="P1207" i="1"/>
  <c r="R1207" i="1" s="1"/>
  <c r="P1206" i="1"/>
  <c r="P1205" i="1"/>
  <c r="P1204" i="1"/>
  <c r="R1204" i="1" s="1"/>
  <c r="P1203" i="1"/>
  <c r="P1202" i="1"/>
  <c r="P1201" i="1"/>
  <c r="P1200" i="1"/>
  <c r="P1199" i="1"/>
  <c r="R1199" i="1" s="1"/>
  <c r="P1198" i="1"/>
  <c r="P1197" i="1"/>
  <c r="P1196" i="1"/>
  <c r="P1195" i="1"/>
  <c r="P1194" i="1"/>
  <c r="P1193" i="1"/>
  <c r="P1192" i="1"/>
  <c r="P1191" i="1"/>
  <c r="R1191" i="1" s="1"/>
  <c r="P1190" i="1"/>
  <c r="P1189" i="1"/>
  <c r="P1188" i="1"/>
  <c r="P1187" i="1"/>
  <c r="P1186" i="1"/>
  <c r="P1185" i="1"/>
  <c r="P1184" i="1"/>
  <c r="P1183" i="1"/>
  <c r="R1183" i="1" s="1"/>
  <c r="P1182" i="1"/>
  <c r="P1181" i="1"/>
  <c r="P1180" i="1"/>
  <c r="P1179" i="1"/>
  <c r="P1178" i="1"/>
  <c r="P1177" i="1"/>
  <c r="P1176" i="1"/>
  <c r="P1175" i="1"/>
  <c r="R1175" i="1" s="1"/>
  <c r="P1174" i="1"/>
  <c r="P1173" i="1"/>
  <c r="P1172" i="1"/>
  <c r="P1171" i="1"/>
  <c r="P1170" i="1"/>
  <c r="P1169" i="1"/>
  <c r="P1168" i="1"/>
  <c r="P1167" i="1"/>
  <c r="R1167" i="1" s="1"/>
  <c r="P1166" i="1"/>
  <c r="P1165" i="1"/>
  <c r="P1164" i="1"/>
  <c r="P1163" i="1"/>
  <c r="P1162" i="1"/>
  <c r="P1161" i="1"/>
  <c r="P1160" i="1"/>
  <c r="P1159" i="1"/>
  <c r="R1159" i="1" s="1"/>
  <c r="P1158" i="1"/>
  <c r="P1157" i="1"/>
  <c r="P1156" i="1"/>
  <c r="P1155" i="1"/>
  <c r="P1154" i="1"/>
  <c r="P1153" i="1"/>
  <c r="P1152" i="1"/>
  <c r="P1151" i="1"/>
  <c r="R1151" i="1" s="1"/>
  <c r="P1150" i="1"/>
  <c r="P1149" i="1"/>
  <c r="R1149" i="1" s="1"/>
  <c r="P1148" i="1"/>
  <c r="P1147" i="1"/>
  <c r="P1146" i="1"/>
  <c r="P1145" i="1"/>
  <c r="P1144" i="1"/>
  <c r="P1143" i="1"/>
  <c r="R1143" i="1" s="1"/>
  <c r="P1142" i="1"/>
  <c r="P1141" i="1"/>
  <c r="R1141" i="1" s="1"/>
  <c r="P1140" i="1"/>
  <c r="P1139" i="1"/>
  <c r="P1138" i="1"/>
  <c r="P1137" i="1"/>
  <c r="P1136" i="1"/>
  <c r="P1135" i="1"/>
  <c r="R1135" i="1" s="1"/>
  <c r="P1134" i="1"/>
  <c r="P1133" i="1"/>
  <c r="R1133" i="1" s="1"/>
  <c r="P1132" i="1"/>
  <c r="P1131" i="1"/>
  <c r="P1130" i="1"/>
  <c r="P1129" i="1"/>
  <c r="P1128" i="1"/>
  <c r="P1127" i="1"/>
  <c r="R1127" i="1" s="1"/>
  <c r="P1126" i="1"/>
  <c r="P1125" i="1"/>
  <c r="R1125" i="1" s="1"/>
  <c r="P1124" i="1"/>
  <c r="P1123" i="1"/>
  <c r="P1122" i="1"/>
  <c r="P1121" i="1"/>
  <c r="P1120" i="1"/>
  <c r="P1119" i="1"/>
  <c r="R1119" i="1" s="1"/>
  <c r="P1118" i="1"/>
  <c r="P1117" i="1"/>
  <c r="R1117" i="1" s="1"/>
  <c r="P1116" i="1"/>
  <c r="P1115" i="1"/>
  <c r="P1114" i="1"/>
  <c r="P1113" i="1"/>
  <c r="P1112" i="1"/>
  <c r="P1111" i="1"/>
  <c r="R1111" i="1" s="1"/>
  <c r="P1110" i="1"/>
  <c r="P1109" i="1"/>
  <c r="R1109" i="1" s="1"/>
  <c r="P1108" i="1"/>
  <c r="P1107" i="1"/>
  <c r="P1106" i="1"/>
  <c r="P1105" i="1"/>
  <c r="P1104" i="1"/>
  <c r="P1103" i="1"/>
  <c r="R1103" i="1" s="1"/>
  <c r="P1102" i="1"/>
  <c r="P1101" i="1"/>
  <c r="R1101" i="1" s="1"/>
  <c r="P1100" i="1"/>
  <c r="P1099" i="1"/>
  <c r="P1098" i="1"/>
  <c r="P1097" i="1"/>
  <c r="P1096" i="1"/>
  <c r="P1095" i="1"/>
  <c r="R1095" i="1" s="1"/>
  <c r="P1094" i="1"/>
  <c r="P1093" i="1"/>
  <c r="R1093" i="1" s="1"/>
  <c r="P1092" i="1"/>
  <c r="P1091" i="1"/>
  <c r="P1090" i="1"/>
  <c r="P1089" i="1"/>
  <c r="P1088" i="1"/>
  <c r="P1087" i="1"/>
  <c r="R1087" i="1" s="1"/>
  <c r="P1086" i="1"/>
  <c r="P1085" i="1"/>
  <c r="R1085" i="1" s="1"/>
  <c r="P1084" i="1"/>
  <c r="P1083" i="1"/>
  <c r="P1082" i="1"/>
  <c r="P1081" i="1"/>
  <c r="P1080" i="1"/>
  <c r="P1079" i="1"/>
  <c r="R1079" i="1" s="1"/>
  <c r="P1078" i="1"/>
  <c r="P1077" i="1"/>
  <c r="R1077" i="1" s="1"/>
  <c r="P1076" i="1"/>
  <c r="P1075" i="1"/>
  <c r="P1074" i="1"/>
  <c r="P1073" i="1"/>
  <c r="P1072" i="1"/>
  <c r="P1071" i="1"/>
  <c r="R1071" i="1" s="1"/>
  <c r="P1070" i="1"/>
  <c r="P1069" i="1"/>
  <c r="R1069" i="1" s="1"/>
  <c r="P1068" i="1"/>
  <c r="P1067" i="1"/>
  <c r="P1066" i="1"/>
  <c r="P1065" i="1"/>
  <c r="P1064" i="1"/>
  <c r="P1063" i="1"/>
  <c r="R1063" i="1" s="1"/>
  <c r="P1062" i="1"/>
  <c r="P1061" i="1"/>
  <c r="R1061" i="1" s="1"/>
  <c r="P1060" i="1"/>
  <c r="P1059" i="1"/>
  <c r="P1058" i="1"/>
  <c r="P1057" i="1"/>
  <c r="P1056" i="1"/>
  <c r="P1055" i="1"/>
  <c r="R1055" i="1" s="1"/>
  <c r="P1054" i="1"/>
  <c r="P1053" i="1"/>
  <c r="R1053" i="1" s="1"/>
  <c r="P1052" i="1"/>
  <c r="P1051" i="1"/>
  <c r="P1050" i="1"/>
  <c r="P1049" i="1"/>
  <c r="P1048" i="1"/>
  <c r="P1047" i="1"/>
  <c r="R1047" i="1" s="1"/>
  <c r="P1046" i="1"/>
  <c r="P1045" i="1"/>
  <c r="R1045" i="1" s="1"/>
  <c r="P1044" i="1"/>
  <c r="P1043" i="1"/>
  <c r="P1042" i="1"/>
  <c r="P1041" i="1"/>
  <c r="P1040" i="1"/>
  <c r="P1039" i="1"/>
  <c r="R1039" i="1" s="1"/>
  <c r="P1038" i="1"/>
  <c r="P1037" i="1"/>
  <c r="R1037" i="1" s="1"/>
  <c r="P1036" i="1"/>
  <c r="P1035" i="1"/>
  <c r="P1034" i="1"/>
  <c r="P1033" i="1"/>
  <c r="P1032" i="1"/>
  <c r="P1031" i="1"/>
  <c r="R1031" i="1" s="1"/>
  <c r="P1030" i="1"/>
  <c r="P1029" i="1"/>
  <c r="R1029" i="1" s="1"/>
  <c r="P1028" i="1"/>
  <c r="P1027" i="1"/>
  <c r="P1026" i="1"/>
  <c r="P1025" i="1"/>
  <c r="P1024" i="1"/>
  <c r="P1023" i="1"/>
  <c r="R1023" i="1" s="1"/>
  <c r="P1022" i="1"/>
  <c r="P1021" i="1"/>
  <c r="R1021" i="1" s="1"/>
  <c r="P1020" i="1"/>
  <c r="P1019" i="1"/>
  <c r="P1018" i="1"/>
  <c r="P1017" i="1"/>
  <c r="P1016" i="1"/>
  <c r="P1015" i="1"/>
  <c r="R1015" i="1" s="1"/>
  <c r="P1014" i="1"/>
  <c r="P1013" i="1"/>
  <c r="R1013" i="1" s="1"/>
  <c r="P1012" i="1"/>
  <c r="P1011" i="1"/>
  <c r="P1010" i="1"/>
  <c r="P1009" i="1"/>
  <c r="R1009" i="1" s="1"/>
  <c r="P1008" i="1"/>
  <c r="P1007" i="1"/>
  <c r="R1007" i="1" s="1"/>
  <c r="P1006" i="1"/>
  <c r="P1005" i="1"/>
  <c r="R1005" i="1" s="1"/>
  <c r="P1004" i="1"/>
  <c r="P1003" i="1"/>
  <c r="P1002" i="1"/>
  <c r="P1001" i="1"/>
  <c r="P1000" i="1"/>
  <c r="P999" i="1"/>
  <c r="R999" i="1" s="1"/>
  <c r="P998" i="1"/>
  <c r="P997" i="1"/>
  <c r="R997" i="1" s="1"/>
  <c r="P996" i="1"/>
  <c r="P995" i="1"/>
  <c r="P994" i="1"/>
  <c r="R994" i="1" s="1"/>
  <c r="P993" i="1"/>
  <c r="P992" i="1"/>
  <c r="R992" i="1" s="1"/>
  <c r="P991" i="1"/>
  <c r="P990" i="1"/>
  <c r="R990" i="1" s="1"/>
  <c r="P989" i="1"/>
  <c r="P988" i="1"/>
  <c r="P987" i="1"/>
  <c r="P986" i="1"/>
  <c r="R986" i="1" s="1"/>
  <c r="P985" i="1"/>
  <c r="P984" i="1"/>
  <c r="R984" i="1" s="1"/>
  <c r="P983" i="1"/>
  <c r="R983" i="1" s="1"/>
  <c r="P982" i="1"/>
  <c r="R982" i="1" s="1"/>
  <c r="P981" i="1"/>
  <c r="P980" i="1"/>
  <c r="P979" i="1"/>
  <c r="P978" i="1"/>
  <c r="P977" i="1"/>
  <c r="P976" i="1"/>
  <c r="R976" i="1" s="1"/>
  <c r="P975" i="1"/>
  <c r="P974" i="1"/>
  <c r="R974" i="1" s="1"/>
  <c r="P973" i="1"/>
  <c r="P972" i="1"/>
  <c r="P971" i="1"/>
  <c r="P970" i="1"/>
  <c r="P969" i="1"/>
  <c r="P968" i="1"/>
  <c r="R968" i="1" s="1"/>
  <c r="P967" i="1"/>
  <c r="P966" i="1"/>
  <c r="R966" i="1" s="1"/>
  <c r="P965" i="1"/>
  <c r="P964" i="1"/>
  <c r="P963" i="1"/>
  <c r="P962" i="1"/>
  <c r="P961" i="1"/>
  <c r="P960" i="1"/>
  <c r="P959" i="1"/>
  <c r="P958" i="1"/>
  <c r="R958" i="1" s="1"/>
  <c r="P957" i="1"/>
  <c r="P956" i="1"/>
  <c r="P955" i="1"/>
  <c r="P954" i="1"/>
  <c r="P953" i="1"/>
  <c r="P952" i="1"/>
  <c r="R952" i="1" s="1"/>
  <c r="P951" i="1"/>
  <c r="P950" i="1"/>
  <c r="R950" i="1" s="1"/>
  <c r="P949" i="1"/>
  <c r="P948" i="1"/>
  <c r="P947" i="1"/>
  <c r="P946" i="1"/>
  <c r="P945" i="1"/>
  <c r="P944" i="1"/>
  <c r="R944" i="1" s="1"/>
  <c r="P943" i="1"/>
  <c r="P942" i="1"/>
  <c r="R942" i="1" s="1"/>
  <c r="P941" i="1"/>
  <c r="P940" i="1"/>
  <c r="P939" i="1"/>
  <c r="P938" i="1"/>
  <c r="P937" i="1"/>
  <c r="P936" i="1"/>
  <c r="R936" i="1" s="1"/>
  <c r="P935" i="1"/>
  <c r="P934" i="1"/>
  <c r="R934" i="1" s="1"/>
  <c r="P933" i="1"/>
  <c r="P932" i="1"/>
  <c r="P931" i="1"/>
  <c r="P930" i="1"/>
  <c r="P929" i="1"/>
  <c r="P928" i="1"/>
  <c r="R928" i="1" s="1"/>
  <c r="P927" i="1"/>
  <c r="P926" i="1"/>
  <c r="R926" i="1" s="1"/>
  <c r="P925" i="1"/>
  <c r="P924" i="1"/>
  <c r="P923" i="1"/>
  <c r="P922" i="1"/>
  <c r="P921" i="1"/>
  <c r="P920" i="1"/>
  <c r="R920" i="1" s="1"/>
  <c r="P919" i="1"/>
  <c r="P918" i="1"/>
  <c r="R918" i="1" s="1"/>
  <c r="P917" i="1"/>
  <c r="P916" i="1"/>
  <c r="P915" i="1"/>
  <c r="P914" i="1"/>
  <c r="P913" i="1"/>
  <c r="P912" i="1"/>
  <c r="R912" i="1" s="1"/>
  <c r="P911" i="1"/>
  <c r="P910" i="1"/>
  <c r="R910" i="1" s="1"/>
  <c r="P909" i="1"/>
  <c r="P908" i="1"/>
  <c r="P907" i="1"/>
  <c r="P906" i="1"/>
  <c r="P905" i="1"/>
  <c r="P904" i="1"/>
  <c r="R904" i="1" s="1"/>
  <c r="P903" i="1"/>
  <c r="P902" i="1"/>
  <c r="R902" i="1" s="1"/>
  <c r="P901" i="1"/>
  <c r="P900" i="1"/>
  <c r="P899" i="1"/>
  <c r="P898" i="1"/>
  <c r="P897" i="1"/>
  <c r="P896" i="1"/>
  <c r="R896" i="1" s="1"/>
  <c r="P895" i="1"/>
  <c r="P894" i="1"/>
  <c r="R894" i="1" s="1"/>
  <c r="P893" i="1"/>
  <c r="P892" i="1"/>
  <c r="P891" i="1"/>
  <c r="P890" i="1"/>
  <c r="P889" i="1"/>
  <c r="P888" i="1"/>
  <c r="R888" i="1" s="1"/>
  <c r="P887" i="1"/>
  <c r="P886" i="1"/>
  <c r="R886" i="1" s="1"/>
  <c r="P885" i="1"/>
  <c r="P884" i="1"/>
  <c r="P883" i="1"/>
  <c r="P882" i="1"/>
  <c r="P881" i="1"/>
  <c r="P880" i="1"/>
  <c r="R880" i="1" s="1"/>
  <c r="P879" i="1"/>
  <c r="R879" i="1" s="1"/>
  <c r="P878" i="1"/>
  <c r="R878" i="1" s="1"/>
  <c r="P877" i="1"/>
  <c r="P876" i="1"/>
  <c r="P875" i="1"/>
  <c r="P874" i="1"/>
  <c r="P873" i="1"/>
  <c r="P872" i="1"/>
  <c r="R872" i="1" s="1"/>
  <c r="P871" i="1"/>
  <c r="P870" i="1"/>
  <c r="R870" i="1" s="1"/>
  <c r="P869" i="1"/>
  <c r="P868" i="1"/>
  <c r="P867" i="1"/>
  <c r="P866" i="1"/>
  <c r="R866" i="1" s="1"/>
  <c r="P865" i="1"/>
  <c r="P864" i="1"/>
  <c r="R864" i="1" s="1"/>
  <c r="P863" i="1"/>
  <c r="P862" i="1"/>
  <c r="R862" i="1" s="1"/>
  <c r="P861" i="1"/>
  <c r="P860" i="1"/>
  <c r="P859" i="1"/>
  <c r="P858" i="1"/>
  <c r="P857" i="1"/>
  <c r="P856" i="1"/>
  <c r="R856" i="1" s="1"/>
  <c r="P855" i="1"/>
  <c r="P854" i="1"/>
  <c r="R854" i="1" s="1"/>
  <c r="P853" i="1"/>
  <c r="P852" i="1"/>
  <c r="P851" i="1"/>
  <c r="P850" i="1"/>
  <c r="R850" i="1" s="1"/>
  <c r="P849" i="1"/>
  <c r="P848" i="1"/>
  <c r="R848" i="1" s="1"/>
  <c r="P847" i="1"/>
  <c r="P846" i="1"/>
  <c r="R846" i="1" s="1"/>
  <c r="P845" i="1"/>
  <c r="P844" i="1"/>
  <c r="P843" i="1"/>
  <c r="P842" i="1"/>
  <c r="P841" i="1"/>
  <c r="P840" i="1"/>
  <c r="R840" i="1" s="1"/>
  <c r="P839" i="1"/>
  <c r="P838" i="1"/>
  <c r="R838" i="1" s="1"/>
  <c r="P837" i="1"/>
  <c r="P836" i="1"/>
  <c r="P835" i="1"/>
  <c r="P834" i="1"/>
  <c r="P833" i="1"/>
  <c r="P832" i="1"/>
  <c r="R832" i="1" s="1"/>
  <c r="P831" i="1"/>
  <c r="P830" i="1"/>
  <c r="R830" i="1" s="1"/>
  <c r="P829" i="1"/>
  <c r="P828" i="1"/>
  <c r="P827" i="1"/>
  <c r="P826" i="1"/>
  <c r="P825" i="1"/>
  <c r="P824" i="1"/>
  <c r="R824" i="1" s="1"/>
  <c r="P823" i="1"/>
  <c r="P822" i="1"/>
  <c r="R822" i="1" s="1"/>
  <c r="P821" i="1"/>
  <c r="P820" i="1"/>
  <c r="P819" i="1"/>
  <c r="P818" i="1"/>
  <c r="P817" i="1"/>
  <c r="P816" i="1"/>
  <c r="R816" i="1" s="1"/>
  <c r="P815" i="1"/>
  <c r="P814" i="1"/>
  <c r="R814" i="1" s="1"/>
  <c r="P813" i="1"/>
  <c r="P812" i="1"/>
  <c r="P811" i="1"/>
  <c r="P810" i="1"/>
  <c r="P809" i="1"/>
  <c r="P808" i="1"/>
  <c r="R808" i="1" s="1"/>
  <c r="P807" i="1"/>
  <c r="P806" i="1"/>
  <c r="R806" i="1" s="1"/>
  <c r="P805" i="1"/>
  <c r="P804" i="1"/>
  <c r="P803" i="1"/>
  <c r="P802" i="1"/>
  <c r="P801" i="1"/>
  <c r="P800" i="1"/>
  <c r="R800" i="1" s="1"/>
  <c r="P799" i="1"/>
  <c r="P798" i="1"/>
  <c r="R798" i="1" s="1"/>
  <c r="P797" i="1"/>
  <c r="P796" i="1"/>
  <c r="P795" i="1"/>
  <c r="P794" i="1"/>
  <c r="P793" i="1"/>
  <c r="P792" i="1"/>
  <c r="R792" i="1" s="1"/>
  <c r="P791" i="1"/>
  <c r="P790" i="1"/>
  <c r="R790" i="1" s="1"/>
  <c r="P789" i="1"/>
  <c r="P788" i="1"/>
  <c r="P787" i="1"/>
  <c r="P786" i="1"/>
  <c r="P785" i="1"/>
  <c r="P784" i="1"/>
  <c r="R784" i="1" s="1"/>
  <c r="P783" i="1"/>
  <c r="P782" i="1"/>
  <c r="R782" i="1" s="1"/>
  <c r="P781" i="1"/>
  <c r="P780" i="1"/>
  <c r="P779" i="1"/>
  <c r="P778" i="1"/>
  <c r="P777" i="1"/>
  <c r="P776" i="1"/>
  <c r="R776" i="1" s="1"/>
  <c r="P775" i="1"/>
  <c r="P774" i="1"/>
  <c r="R774" i="1" s="1"/>
  <c r="P773" i="1"/>
  <c r="P772" i="1"/>
  <c r="P771" i="1"/>
  <c r="P770" i="1"/>
  <c r="R770" i="1" s="1"/>
  <c r="P769" i="1"/>
  <c r="P768" i="1"/>
  <c r="R768" i="1" s="1"/>
  <c r="P767" i="1"/>
  <c r="P766" i="1"/>
  <c r="R766" i="1" s="1"/>
  <c r="P765" i="1"/>
  <c r="P764" i="1"/>
  <c r="P763" i="1"/>
  <c r="P762" i="1"/>
  <c r="P761" i="1"/>
  <c r="P760" i="1"/>
  <c r="R760" i="1" s="1"/>
  <c r="P759" i="1"/>
  <c r="P758" i="1"/>
  <c r="R758" i="1" s="1"/>
  <c r="P757" i="1"/>
  <c r="P756" i="1"/>
  <c r="P755" i="1"/>
  <c r="P754" i="1"/>
  <c r="R754" i="1" s="1"/>
  <c r="P753" i="1"/>
  <c r="P752" i="1"/>
  <c r="R752" i="1" s="1"/>
  <c r="P751" i="1"/>
  <c r="P750" i="1"/>
  <c r="R750" i="1" s="1"/>
  <c r="P749" i="1"/>
  <c r="P748" i="1"/>
  <c r="P747" i="1"/>
  <c r="P746" i="1"/>
  <c r="P745" i="1"/>
  <c r="P744" i="1"/>
  <c r="R744" i="1" s="1"/>
  <c r="P743" i="1"/>
  <c r="P742" i="1"/>
  <c r="R742" i="1" s="1"/>
  <c r="P741" i="1"/>
  <c r="P740" i="1"/>
  <c r="P739" i="1"/>
  <c r="P738" i="1"/>
  <c r="R738" i="1" s="1"/>
  <c r="P737" i="1"/>
  <c r="P736" i="1"/>
  <c r="R736" i="1" s="1"/>
  <c r="P735" i="1"/>
  <c r="P734" i="1"/>
  <c r="R734" i="1" s="1"/>
  <c r="P733" i="1"/>
  <c r="P732" i="1"/>
  <c r="P731" i="1"/>
  <c r="P730" i="1"/>
  <c r="P729" i="1"/>
  <c r="P728" i="1"/>
  <c r="R728" i="1" s="1"/>
  <c r="P727" i="1"/>
  <c r="P726" i="1"/>
  <c r="R726" i="1" s="1"/>
  <c r="P725" i="1"/>
  <c r="P724" i="1"/>
  <c r="P723" i="1"/>
  <c r="P722" i="1"/>
  <c r="P721" i="1"/>
  <c r="P720" i="1"/>
  <c r="R720" i="1" s="1"/>
  <c r="P719" i="1"/>
  <c r="P718" i="1"/>
  <c r="R718" i="1" s="1"/>
  <c r="P717" i="1"/>
  <c r="P716" i="1"/>
  <c r="P715" i="1"/>
  <c r="P714" i="1"/>
  <c r="R714" i="1" s="1"/>
  <c r="P713" i="1"/>
  <c r="P712" i="1"/>
  <c r="R712" i="1" s="1"/>
  <c r="P711" i="1"/>
  <c r="P710" i="1"/>
  <c r="R710" i="1" s="1"/>
  <c r="P709" i="1"/>
  <c r="P708" i="1"/>
  <c r="P707" i="1"/>
  <c r="P706" i="1"/>
  <c r="P705" i="1"/>
  <c r="P704" i="1"/>
  <c r="R704" i="1" s="1"/>
  <c r="P703" i="1"/>
  <c r="P702" i="1"/>
  <c r="R702" i="1" s="1"/>
  <c r="P701" i="1"/>
  <c r="P700" i="1"/>
  <c r="P699" i="1"/>
  <c r="P698" i="1"/>
  <c r="P697" i="1"/>
  <c r="P696" i="1"/>
  <c r="R696" i="1" s="1"/>
  <c r="P695" i="1"/>
  <c r="P694" i="1"/>
  <c r="R694" i="1" s="1"/>
  <c r="P693" i="1"/>
  <c r="P692" i="1"/>
  <c r="P691" i="1"/>
  <c r="P690" i="1"/>
  <c r="R690" i="1" s="1"/>
  <c r="P689" i="1"/>
  <c r="P688" i="1"/>
  <c r="R688" i="1" s="1"/>
  <c r="P687" i="1"/>
  <c r="P686" i="1"/>
  <c r="R686" i="1" s="1"/>
  <c r="P685" i="1"/>
  <c r="P684" i="1"/>
  <c r="P683" i="1"/>
  <c r="P682" i="1"/>
  <c r="P681" i="1"/>
  <c r="P680" i="1"/>
  <c r="R680" i="1" s="1"/>
  <c r="P679" i="1"/>
  <c r="P678" i="1"/>
  <c r="R678" i="1" s="1"/>
  <c r="P677" i="1"/>
  <c r="P676" i="1"/>
  <c r="P675" i="1"/>
  <c r="P674" i="1"/>
  <c r="P673" i="1"/>
  <c r="P672" i="1"/>
  <c r="R672" i="1" s="1"/>
  <c r="P671" i="1"/>
  <c r="P670" i="1"/>
  <c r="R670" i="1" s="1"/>
  <c r="P669" i="1"/>
  <c r="P668" i="1"/>
  <c r="P667" i="1"/>
  <c r="P666" i="1"/>
  <c r="R666" i="1" s="1"/>
  <c r="P665" i="1"/>
  <c r="P664" i="1"/>
  <c r="R664" i="1" s="1"/>
  <c r="P663" i="1"/>
  <c r="P662" i="1"/>
  <c r="R662" i="1" s="1"/>
  <c r="P661" i="1"/>
  <c r="P660" i="1"/>
  <c r="P659" i="1"/>
  <c r="P658" i="1"/>
  <c r="R658" i="1" s="1"/>
  <c r="P657" i="1"/>
  <c r="P656" i="1"/>
  <c r="R656" i="1" s="1"/>
  <c r="P655" i="1"/>
  <c r="P654" i="1"/>
  <c r="R654" i="1" s="1"/>
  <c r="P653" i="1"/>
  <c r="P652" i="1"/>
  <c r="P651" i="1"/>
  <c r="P650" i="1"/>
  <c r="R650" i="1" s="1"/>
  <c r="P649" i="1"/>
  <c r="P648" i="1"/>
  <c r="R648" i="1" s="1"/>
  <c r="P647" i="1"/>
  <c r="P646" i="1"/>
  <c r="R646" i="1" s="1"/>
  <c r="P645" i="1"/>
  <c r="P644" i="1"/>
  <c r="P643" i="1"/>
  <c r="P642" i="1"/>
  <c r="R642" i="1" s="1"/>
  <c r="P641" i="1"/>
  <c r="P640" i="1"/>
  <c r="R640" i="1" s="1"/>
  <c r="P639" i="1"/>
  <c r="P638" i="1"/>
  <c r="R638" i="1" s="1"/>
  <c r="P637" i="1"/>
  <c r="P636" i="1"/>
  <c r="P635" i="1"/>
  <c r="P634" i="1"/>
  <c r="P633" i="1"/>
  <c r="R633" i="1" s="1"/>
  <c r="P632" i="1"/>
  <c r="P631" i="1"/>
  <c r="R631" i="1" s="1"/>
  <c r="P630" i="1"/>
  <c r="P629" i="1"/>
  <c r="R629" i="1" s="1"/>
  <c r="P628" i="1"/>
  <c r="P627" i="1"/>
  <c r="P626" i="1"/>
  <c r="P625" i="1"/>
  <c r="R625" i="1" s="1"/>
  <c r="P624" i="1"/>
  <c r="P623" i="1"/>
  <c r="R623" i="1" s="1"/>
  <c r="P622" i="1"/>
  <c r="P621" i="1"/>
  <c r="R621" i="1" s="1"/>
  <c r="P620" i="1"/>
  <c r="P619" i="1"/>
  <c r="P618" i="1"/>
  <c r="P617" i="1"/>
  <c r="R617" i="1" s="1"/>
  <c r="P616" i="1"/>
  <c r="P615" i="1"/>
  <c r="R615" i="1" s="1"/>
  <c r="P614" i="1"/>
  <c r="P613" i="1"/>
  <c r="R613" i="1" s="1"/>
  <c r="P612" i="1"/>
  <c r="P611" i="1"/>
  <c r="P610" i="1"/>
  <c r="P609" i="1"/>
  <c r="R609" i="1" s="1"/>
  <c r="P608" i="1"/>
  <c r="P607" i="1"/>
  <c r="R607" i="1" s="1"/>
  <c r="P606" i="1"/>
  <c r="P605" i="1"/>
  <c r="R605" i="1" s="1"/>
  <c r="P604" i="1"/>
  <c r="P603" i="1"/>
  <c r="P602" i="1"/>
  <c r="P601" i="1"/>
  <c r="R601" i="1" s="1"/>
  <c r="P600" i="1"/>
  <c r="P599" i="1"/>
  <c r="R599" i="1" s="1"/>
  <c r="P598" i="1"/>
  <c r="P597" i="1"/>
  <c r="R597" i="1" s="1"/>
  <c r="P596" i="1"/>
  <c r="P595" i="1"/>
  <c r="P594" i="1"/>
  <c r="P593" i="1"/>
  <c r="R593" i="1" s="1"/>
  <c r="P592" i="1"/>
  <c r="P591" i="1"/>
  <c r="R591" i="1" s="1"/>
  <c r="P590" i="1"/>
  <c r="P589" i="1"/>
  <c r="R589" i="1" s="1"/>
  <c r="P588" i="1"/>
  <c r="P587" i="1"/>
  <c r="P586" i="1"/>
  <c r="P585" i="1"/>
  <c r="R585" i="1" s="1"/>
  <c r="P584" i="1"/>
  <c r="P583" i="1"/>
  <c r="R583" i="1" s="1"/>
  <c r="P582" i="1"/>
  <c r="P581" i="1"/>
  <c r="R581" i="1" s="1"/>
  <c r="P580" i="1"/>
  <c r="P579" i="1"/>
  <c r="P578" i="1"/>
  <c r="P577" i="1"/>
  <c r="R577" i="1" s="1"/>
  <c r="P576" i="1"/>
  <c r="P575" i="1"/>
  <c r="R575" i="1" s="1"/>
  <c r="P574" i="1"/>
  <c r="P573" i="1"/>
  <c r="R573" i="1" s="1"/>
  <c r="P572" i="1"/>
  <c r="P571" i="1"/>
  <c r="P570" i="1"/>
  <c r="P569" i="1"/>
  <c r="R569" i="1" s="1"/>
  <c r="P568" i="1"/>
  <c r="P567" i="1"/>
  <c r="R567" i="1" s="1"/>
  <c r="P566" i="1"/>
  <c r="P565" i="1"/>
  <c r="R565" i="1" s="1"/>
  <c r="P564" i="1"/>
  <c r="P563" i="1"/>
  <c r="P562" i="1"/>
  <c r="P561" i="1"/>
  <c r="R561" i="1" s="1"/>
  <c r="P560" i="1"/>
  <c r="P559" i="1"/>
  <c r="R559" i="1" s="1"/>
  <c r="P558" i="1"/>
  <c r="P557" i="1"/>
  <c r="R557" i="1" s="1"/>
  <c r="P556" i="1"/>
  <c r="P555" i="1"/>
  <c r="P554" i="1"/>
  <c r="P553" i="1"/>
  <c r="R553" i="1" s="1"/>
  <c r="P552" i="1"/>
  <c r="P551" i="1"/>
  <c r="R551" i="1" s="1"/>
  <c r="P550" i="1"/>
  <c r="P549" i="1"/>
  <c r="R549" i="1" s="1"/>
  <c r="P548" i="1"/>
  <c r="P547" i="1"/>
  <c r="P546" i="1"/>
  <c r="P545" i="1"/>
  <c r="R545" i="1" s="1"/>
  <c r="P544" i="1"/>
  <c r="P543" i="1"/>
  <c r="R543" i="1" s="1"/>
  <c r="P542" i="1"/>
  <c r="P541" i="1"/>
  <c r="R541" i="1" s="1"/>
  <c r="P540" i="1"/>
  <c r="P539" i="1"/>
  <c r="P538" i="1"/>
  <c r="P537" i="1"/>
  <c r="R537" i="1" s="1"/>
  <c r="P536" i="1"/>
  <c r="P535" i="1"/>
  <c r="R535" i="1" s="1"/>
  <c r="P534" i="1"/>
  <c r="P533" i="1"/>
  <c r="R533" i="1" s="1"/>
  <c r="P532" i="1"/>
  <c r="P531" i="1"/>
  <c r="P530" i="1"/>
  <c r="P529" i="1"/>
  <c r="R529" i="1" s="1"/>
  <c r="P528" i="1"/>
  <c r="P527" i="1"/>
  <c r="R527" i="1" s="1"/>
  <c r="P526" i="1"/>
  <c r="P525" i="1"/>
  <c r="R525" i="1" s="1"/>
  <c r="P524" i="1"/>
  <c r="P523" i="1"/>
  <c r="P522" i="1"/>
  <c r="P521" i="1"/>
  <c r="R521" i="1" s="1"/>
  <c r="P520" i="1"/>
  <c r="P519" i="1"/>
  <c r="R519" i="1" s="1"/>
  <c r="P518" i="1"/>
  <c r="P517" i="1"/>
  <c r="R517" i="1" s="1"/>
  <c r="P516" i="1"/>
  <c r="P515" i="1"/>
  <c r="P514" i="1"/>
  <c r="P513" i="1"/>
  <c r="R513" i="1" s="1"/>
  <c r="P512" i="1"/>
  <c r="P511" i="1"/>
  <c r="R511" i="1" s="1"/>
  <c r="P510" i="1"/>
  <c r="P509" i="1"/>
  <c r="R509" i="1" s="1"/>
  <c r="P508" i="1"/>
  <c r="P507" i="1"/>
  <c r="P506" i="1"/>
  <c r="P505" i="1"/>
  <c r="R505" i="1" s="1"/>
  <c r="P504" i="1"/>
  <c r="P503" i="1"/>
  <c r="R503" i="1" s="1"/>
  <c r="P502" i="1"/>
  <c r="P501" i="1"/>
  <c r="R501" i="1" s="1"/>
  <c r="P500" i="1"/>
  <c r="P499" i="1"/>
  <c r="P498" i="1"/>
  <c r="P497" i="1"/>
  <c r="R497" i="1" s="1"/>
  <c r="P496" i="1"/>
  <c r="P495" i="1"/>
  <c r="R495" i="1" s="1"/>
  <c r="P494" i="1"/>
  <c r="P493" i="1"/>
  <c r="R493" i="1" s="1"/>
  <c r="P492" i="1"/>
  <c r="P491" i="1"/>
  <c r="P490" i="1"/>
  <c r="P489" i="1"/>
  <c r="R489" i="1" s="1"/>
  <c r="P488" i="1"/>
  <c r="P487" i="1"/>
  <c r="R487" i="1" s="1"/>
  <c r="P486" i="1"/>
  <c r="P485" i="1"/>
  <c r="R485" i="1" s="1"/>
  <c r="P484" i="1"/>
  <c r="P483" i="1"/>
  <c r="P482" i="1"/>
  <c r="P481" i="1"/>
  <c r="R481" i="1" s="1"/>
  <c r="P480" i="1"/>
  <c r="P479" i="1"/>
  <c r="R479" i="1" s="1"/>
  <c r="P478" i="1"/>
  <c r="P477" i="1"/>
  <c r="R477" i="1" s="1"/>
  <c r="P476" i="1"/>
  <c r="P475" i="1"/>
  <c r="P474" i="1"/>
  <c r="P473" i="1"/>
  <c r="R473" i="1" s="1"/>
  <c r="P472" i="1"/>
  <c r="P471" i="1"/>
  <c r="R471" i="1" s="1"/>
  <c r="P470" i="1"/>
  <c r="P469" i="1"/>
  <c r="R469" i="1" s="1"/>
  <c r="P468" i="1"/>
  <c r="P467" i="1"/>
  <c r="P466" i="1"/>
  <c r="P465" i="1"/>
  <c r="R465" i="1" s="1"/>
  <c r="P464" i="1"/>
  <c r="P463" i="1"/>
  <c r="R463" i="1" s="1"/>
  <c r="P462" i="1"/>
  <c r="P461" i="1"/>
  <c r="R461" i="1" s="1"/>
  <c r="P460" i="1"/>
  <c r="P459" i="1"/>
  <c r="P458" i="1"/>
  <c r="P457" i="1"/>
  <c r="R457" i="1" s="1"/>
  <c r="P456" i="1"/>
  <c r="P455" i="1"/>
  <c r="R455" i="1" s="1"/>
  <c r="P454" i="1"/>
  <c r="P453" i="1"/>
  <c r="R453" i="1" s="1"/>
  <c r="P452" i="1"/>
  <c r="P451" i="1"/>
  <c r="P450" i="1"/>
  <c r="P449" i="1"/>
  <c r="R449" i="1" s="1"/>
  <c r="P448" i="1"/>
  <c r="P447" i="1"/>
  <c r="R447" i="1" s="1"/>
  <c r="P446" i="1"/>
  <c r="P445" i="1"/>
  <c r="R445" i="1" s="1"/>
  <c r="P444" i="1"/>
  <c r="P443" i="1"/>
  <c r="P442" i="1"/>
  <c r="P441" i="1"/>
  <c r="R441" i="1" s="1"/>
  <c r="P440" i="1"/>
  <c r="P439" i="1"/>
  <c r="R439" i="1" s="1"/>
  <c r="P438" i="1"/>
  <c r="P437" i="1"/>
  <c r="R437" i="1" s="1"/>
  <c r="P436" i="1"/>
  <c r="P435" i="1"/>
  <c r="P434" i="1"/>
  <c r="P433" i="1"/>
  <c r="R433" i="1" s="1"/>
  <c r="P432" i="1"/>
  <c r="P431" i="1"/>
  <c r="R431" i="1" s="1"/>
  <c r="P430" i="1"/>
  <c r="P429" i="1"/>
  <c r="R429" i="1" s="1"/>
  <c r="P428" i="1"/>
  <c r="P427" i="1"/>
  <c r="P426" i="1"/>
  <c r="P425" i="1"/>
  <c r="R425" i="1" s="1"/>
  <c r="P424" i="1"/>
  <c r="P423" i="1"/>
  <c r="R423" i="1" s="1"/>
  <c r="P422" i="1"/>
  <c r="P421" i="1"/>
  <c r="R421" i="1" s="1"/>
  <c r="P420" i="1"/>
  <c r="P419" i="1"/>
  <c r="P418" i="1"/>
  <c r="P417" i="1"/>
  <c r="R417" i="1" s="1"/>
  <c r="P416" i="1"/>
  <c r="P415" i="1"/>
  <c r="R415" i="1" s="1"/>
  <c r="P414" i="1"/>
  <c r="P413" i="1"/>
  <c r="R413" i="1" s="1"/>
  <c r="P412" i="1"/>
  <c r="P411" i="1"/>
  <c r="P410" i="1"/>
  <c r="P409" i="1"/>
  <c r="R409" i="1" s="1"/>
  <c r="P408" i="1"/>
  <c r="P407" i="1"/>
  <c r="R407" i="1" s="1"/>
  <c r="P406" i="1"/>
  <c r="P405" i="1"/>
  <c r="R405" i="1" s="1"/>
  <c r="P404" i="1"/>
  <c r="P403" i="1"/>
  <c r="P402" i="1"/>
  <c r="P401" i="1"/>
  <c r="R401" i="1" s="1"/>
  <c r="P400" i="1"/>
  <c r="P399" i="1"/>
  <c r="R399" i="1" s="1"/>
  <c r="P398" i="1"/>
  <c r="P397" i="1"/>
  <c r="R397" i="1" s="1"/>
  <c r="P396" i="1"/>
  <c r="P395" i="1"/>
  <c r="P394" i="1"/>
  <c r="P393" i="1"/>
  <c r="R393" i="1" s="1"/>
  <c r="P392" i="1"/>
  <c r="P391" i="1"/>
  <c r="R391" i="1" s="1"/>
  <c r="P390" i="1"/>
  <c r="P389" i="1"/>
  <c r="R389" i="1" s="1"/>
  <c r="P388" i="1"/>
  <c r="P387" i="1"/>
  <c r="P386" i="1"/>
  <c r="P385" i="1"/>
  <c r="R385" i="1" s="1"/>
  <c r="P384" i="1"/>
  <c r="P383" i="1"/>
  <c r="R383" i="1" s="1"/>
  <c r="P382" i="1"/>
  <c r="P381" i="1"/>
  <c r="R381" i="1" s="1"/>
  <c r="P380" i="1"/>
  <c r="P379" i="1"/>
  <c r="P378" i="1"/>
  <c r="P377" i="1"/>
  <c r="R377" i="1" s="1"/>
  <c r="P376" i="1"/>
  <c r="P375" i="1"/>
  <c r="R375" i="1" s="1"/>
  <c r="P374" i="1"/>
  <c r="P373" i="1"/>
  <c r="R373" i="1" s="1"/>
  <c r="P372" i="1"/>
  <c r="P371" i="1"/>
  <c r="P370" i="1"/>
  <c r="P369" i="1"/>
  <c r="R369" i="1" s="1"/>
  <c r="P368" i="1"/>
  <c r="P367" i="1"/>
  <c r="R367" i="1" s="1"/>
  <c r="P366" i="1"/>
  <c r="P365" i="1"/>
  <c r="R365" i="1" s="1"/>
  <c r="P364" i="1"/>
  <c r="P363" i="1"/>
  <c r="P362" i="1"/>
  <c r="P361" i="1"/>
  <c r="R361" i="1" s="1"/>
  <c r="P360" i="1"/>
  <c r="P359" i="1"/>
  <c r="R359" i="1" s="1"/>
  <c r="P358" i="1"/>
  <c r="P357" i="1"/>
  <c r="R357" i="1" s="1"/>
  <c r="P356" i="1"/>
  <c r="P355" i="1"/>
  <c r="P354" i="1"/>
  <c r="P353" i="1"/>
  <c r="R353" i="1" s="1"/>
  <c r="P352" i="1"/>
  <c r="P351" i="1"/>
  <c r="R351" i="1" s="1"/>
  <c r="P350" i="1"/>
  <c r="P349" i="1"/>
  <c r="R349" i="1" s="1"/>
  <c r="P348" i="1"/>
  <c r="P347" i="1"/>
  <c r="P346" i="1"/>
  <c r="P345" i="1"/>
  <c r="R345" i="1" s="1"/>
  <c r="P344" i="1"/>
  <c r="P343" i="1"/>
  <c r="R343" i="1" s="1"/>
  <c r="P342" i="1"/>
  <c r="P341" i="1"/>
  <c r="R341" i="1" s="1"/>
  <c r="P340" i="1"/>
  <c r="P339" i="1"/>
  <c r="P338" i="1"/>
  <c r="P337" i="1"/>
  <c r="R337" i="1" s="1"/>
  <c r="P336" i="1"/>
  <c r="P335" i="1"/>
  <c r="R335" i="1" s="1"/>
  <c r="P334" i="1"/>
  <c r="P333" i="1"/>
  <c r="R333" i="1" s="1"/>
  <c r="P332" i="1"/>
  <c r="P331" i="1"/>
  <c r="P330" i="1"/>
  <c r="P329" i="1"/>
  <c r="R329" i="1" s="1"/>
  <c r="P328" i="1"/>
  <c r="P327" i="1"/>
  <c r="R327" i="1" s="1"/>
  <c r="P326" i="1"/>
  <c r="P325" i="1"/>
  <c r="R325" i="1" s="1"/>
  <c r="P324" i="1"/>
  <c r="P323" i="1"/>
  <c r="P322" i="1"/>
  <c r="P321" i="1"/>
  <c r="R321" i="1" s="1"/>
  <c r="P320" i="1"/>
  <c r="P319" i="1"/>
  <c r="R319" i="1" s="1"/>
  <c r="P318" i="1"/>
  <c r="P317" i="1"/>
  <c r="R317" i="1" s="1"/>
  <c r="P316" i="1"/>
  <c r="P315" i="1"/>
  <c r="P314" i="1"/>
  <c r="P313" i="1"/>
  <c r="R313" i="1" s="1"/>
  <c r="P312" i="1"/>
  <c r="P311" i="1"/>
  <c r="R311" i="1" s="1"/>
  <c r="P310" i="1"/>
  <c r="P309" i="1"/>
  <c r="R309" i="1" s="1"/>
  <c r="P308" i="1"/>
  <c r="P307" i="1"/>
  <c r="P306" i="1"/>
  <c r="P305" i="1"/>
  <c r="R305" i="1" s="1"/>
  <c r="P304" i="1"/>
  <c r="P303" i="1"/>
  <c r="R303" i="1" s="1"/>
  <c r="P302" i="1"/>
  <c r="P301" i="1"/>
  <c r="R301" i="1" s="1"/>
  <c r="P300" i="1"/>
  <c r="P299" i="1"/>
  <c r="P298" i="1"/>
  <c r="P297" i="1"/>
  <c r="R297" i="1" s="1"/>
  <c r="P296" i="1"/>
  <c r="P295" i="1"/>
  <c r="R295" i="1" s="1"/>
  <c r="P294" i="1"/>
  <c r="P293" i="1"/>
  <c r="R293" i="1" s="1"/>
  <c r="P292" i="1"/>
  <c r="P291" i="1"/>
  <c r="P290" i="1"/>
  <c r="P289" i="1"/>
  <c r="R289" i="1" s="1"/>
  <c r="P288" i="1"/>
  <c r="P287" i="1"/>
  <c r="R287" i="1" s="1"/>
  <c r="P286" i="1"/>
  <c r="P285" i="1"/>
  <c r="R285" i="1" s="1"/>
  <c r="P284" i="1"/>
  <c r="P283" i="1"/>
  <c r="P282" i="1"/>
  <c r="P281" i="1"/>
  <c r="R281" i="1" s="1"/>
  <c r="P280" i="1"/>
  <c r="P279" i="1"/>
  <c r="R279" i="1" s="1"/>
  <c r="P278" i="1"/>
  <c r="P277" i="1"/>
  <c r="R277" i="1" s="1"/>
  <c r="P276" i="1"/>
  <c r="P275" i="1"/>
  <c r="P274" i="1"/>
  <c r="P273" i="1"/>
  <c r="R273" i="1" s="1"/>
  <c r="P272" i="1"/>
  <c r="P271" i="1"/>
  <c r="R271" i="1" s="1"/>
  <c r="P270" i="1"/>
  <c r="P269" i="1"/>
  <c r="R269" i="1" s="1"/>
  <c r="P268" i="1"/>
  <c r="P267" i="1"/>
  <c r="P266" i="1"/>
  <c r="P265" i="1"/>
  <c r="R265" i="1" s="1"/>
  <c r="P264" i="1"/>
  <c r="P263" i="1"/>
  <c r="R263" i="1" s="1"/>
  <c r="P262" i="1"/>
  <c r="P261" i="1"/>
  <c r="R261" i="1" s="1"/>
  <c r="P260" i="1"/>
  <c r="P259" i="1"/>
  <c r="P258" i="1"/>
  <c r="P257" i="1"/>
  <c r="R257" i="1" s="1"/>
  <c r="P256" i="1"/>
  <c r="P255" i="1"/>
  <c r="R255" i="1" s="1"/>
  <c r="P254" i="1"/>
  <c r="P253" i="1"/>
  <c r="R253" i="1" s="1"/>
  <c r="P252" i="1"/>
  <c r="P251" i="1"/>
  <c r="P250" i="1"/>
  <c r="P249" i="1"/>
  <c r="R249" i="1" s="1"/>
  <c r="P248" i="1"/>
  <c r="P247" i="1"/>
  <c r="R247" i="1" s="1"/>
  <c r="P246" i="1"/>
  <c r="P245" i="1"/>
  <c r="R245" i="1" s="1"/>
  <c r="P244" i="1"/>
  <c r="P243" i="1"/>
  <c r="P242" i="1"/>
  <c r="P241" i="1"/>
  <c r="R241" i="1" s="1"/>
  <c r="P240" i="1"/>
  <c r="P239" i="1"/>
  <c r="R239" i="1" s="1"/>
  <c r="P238" i="1"/>
  <c r="P237" i="1"/>
  <c r="R237" i="1" s="1"/>
  <c r="P236" i="1"/>
  <c r="P235" i="1"/>
  <c r="P234" i="1"/>
  <c r="P233" i="1"/>
  <c r="R233" i="1" s="1"/>
  <c r="P232" i="1"/>
  <c r="P231" i="1"/>
  <c r="R231" i="1" s="1"/>
  <c r="P230" i="1"/>
  <c r="P229" i="1"/>
  <c r="R229" i="1" s="1"/>
  <c r="P228" i="1"/>
  <c r="P227" i="1"/>
  <c r="P226" i="1"/>
  <c r="P225" i="1"/>
  <c r="R225" i="1" s="1"/>
  <c r="P224" i="1"/>
  <c r="P223" i="1"/>
  <c r="R223" i="1" s="1"/>
  <c r="P222" i="1"/>
  <c r="P221" i="1"/>
  <c r="R221" i="1" s="1"/>
  <c r="P220" i="1"/>
  <c r="P219" i="1"/>
  <c r="P218" i="1"/>
  <c r="P217" i="1"/>
  <c r="R217" i="1" s="1"/>
  <c r="P216" i="1"/>
  <c r="P215" i="1"/>
  <c r="R215" i="1" s="1"/>
  <c r="P214" i="1"/>
  <c r="P213" i="1"/>
  <c r="R213" i="1" s="1"/>
  <c r="P212" i="1"/>
  <c r="P211" i="1"/>
  <c r="P210" i="1"/>
  <c r="P209" i="1"/>
  <c r="R209" i="1" s="1"/>
  <c r="P208" i="1"/>
  <c r="P207" i="1"/>
  <c r="R207" i="1" s="1"/>
  <c r="P206" i="1"/>
  <c r="P205" i="1"/>
  <c r="R205" i="1" s="1"/>
  <c r="P204" i="1"/>
  <c r="P203" i="1"/>
  <c r="P202" i="1"/>
  <c r="P201" i="1"/>
  <c r="R201" i="1" s="1"/>
  <c r="P200" i="1"/>
  <c r="P199" i="1"/>
  <c r="R199" i="1" s="1"/>
  <c r="P198" i="1"/>
  <c r="P197" i="1"/>
  <c r="R197" i="1" s="1"/>
  <c r="P196" i="1"/>
  <c r="P195" i="1"/>
  <c r="P194" i="1"/>
  <c r="P193" i="1"/>
  <c r="R193" i="1" s="1"/>
  <c r="P192" i="1"/>
  <c r="P191" i="1"/>
  <c r="R191" i="1" s="1"/>
  <c r="P190" i="1"/>
  <c r="P189" i="1"/>
  <c r="R189" i="1" s="1"/>
  <c r="P188" i="1"/>
  <c r="P187" i="1"/>
  <c r="P186" i="1"/>
  <c r="P185" i="1"/>
  <c r="R185" i="1" s="1"/>
  <c r="P184" i="1"/>
  <c r="P183" i="1"/>
  <c r="R183" i="1" s="1"/>
  <c r="P182" i="1"/>
  <c r="P181" i="1"/>
  <c r="R181" i="1" s="1"/>
  <c r="P180" i="1"/>
  <c r="P179" i="1"/>
  <c r="P178" i="1"/>
  <c r="P177" i="1"/>
  <c r="R177" i="1" s="1"/>
  <c r="P176" i="1"/>
  <c r="P175" i="1"/>
  <c r="R175" i="1" s="1"/>
  <c r="P174" i="1"/>
  <c r="P173" i="1"/>
  <c r="R173" i="1" s="1"/>
  <c r="P172" i="1"/>
  <c r="P171" i="1"/>
  <c r="P170" i="1"/>
  <c r="P169" i="1"/>
  <c r="R169" i="1" s="1"/>
  <c r="P168" i="1"/>
  <c r="P167" i="1"/>
  <c r="R167" i="1" s="1"/>
  <c r="P166" i="1"/>
  <c r="P165" i="1"/>
  <c r="R165" i="1" s="1"/>
  <c r="P164" i="1"/>
  <c r="P163" i="1"/>
  <c r="P162" i="1"/>
  <c r="P161" i="1"/>
  <c r="R161" i="1" s="1"/>
  <c r="P160" i="1"/>
  <c r="P159" i="1"/>
  <c r="R159" i="1" s="1"/>
  <c r="P158" i="1"/>
  <c r="P157" i="1"/>
  <c r="R157" i="1" s="1"/>
  <c r="P156" i="1"/>
  <c r="P155" i="1"/>
  <c r="P154" i="1"/>
  <c r="P153" i="1"/>
  <c r="R153" i="1" s="1"/>
  <c r="P152" i="1"/>
  <c r="P151" i="1"/>
  <c r="R151" i="1" s="1"/>
  <c r="P150" i="1"/>
  <c r="P149" i="1"/>
  <c r="R149" i="1" s="1"/>
  <c r="P148" i="1"/>
  <c r="P147" i="1"/>
  <c r="P146" i="1"/>
  <c r="P145" i="1"/>
  <c r="R145" i="1" s="1"/>
  <c r="P144" i="1"/>
  <c r="P143" i="1"/>
  <c r="R143" i="1" s="1"/>
  <c r="P142" i="1"/>
  <c r="P141" i="1"/>
  <c r="R141" i="1" s="1"/>
  <c r="P140" i="1"/>
  <c r="P139" i="1"/>
  <c r="P138" i="1"/>
  <c r="P137" i="1"/>
  <c r="R137" i="1" s="1"/>
  <c r="P136" i="1"/>
  <c r="P135" i="1"/>
  <c r="R135" i="1" s="1"/>
  <c r="P134" i="1"/>
  <c r="P133" i="1"/>
  <c r="R133" i="1" s="1"/>
  <c r="P132" i="1"/>
  <c r="P131" i="1"/>
  <c r="P130" i="1"/>
  <c r="P129" i="1"/>
  <c r="R129" i="1" s="1"/>
  <c r="P128" i="1"/>
  <c r="P127" i="1"/>
  <c r="R127" i="1" s="1"/>
  <c r="P126" i="1"/>
  <c r="P125" i="1"/>
  <c r="R125" i="1" s="1"/>
  <c r="P124" i="1"/>
  <c r="P123" i="1"/>
  <c r="P122" i="1"/>
  <c r="P121" i="1"/>
  <c r="R121" i="1" s="1"/>
  <c r="P120" i="1"/>
  <c r="P119" i="1"/>
  <c r="P118" i="1"/>
  <c r="P117" i="1"/>
  <c r="R117" i="1" s="1"/>
  <c r="P116" i="1"/>
  <c r="P115" i="1"/>
  <c r="P114" i="1"/>
  <c r="P113" i="1"/>
  <c r="R113" i="1" s="1"/>
  <c r="P112" i="1"/>
  <c r="P111" i="1"/>
  <c r="R111" i="1" s="1"/>
  <c r="P110" i="1"/>
  <c r="P109" i="1"/>
  <c r="R109" i="1" s="1"/>
  <c r="P108" i="1"/>
  <c r="P107" i="1"/>
  <c r="P106" i="1"/>
  <c r="P105" i="1"/>
  <c r="R105" i="1" s="1"/>
  <c r="P104" i="1"/>
  <c r="P103" i="1"/>
  <c r="R103" i="1" s="1"/>
  <c r="P102" i="1"/>
  <c r="P101" i="1"/>
  <c r="R101" i="1" s="1"/>
  <c r="P100" i="1"/>
  <c r="P99" i="1"/>
  <c r="P98" i="1"/>
  <c r="P97" i="1"/>
  <c r="R97" i="1" s="1"/>
  <c r="P96" i="1"/>
  <c r="P95" i="1"/>
  <c r="R95" i="1" s="1"/>
  <c r="P94" i="1"/>
  <c r="P93" i="1"/>
  <c r="R93" i="1" s="1"/>
  <c r="P92" i="1"/>
  <c r="P91" i="1"/>
  <c r="P90" i="1"/>
  <c r="P89" i="1"/>
  <c r="R89" i="1" s="1"/>
  <c r="P88" i="1"/>
  <c r="P87" i="1"/>
  <c r="R87" i="1" s="1"/>
  <c r="P86" i="1"/>
  <c r="P85" i="1"/>
  <c r="R85" i="1" s="1"/>
  <c r="P84" i="1"/>
  <c r="P83" i="1"/>
  <c r="P82" i="1"/>
  <c r="P81" i="1"/>
  <c r="R81" i="1" s="1"/>
  <c r="P80" i="1"/>
  <c r="P79" i="1"/>
  <c r="R79" i="1" s="1"/>
  <c r="P78" i="1"/>
  <c r="P77" i="1"/>
  <c r="R77" i="1" s="1"/>
  <c r="P76" i="1"/>
  <c r="P75" i="1"/>
  <c r="P74" i="1"/>
  <c r="P73" i="1"/>
  <c r="P72" i="1"/>
  <c r="P71" i="1"/>
  <c r="R71" i="1" s="1"/>
  <c r="P70" i="1"/>
  <c r="P69" i="1"/>
  <c r="R69" i="1" s="1"/>
  <c r="P68" i="1"/>
  <c r="P67" i="1"/>
  <c r="P66" i="1"/>
  <c r="P65" i="1"/>
  <c r="R65" i="1" s="1"/>
  <c r="P64" i="1"/>
  <c r="P63" i="1"/>
  <c r="R63" i="1" s="1"/>
  <c r="P62" i="1"/>
  <c r="P61" i="1"/>
  <c r="R61" i="1" s="1"/>
  <c r="P60" i="1"/>
  <c r="P59" i="1"/>
  <c r="P58" i="1"/>
  <c r="P57" i="1"/>
  <c r="R57" i="1" s="1"/>
  <c r="P56" i="1"/>
  <c r="P55" i="1"/>
  <c r="R55" i="1" s="1"/>
  <c r="P54" i="1"/>
  <c r="P53" i="1"/>
  <c r="R53" i="1" s="1"/>
  <c r="P52" i="1"/>
  <c r="P51" i="1"/>
  <c r="P50" i="1"/>
  <c r="P49" i="1"/>
  <c r="R49" i="1" s="1"/>
  <c r="P48" i="1"/>
  <c r="P47" i="1"/>
  <c r="R47" i="1" s="1"/>
  <c r="P46" i="1"/>
  <c r="P45" i="1"/>
  <c r="R45" i="1" s="1"/>
  <c r="P44" i="1"/>
  <c r="P43" i="1"/>
  <c r="P42" i="1"/>
  <c r="P41" i="1"/>
  <c r="R41" i="1" s="1"/>
  <c r="P40" i="1"/>
  <c r="P39" i="1"/>
  <c r="R39" i="1" s="1"/>
  <c r="P38" i="1"/>
  <c r="P37" i="1"/>
  <c r="R37" i="1" s="1"/>
  <c r="P36" i="1"/>
  <c r="P35" i="1"/>
  <c r="P34" i="1"/>
  <c r="P33" i="1"/>
  <c r="R33" i="1" s="1"/>
  <c r="P32" i="1"/>
  <c r="P31" i="1"/>
  <c r="R31" i="1" s="1"/>
  <c r="P30" i="1"/>
  <c r="P29" i="1"/>
  <c r="R29" i="1" s="1"/>
  <c r="P28" i="1"/>
  <c r="P27" i="1"/>
  <c r="P26" i="1"/>
  <c r="P25" i="1"/>
  <c r="R25" i="1" s="1"/>
  <c r="P24" i="1"/>
  <c r="P23" i="1"/>
  <c r="R23" i="1" s="1"/>
  <c r="P22" i="1"/>
  <c r="P21" i="1"/>
  <c r="R21" i="1" s="1"/>
  <c r="P20" i="1"/>
  <c r="P19" i="1"/>
  <c r="P18" i="1"/>
  <c r="P17" i="1"/>
  <c r="R17" i="1" s="1"/>
  <c r="P16" i="1"/>
  <c r="P15" i="1"/>
  <c r="R15" i="1" s="1"/>
  <c r="P14" i="1"/>
  <c r="P13" i="1"/>
  <c r="R13" i="1" s="1"/>
  <c r="P12" i="1"/>
  <c r="P11" i="1"/>
  <c r="P10" i="1"/>
  <c r="P9" i="1"/>
  <c r="R9" i="1" s="1"/>
  <c r="P8" i="1"/>
  <c r="P7" i="1"/>
  <c r="R7" i="1" s="1"/>
  <c r="P6" i="1"/>
  <c r="P5" i="1"/>
  <c r="R5" i="1" s="1"/>
  <c r="P4" i="1"/>
  <c r="P3" i="1"/>
  <c r="P2" i="1"/>
  <c r="R636" i="1" l="1"/>
  <c r="R644" i="1"/>
  <c r="R652" i="1"/>
  <c r="R660" i="1"/>
  <c r="R668" i="1"/>
  <c r="R676" i="1"/>
  <c r="R684" i="1"/>
  <c r="R692" i="1"/>
  <c r="R700" i="1"/>
  <c r="R708" i="1"/>
  <c r="R716" i="1"/>
  <c r="R724" i="1"/>
  <c r="R732" i="1"/>
  <c r="R740" i="1"/>
  <c r="R748" i="1"/>
  <c r="R756" i="1"/>
  <c r="R764" i="1"/>
  <c r="R772" i="1"/>
  <c r="R780" i="1"/>
  <c r="R788" i="1"/>
  <c r="R796" i="1"/>
  <c r="R804" i="1"/>
  <c r="R812" i="1"/>
  <c r="R820" i="1"/>
  <c r="R828" i="1"/>
  <c r="R836" i="1"/>
  <c r="R844" i="1"/>
  <c r="R852" i="1"/>
  <c r="R860" i="1"/>
  <c r="R868" i="1"/>
  <c r="R876" i="1"/>
  <c r="R884" i="1"/>
  <c r="R892" i="1"/>
  <c r="R900" i="1"/>
  <c r="R908" i="1"/>
  <c r="R916" i="1"/>
  <c r="R924" i="1"/>
  <c r="R932" i="1"/>
  <c r="R940" i="1"/>
  <c r="R948" i="1"/>
  <c r="R956" i="1"/>
  <c r="R964" i="1"/>
  <c r="R972" i="1"/>
  <c r="R980" i="1"/>
  <c r="R988" i="1"/>
  <c r="R1871" i="1"/>
  <c r="R1887" i="1"/>
  <c r="R1927" i="1"/>
  <c r="R1975" i="1"/>
  <c r="R119" i="1"/>
  <c r="R483" i="1"/>
  <c r="R491" i="1"/>
  <c r="R499" i="1"/>
  <c r="R507" i="1"/>
  <c r="R515" i="1"/>
  <c r="R523" i="1"/>
  <c r="R531" i="1"/>
  <c r="R539" i="1"/>
  <c r="R547" i="1"/>
  <c r="R555" i="1"/>
  <c r="R563" i="1"/>
  <c r="R571" i="1"/>
  <c r="R579" i="1"/>
  <c r="R587" i="1"/>
  <c r="R595" i="1"/>
  <c r="R603" i="1"/>
  <c r="R611" i="1"/>
  <c r="R619" i="1"/>
  <c r="R627" i="1"/>
  <c r="R635" i="1"/>
  <c r="R851" i="1"/>
  <c r="R995" i="1"/>
  <c r="R1003" i="1"/>
  <c r="R1019" i="1"/>
  <c r="R1027" i="1"/>
  <c r="R1035" i="1"/>
  <c r="R1043" i="1"/>
  <c r="R1051" i="1"/>
  <c r="R1059" i="1"/>
  <c r="R1067" i="1"/>
  <c r="R1075" i="1"/>
  <c r="R1083" i="1"/>
  <c r="R1099" i="1"/>
  <c r="R1107" i="1"/>
  <c r="R1115" i="1"/>
  <c r="R1131" i="1"/>
  <c r="R1139" i="1"/>
  <c r="R1147" i="1"/>
  <c r="R1155" i="1"/>
  <c r="R1163" i="1"/>
  <c r="R1171" i="1"/>
  <c r="R1187" i="1"/>
  <c r="R1195" i="1"/>
  <c r="R1557" i="1"/>
  <c r="R1219" i="1"/>
  <c r="R1227" i="1"/>
  <c r="R1243" i="1"/>
  <c r="R1251" i="1"/>
  <c r="R1283" i="1"/>
  <c r="R1291" i="1"/>
  <c r="R1315" i="1"/>
  <c r="R1331" i="1"/>
  <c r="R1355" i="1"/>
  <c r="R1363" i="1"/>
  <c r="R1379" i="1"/>
  <c r="R1395" i="1"/>
  <c r="R1411" i="1"/>
  <c r="R1419" i="1"/>
  <c r="R1427" i="1"/>
  <c r="R1443" i="1"/>
  <c r="R1451" i="1"/>
  <c r="R1459" i="1"/>
  <c r="R1483" i="1"/>
  <c r="R1547" i="1"/>
  <c r="R1571" i="1"/>
  <c r="R1626" i="1"/>
  <c r="R1659" i="1"/>
  <c r="R1667" i="1"/>
  <c r="R1675" i="1"/>
  <c r="R1683" i="1"/>
  <c r="R1691" i="1"/>
  <c r="R1699" i="1"/>
  <c r="R1707" i="1"/>
  <c r="R1739" i="1"/>
  <c r="R1811" i="1"/>
  <c r="R1835" i="1"/>
  <c r="R1906" i="1"/>
  <c r="R1915" i="1"/>
  <c r="R2011" i="1"/>
  <c r="R1987" i="1"/>
  <c r="R1971" i="1"/>
  <c r="R1947" i="1"/>
  <c r="R1939" i="1"/>
  <c r="R1923" i="1"/>
  <c r="R1157" i="1"/>
  <c r="R1165" i="1"/>
  <c r="R1173" i="1"/>
  <c r="R1181" i="1"/>
  <c r="R1189" i="1"/>
  <c r="R1197" i="1"/>
  <c r="R1205" i="1"/>
  <c r="R1213" i="1"/>
  <c r="R1221" i="1"/>
  <c r="R1229" i="1"/>
  <c r="R1237" i="1"/>
  <c r="R1245" i="1"/>
  <c r="R1253" i="1"/>
  <c r="R1261" i="1"/>
  <c r="R1269" i="1"/>
  <c r="R1277" i="1"/>
  <c r="R1285" i="1"/>
  <c r="R1293" i="1"/>
  <c r="R1301" i="1"/>
  <c r="R1309" i="1"/>
  <c r="R1325" i="1"/>
  <c r="R1333" i="1"/>
  <c r="R1341" i="1"/>
  <c r="R1349" i="1"/>
  <c r="R1357" i="1"/>
  <c r="R1365" i="1"/>
  <c r="R1373" i="1"/>
  <c r="R1381" i="1"/>
  <c r="R1389" i="1"/>
  <c r="R1397" i="1"/>
  <c r="R1405" i="1"/>
  <c r="R1413" i="1"/>
  <c r="R1421" i="1"/>
  <c r="R1437" i="1"/>
  <c r="R1445" i="1"/>
  <c r="R1453" i="1"/>
  <c r="R1461" i="1"/>
  <c r="R1469" i="1"/>
  <c r="R1477" i="1"/>
  <c r="R1493" i="1"/>
  <c r="R1509" i="1"/>
  <c r="R1517" i="1"/>
  <c r="R1525" i="1"/>
  <c r="R1533" i="1"/>
  <c r="R1541" i="1"/>
  <c r="R1549" i="1"/>
  <c r="R1565" i="1"/>
  <c r="R1581" i="1"/>
  <c r="R1589" i="1"/>
  <c r="R1597" i="1"/>
  <c r="R1605" i="1"/>
  <c r="R1613" i="1"/>
  <c r="R1621" i="1"/>
  <c r="R1629" i="1"/>
  <c r="R1637" i="1"/>
  <c r="R1653" i="1"/>
  <c r="R1661" i="1"/>
  <c r="R1669" i="1"/>
  <c r="R1677" i="1"/>
  <c r="R1685" i="1"/>
  <c r="R1701" i="1"/>
  <c r="R1717" i="1"/>
  <c r="R1725" i="1"/>
  <c r="R1733" i="1"/>
  <c r="R1741" i="1"/>
  <c r="R1749" i="1"/>
  <c r="R1757" i="1"/>
  <c r="R1765" i="1"/>
  <c r="R1773" i="1"/>
  <c r="R1789" i="1"/>
  <c r="R1797" i="1"/>
  <c r="R1805" i="1"/>
  <c r="R1813" i="1"/>
  <c r="R1821" i="1"/>
  <c r="R1845" i="1"/>
  <c r="R1861" i="1"/>
  <c r="R1885" i="1"/>
  <c r="R1901" i="1"/>
  <c r="R1941" i="1"/>
  <c r="R1957" i="1"/>
  <c r="R1997" i="1"/>
  <c r="R2013" i="1"/>
  <c r="R1693" i="1"/>
  <c r="R1959" i="1"/>
  <c r="R1967" i="1"/>
  <c r="R1974" i="1"/>
  <c r="R1983" i="1"/>
  <c r="R1998" i="1"/>
  <c r="R2007" i="1"/>
  <c r="R2015" i="1"/>
  <c r="R2023" i="1"/>
  <c r="R1081" i="1"/>
  <c r="R1113" i="1"/>
  <c r="R1177" i="1"/>
  <c r="R1185" i="1"/>
  <c r="R1193" i="1"/>
  <c r="R1248" i="1"/>
  <c r="R1257" i="1"/>
  <c r="R1265" i="1"/>
  <c r="R1337" i="1"/>
  <c r="R1785" i="1"/>
  <c r="R1793" i="1"/>
  <c r="R1849" i="1"/>
  <c r="R1905" i="1"/>
  <c r="R1913" i="1"/>
  <c r="R1928" i="1"/>
  <c r="R1937" i="1"/>
  <c r="R1961" i="1"/>
  <c r="R2009" i="1"/>
  <c r="R2017" i="1"/>
  <c r="R3" i="1"/>
  <c r="R12" i="1"/>
  <c r="R20" i="1"/>
  <c r="R26" i="1"/>
  <c r="R34" i="1"/>
  <c r="R42" i="1"/>
  <c r="R46" i="1"/>
  <c r="R54" i="1"/>
  <c r="R60" i="1"/>
  <c r="R74" i="1"/>
  <c r="R80" i="1"/>
  <c r="R88" i="1"/>
  <c r="R94" i="1"/>
  <c r="R98" i="1"/>
  <c r="R104" i="1"/>
  <c r="R108" i="1"/>
  <c r="R118" i="1"/>
  <c r="R128" i="1"/>
  <c r="R138" i="1"/>
  <c r="R150" i="1"/>
  <c r="R164" i="1"/>
  <c r="R168" i="1"/>
  <c r="R176" i="1"/>
  <c r="R184" i="1"/>
  <c r="S191" i="1" s="1"/>
  <c r="R188" i="1"/>
  <c r="R194" i="1"/>
  <c r="R200" i="1"/>
  <c r="R206" i="1"/>
  <c r="R214" i="1"/>
  <c r="R222" i="1"/>
  <c r="R228" i="1"/>
  <c r="R236" i="1"/>
  <c r="R254" i="1"/>
  <c r="R268" i="1"/>
  <c r="R284" i="1"/>
  <c r="R288" i="1"/>
  <c r="R292" i="1"/>
  <c r="R296" i="1"/>
  <c r="R306" i="1"/>
  <c r="R314" i="1"/>
  <c r="R320" i="1"/>
  <c r="R330" i="1"/>
  <c r="R336" i="1"/>
  <c r="R346" i="1"/>
  <c r="R350" i="1"/>
  <c r="R360" i="1"/>
  <c r="R368" i="1"/>
  <c r="R376" i="1"/>
  <c r="R388" i="1"/>
  <c r="R396" i="1"/>
  <c r="R408" i="1"/>
  <c r="R414" i="1"/>
  <c r="R416" i="1"/>
  <c r="R418" i="1"/>
  <c r="R422" i="1"/>
  <c r="R428" i="1"/>
  <c r="R434" i="1"/>
  <c r="R458" i="1"/>
  <c r="R468" i="1"/>
  <c r="R474" i="1"/>
  <c r="R476" i="1"/>
  <c r="R478" i="1"/>
  <c r="R480" i="1"/>
  <c r="R486" i="1"/>
  <c r="R488" i="1"/>
  <c r="R490" i="1"/>
  <c r="R492" i="1"/>
  <c r="R494" i="1"/>
  <c r="R496" i="1"/>
  <c r="R498" i="1"/>
  <c r="R500" i="1"/>
  <c r="R502" i="1"/>
  <c r="R504" i="1"/>
  <c r="R506" i="1"/>
  <c r="R508" i="1"/>
  <c r="R510" i="1"/>
  <c r="R512" i="1"/>
  <c r="R514" i="1"/>
  <c r="R516" i="1"/>
  <c r="R518" i="1"/>
  <c r="R520" i="1"/>
  <c r="R522" i="1"/>
  <c r="R524" i="1"/>
  <c r="R526" i="1"/>
  <c r="R528" i="1"/>
  <c r="R530" i="1"/>
  <c r="R532" i="1"/>
  <c r="R534" i="1"/>
  <c r="S527" i="1" s="1"/>
  <c r="R536" i="1"/>
  <c r="R538" i="1"/>
  <c r="R540" i="1"/>
  <c r="R542" i="1"/>
  <c r="R544" i="1"/>
  <c r="R546" i="1"/>
  <c r="R548" i="1"/>
  <c r="R550" i="1"/>
  <c r="R552" i="1"/>
  <c r="R558" i="1"/>
  <c r="R562" i="1"/>
  <c r="R564" i="1"/>
  <c r="R566" i="1"/>
  <c r="R568" i="1"/>
  <c r="R570" i="1"/>
  <c r="R572" i="1"/>
  <c r="S569" i="1" s="1"/>
  <c r="R574" i="1"/>
  <c r="R576" i="1"/>
  <c r="R578" i="1"/>
  <c r="R580" i="1"/>
  <c r="R582" i="1"/>
  <c r="R584" i="1"/>
  <c r="R586" i="1"/>
  <c r="R588" i="1"/>
  <c r="R590" i="1"/>
  <c r="R592" i="1"/>
  <c r="R594" i="1"/>
  <c r="R596" i="1"/>
  <c r="R598" i="1"/>
  <c r="R600" i="1"/>
  <c r="R602" i="1"/>
  <c r="R604" i="1"/>
  <c r="S611" i="1" s="1"/>
  <c r="R606" i="1"/>
  <c r="R608" i="1"/>
  <c r="R610" i="1"/>
  <c r="R612" i="1"/>
  <c r="R614" i="1"/>
  <c r="R616" i="1"/>
  <c r="R618" i="1"/>
  <c r="R620" i="1"/>
  <c r="R622" i="1"/>
  <c r="R624" i="1"/>
  <c r="R628" i="1"/>
  <c r="R630" i="1"/>
  <c r="R632" i="1"/>
  <c r="R634" i="1"/>
  <c r="R6" i="1"/>
  <c r="R8" i="1"/>
  <c r="S4" i="1" s="1"/>
  <c r="R10" i="1"/>
  <c r="R18" i="1"/>
  <c r="R28" i="1"/>
  <c r="R36" i="1"/>
  <c r="R44" i="1"/>
  <c r="R52" i="1"/>
  <c r="R62" i="1"/>
  <c r="R72" i="1"/>
  <c r="R84" i="1"/>
  <c r="R90" i="1"/>
  <c r="R96" i="1"/>
  <c r="R100" i="1"/>
  <c r="R106" i="1"/>
  <c r="R114" i="1"/>
  <c r="R134" i="1"/>
  <c r="R144" i="1"/>
  <c r="R160" i="1"/>
  <c r="R166" i="1"/>
  <c r="R174" i="1"/>
  <c r="R182" i="1"/>
  <c r="R186" i="1"/>
  <c r="R190" i="1"/>
  <c r="R196" i="1"/>
  <c r="R208" i="1"/>
  <c r="R216" i="1"/>
  <c r="R230" i="1"/>
  <c r="R238" i="1"/>
  <c r="R252" i="1"/>
  <c r="R256" i="1"/>
  <c r="R260" i="1"/>
  <c r="R262" i="1"/>
  <c r="R264" i="1"/>
  <c r="R270" i="1"/>
  <c r="R290" i="1"/>
  <c r="R298" i="1"/>
  <c r="R302" i="1"/>
  <c r="R312" i="1"/>
  <c r="R322" i="1"/>
  <c r="R328" i="1"/>
  <c r="R332" i="1"/>
  <c r="R340" i="1"/>
  <c r="R348" i="1"/>
  <c r="R364" i="1"/>
  <c r="R370" i="1"/>
  <c r="R378" i="1"/>
  <c r="R390" i="1"/>
  <c r="R402" i="1"/>
  <c r="R420" i="1"/>
  <c r="R560" i="1"/>
  <c r="R14" i="1"/>
  <c r="R24" i="1"/>
  <c r="R30" i="1"/>
  <c r="R38" i="1"/>
  <c r="R48" i="1"/>
  <c r="R58" i="1"/>
  <c r="R70" i="1"/>
  <c r="R78" i="1"/>
  <c r="R92" i="1"/>
  <c r="R110" i="1"/>
  <c r="R120" i="1"/>
  <c r="R124" i="1"/>
  <c r="R130" i="1"/>
  <c r="R136" i="1"/>
  <c r="R142" i="1"/>
  <c r="R148" i="1"/>
  <c r="R156" i="1"/>
  <c r="R162" i="1"/>
  <c r="R172" i="1"/>
  <c r="R198" i="1"/>
  <c r="R204" i="1"/>
  <c r="R210" i="1"/>
  <c r="R220" i="1"/>
  <c r="R224" i="1"/>
  <c r="R234" i="1"/>
  <c r="R240" i="1"/>
  <c r="R242" i="1"/>
  <c r="R244" i="1"/>
  <c r="R246" i="1"/>
  <c r="R248" i="1"/>
  <c r="R258" i="1"/>
  <c r="R282" i="1"/>
  <c r="R294" i="1"/>
  <c r="R304" i="1"/>
  <c r="R310" i="1"/>
  <c r="R318" i="1"/>
  <c r="R324" i="1"/>
  <c r="R342" i="1"/>
  <c r="R352" i="1"/>
  <c r="R358" i="1"/>
  <c r="R366" i="1"/>
  <c r="R372" i="1"/>
  <c r="R384" i="1"/>
  <c r="R394" i="1"/>
  <c r="R400" i="1"/>
  <c r="R404" i="1"/>
  <c r="R412" i="1"/>
  <c r="R426" i="1"/>
  <c r="R432" i="1"/>
  <c r="R438" i="1"/>
  <c r="R442" i="1"/>
  <c r="R446" i="1"/>
  <c r="R450" i="1"/>
  <c r="R460" i="1"/>
  <c r="R470" i="1"/>
  <c r="S464" i="1" s="1"/>
  <c r="R482" i="1"/>
  <c r="R556" i="1"/>
  <c r="R4" i="1"/>
  <c r="R16" i="1"/>
  <c r="R22" i="1"/>
  <c r="R32" i="1"/>
  <c r="R40" i="1"/>
  <c r="R50" i="1"/>
  <c r="R56" i="1"/>
  <c r="R64" i="1"/>
  <c r="R66" i="1"/>
  <c r="R68" i="1"/>
  <c r="R76" i="1"/>
  <c r="R86" i="1"/>
  <c r="R102" i="1"/>
  <c r="R112" i="1"/>
  <c r="R116" i="1"/>
  <c r="R122" i="1"/>
  <c r="R126" i="1"/>
  <c r="R132" i="1"/>
  <c r="R140" i="1"/>
  <c r="R146" i="1"/>
  <c r="R152" i="1"/>
  <c r="R154" i="1"/>
  <c r="R158" i="1"/>
  <c r="R170" i="1"/>
  <c r="R180" i="1"/>
  <c r="R192" i="1"/>
  <c r="R202" i="1"/>
  <c r="R212" i="1"/>
  <c r="R218" i="1"/>
  <c r="R226" i="1"/>
  <c r="S233" i="1" s="1"/>
  <c r="R232" i="1"/>
  <c r="R250" i="1"/>
  <c r="R266" i="1"/>
  <c r="R272" i="1"/>
  <c r="R274" i="1"/>
  <c r="R276" i="1"/>
  <c r="R278" i="1"/>
  <c r="R280" i="1"/>
  <c r="R286" i="1"/>
  <c r="R300" i="1"/>
  <c r="R308" i="1"/>
  <c r="R316" i="1"/>
  <c r="R326" i="1"/>
  <c r="R334" i="1"/>
  <c r="R344" i="1"/>
  <c r="R354" i="1"/>
  <c r="R356" i="1"/>
  <c r="R362" i="1"/>
  <c r="R374" i="1"/>
  <c r="R380" i="1"/>
  <c r="R382" i="1"/>
  <c r="R386" i="1"/>
  <c r="R392" i="1"/>
  <c r="R398" i="1"/>
  <c r="R406" i="1"/>
  <c r="R410" i="1"/>
  <c r="R424" i="1"/>
  <c r="R430" i="1"/>
  <c r="R436" i="1"/>
  <c r="R440" i="1"/>
  <c r="R444" i="1"/>
  <c r="R448" i="1"/>
  <c r="R452" i="1"/>
  <c r="R454" i="1"/>
  <c r="R456" i="1"/>
  <c r="R462" i="1"/>
  <c r="R464" i="1"/>
  <c r="R466" i="1"/>
  <c r="R472" i="1"/>
  <c r="R484" i="1"/>
  <c r="S485" i="1" s="1"/>
  <c r="R554" i="1"/>
  <c r="R637" i="1"/>
  <c r="R639" i="1"/>
  <c r="R641" i="1"/>
  <c r="R643" i="1"/>
  <c r="R645" i="1"/>
  <c r="R647" i="1"/>
  <c r="R649" i="1"/>
  <c r="S653" i="1" s="1"/>
  <c r="R651" i="1"/>
  <c r="R653" i="1"/>
  <c r="R655" i="1"/>
  <c r="R657" i="1"/>
  <c r="R659" i="1"/>
  <c r="R661" i="1"/>
  <c r="R663" i="1"/>
  <c r="R665" i="1"/>
  <c r="R667" i="1"/>
  <c r="R669" i="1"/>
  <c r="R671" i="1"/>
  <c r="R673" i="1"/>
  <c r="R675" i="1"/>
  <c r="R677" i="1"/>
  <c r="R679" i="1"/>
  <c r="R681" i="1"/>
  <c r="R683" i="1"/>
  <c r="R685" i="1"/>
  <c r="R687" i="1"/>
  <c r="R689" i="1"/>
  <c r="R691" i="1"/>
  <c r="R693" i="1"/>
  <c r="R695" i="1"/>
  <c r="R697" i="1"/>
  <c r="R699" i="1"/>
  <c r="R701" i="1"/>
  <c r="R703" i="1"/>
  <c r="R705" i="1"/>
  <c r="R707" i="1"/>
  <c r="R709" i="1"/>
  <c r="R711" i="1"/>
  <c r="R713" i="1"/>
  <c r="S716" i="1" s="1"/>
  <c r="R715" i="1"/>
  <c r="R717" i="1"/>
  <c r="R719" i="1"/>
  <c r="R721" i="1"/>
  <c r="R723" i="1"/>
  <c r="R725" i="1"/>
  <c r="R727" i="1"/>
  <c r="R729" i="1"/>
  <c r="S737" i="1" s="1"/>
  <c r="R731" i="1"/>
  <c r="R733" i="1"/>
  <c r="R735" i="1"/>
  <c r="R737" i="1"/>
  <c r="R739" i="1"/>
  <c r="R741" i="1"/>
  <c r="R743" i="1"/>
  <c r="R745" i="1"/>
  <c r="R747" i="1"/>
  <c r="R749" i="1"/>
  <c r="R751" i="1"/>
  <c r="R753" i="1"/>
  <c r="R755" i="1"/>
  <c r="R757" i="1"/>
  <c r="R759" i="1"/>
  <c r="R761" i="1"/>
  <c r="R763" i="1"/>
  <c r="R765" i="1"/>
  <c r="R767" i="1"/>
  <c r="R769" i="1"/>
  <c r="R771" i="1"/>
  <c r="R773" i="1"/>
  <c r="R775" i="1"/>
  <c r="R777" i="1"/>
  <c r="R779" i="1"/>
  <c r="R781" i="1"/>
  <c r="R783" i="1"/>
  <c r="R785" i="1"/>
  <c r="R787" i="1"/>
  <c r="R789" i="1"/>
  <c r="R791" i="1"/>
  <c r="R793" i="1"/>
  <c r="R795" i="1"/>
  <c r="R797" i="1"/>
  <c r="R799" i="1"/>
  <c r="R801" i="1"/>
  <c r="R803" i="1"/>
  <c r="R805" i="1"/>
  <c r="R807" i="1"/>
  <c r="R809" i="1"/>
  <c r="R811" i="1"/>
  <c r="R813" i="1"/>
  <c r="R815" i="1"/>
  <c r="R817" i="1"/>
  <c r="R819" i="1"/>
  <c r="R821" i="1"/>
  <c r="R823" i="1"/>
  <c r="R825" i="1"/>
  <c r="R827" i="1"/>
  <c r="R829" i="1"/>
  <c r="R831" i="1"/>
  <c r="R833" i="1"/>
  <c r="R835" i="1"/>
  <c r="R837" i="1"/>
  <c r="R839" i="1"/>
  <c r="R841" i="1"/>
  <c r="R843" i="1"/>
  <c r="R845" i="1"/>
  <c r="R847" i="1"/>
  <c r="R849" i="1"/>
  <c r="R853" i="1"/>
  <c r="R855" i="1"/>
  <c r="R857" i="1"/>
  <c r="R859" i="1"/>
  <c r="S863" i="1" s="1"/>
  <c r="R861" i="1"/>
  <c r="R863" i="1"/>
  <c r="R865" i="1"/>
  <c r="R867" i="1"/>
  <c r="R869" i="1"/>
  <c r="R871" i="1"/>
  <c r="R873" i="1"/>
  <c r="R875" i="1"/>
  <c r="R877" i="1"/>
  <c r="R881" i="1"/>
  <c r="R883" i="1"/>
  <c r="R885" i="1"/>
  <c r="R887" i="1"/>
  <c r="R889" i="1"/>
  <c r="R891" i="1"/>
  <c r="R893" i="1"/>
  <c r="S884" i="1" s="1"/>
  <c r="R895" i="1"/>
  <c r="R897" i="1"/>
  <c r="R899" i="1"/>
  <c r="R901" i="1"/>
  <c r="R903" i="1"/>
  <c r="R905" i="1"/>
  <c r="R909" i="1"/>
  <c r="R911" i="1"/>
  <c r="R915" i="1"/>
  <c r="R917" i="1"/>
  <c r="R919" i="1"/>
  <c r="R921" i="1"/>
  <c r="R923" i="1"/>
  <c r="R925" i="1"/>
  <c r="R927" i="1"/>
  <c r="R931" i="1"/>
  <c r="R933" i="1"/>
  <c r="R935" i="1"/>
  <c r="R939" i="1"/>
  <c r="R941" i="1"/>
  <c r="R943" i="1"/>
  <c r="R947" i="1"/>
  <c r="R949" i="1"/>
  <c r="R951" i="1"/>
  <c r="R955" i="1"/>
  <c r="R957" i="1"/>
  <c r="R959" i="1"/>
  <c r="R963" i="1"/>
  <c r="R965" i="1"/>
  <c r="R967" i="1"/>
  <c r="R973" i="1"/>
  <c r="R975" i="1"/>
  <c r="R979" i="1"/>
  <c r="R981" i="1"/>
  <c r="R987" i="1"/>
  <c r="R989" i="1"/>
  <c r="R991" i="1"/>
  <c r="R1317" i="1"/>
  <c r="R1316" i="1"/>
  <c r="R1429" i="1"/>
  <c r="R1428" i="1"/>
  <c r="R1435" i="1"/>
  <c r="R1434" i="1"/>
  <c r="R1484" i="1"/>
  <c r="R1485" i="1"/>
  <c r="R1500" i="1"/>
  <c r="R1501" i="1"/>
  <c r="R1572" i="1"/>
  <c r="R1573" i="1"/>
  <c r="R1644" i="1"/>
  <c r="R1645" i="1"/>
  <c r="R1995" i="1"/>
  <c r="R996" i="1"/>
  <c r="R998" i="1"/>
  <c r="R1000" i="1"/>
  <c r="R1004" i="1"/>
  <c r="R1006" i="1"/>
  <c r="R1008" i="1"/>
  <c r="R1012" i="1"/>
  <c r="R1014" i="1"/>
  <c r="R1016" i="1"/>
  <c r="R1020" i="1"/>
  <c r="R1022" i="1"/>
  <c r="R1028" i="1"/>
  <c r="R1030" i="1"/>
  <c r="R1036" i="1"/>
  <c r="R1038" i="1"/>
  <c r="R1040" i="1"/>
  <c r="R1044" i="1"/>
  <c r="R1046" i="1"/>
  <c r="R1048" i="1"/>
  <c r="R1052" i="1"/>
  <c r="R1054" i="1"/>
  <c r="R1056" i="1"/>
  <c r="R1060" i="1"/>
  <c r="R1062" i="1"/>
  <c r="R1064" i="1"/>
  <c r="R1068" i="1"/>
  <c r="R1070" i="1"/>
  <c r="R1072" i="1"/>
  <c r="R1076" i="1"/>
  <c r="R1078" i="1"/>
  <c r="R1080" i="1"/>
  <c r="R1084" i="1"/>
  <c r="R1086" i="1"/>
  <c r="R1088" i="1"/>
  <c r="R1092" i="1"/>
  <c r="R1094" i="1"/>
  <c r="R1100" i="1"/>
  <c r="R1102" i="1"/>
  <c r="R1104" i="1"/>
  <c r="R1108" i="1"/>
  <c r="R1110" i="1"/>
  <c r="R1112" i="1"/>
  <c r="R1116" i="1"/>
  <c r="R1118" i="1"/>
  <c r="R1120" i="1"/>
  <c r="R1124" i="1"/>
  <c r="R1126" i="1"/>
  <c r="R1128" i="1"/>
  <c r="R1132" i="1"/>
  <c r="R1134" i="1"/>
  <c r="R1136" i="1"/>
  <c r="R1140" i="1"/>
  <c r="R1142" i="1"/>
  <c r="R1144" i="1"/>
  <c r="R1148" i="1"/>
  <c r="R1150" i="1"/>
  <c r="R1156" i="1"/>
  <c r="R1158" i="1"/>
  <c r="R1164" i="1"/>
  <c r="R1166" i="1"/>
  <c r="R1168" i="1"/>
  <c r="R1172" i="1"/>
  <c r="R1174" i="1"/>
  <c r="R1176" i="1"/>
  <c r="R1180" i="1"/>
  <c r="R1182" i="1"/>
  <c r="R1184" i="1"/>
  <c r="R1186" i="1"/>
  <c r="R1188" i="1"/>
  <c r="R1190" i="1"/>
  <c r="R1192" i="1"/>
  <c r="R1196" i="1"/>
  <c r="R1222" i="1"/>
  <c r="R1228" i="1"/>
  <c r="R1236" i="1"/>
  <c r="R1238" i="1"/>
  <c r="R1252" i="1"/>
  <c r="R1254" i="1"/>
  <c r="R1260" i="1"/>
  <c r="R1262" i="1"/>
  <c r="R1270" i="1"/>
  <c r="R1276" i="1"/>
  <c r="R1286" i="1"/>
  <c r="R1292" i="1"/>
  <c r="R1294" i="1"/>
  <c r="R1300" i="1"/>
  <c r="R1308" i="1"/>
  <c r="R1310" i="1"/>
  <c r="R1318" i="1"/>
  <c r="R1324" i="1"/>
  <c r="R1326" i="1"/>
  <c r="R1334" i="1"/>
  <c r="R1340" i="1"/>
  <c r="R1348" i="1"/>
  <c r="R1350" i="1"/>
  <c r="R1356" i="1"/>
  <c r="R1366" i="1"/>
  <c r="R1372" i="1"/>
  <c r="R1380" i="1"/>
  <c r="R1390" i="1"/>
  <c r="R1404" i="1"/>
  <c r="R1422" i="1"/>
  <c r="R1436" i="1"/>
  <c r="R1446" i="1"/>
  <c r="R1452" i="1"/>
  <c r="R1460" i="1"/>
  <c r="R1462" i="1"/>
  <c r="R1470" i="1"/>
  <c r="R1476" i="1"/>
  <c r="R1478" i="1"/>
  <c r="R1486" i="1"/>
  <c r="R1492" i="1"/>
  <c r="R1498" i="1"/>
  <c r="R1502" i="1"/>
  <c r="R1510" i="1"/>
  <c r="R1516" i="1"/>
  <c r="R1524" i="1"/>
  <c r="R1526" i="1"/>
  <c r="R1532" i="1"/>
  <c r="R1542" i="1"/>
  <c r="R1550" i="1"/>
  <c r="R1558" i="1"/>
  <c r="R1566" i="1"/>
  <c r="R1580" i="1"/>
  <c r="R1582" i="1"/>
  <c r="R1588" i="1"/>
  <c r="R1596" i="1"/>
  <c r="R1598" i="1"/>
  <c r="R1606" i="1"/>
  <c r="R1612" i="1"/>
  <c r="R1620" i="1"/>
  <c r="R1622" i="1"/>
  <c r="R1630" i="1"/>
  <c r="R1636" i="1"/>
  <c r="R1638" i="1"/>
  <c r="R1646" i="1"/>
  <c r="R1652" i="1"/>
  <c r="R1658" i="1"/>
  <c r="R1662" i="1"/>
  <c r="R1668" i="1"/>
  <c r="R1670" i="1"/>
  <c r="R1684" i="1"/>
  <c r="R1686" i="1"/>
  <c r="R1694" i="1"/>
  <c r="R1700" i="1"/>
  <c r="R1710" i="1"/>
  <c r="R1718" i="1"/>
  <c r="R1724" i="1"/>
  <c r="R1732" i="1"/>
  <c r="R1734" i="1"/>
  <c r="R1740" i="1"/>
  <c r="R1750" i="1"/>
  <c r="R1758" i="1"/>
  <c r="R1766" i="1"/>
  <c r="R1774" i="1"/>
  <c r="R1778" i="1"/>
  <c r="R1788" i="1"/>
  <c r="R1790" i="1"/>
  <c r="R1796" i="1"/>
  <c r="R1804" i="1"/>
  <c r="R1806" i="1"/>
  <c r="R1847" i="1"/>
  <c r="R1709" i="1"/>
  <c r="R1814" i="1"/>
  <c r="R1815" i="1"/>
  <c r="R1823" i="1"/>
  <c r="R1822" i="1"/>
  <c r="R1828" i="1"/>
  <c r="R1829" i="1"/>
  <c r="R1830" i="1"/>
  <c r="R1831" i="1"/>
  <c r="R1836" i="1"/>
  <c r="R1837" i="1"/>
  <c r="R1838" i="1"/>
  <c r="R1839" i="1"/>
  <c r="R1842" i="1"/>
  <c r="R1843" i="1"/>
  <c r="R1852" i="1"/>
  <c r="R1853" i="1"/>
  <c r="R1854" i="1"/>
  <c r="R1855" i="1"/>
  <c r="R1862" i="1"/>
  <c r="R1863" i="1"/>
  <c r="R1868" i="1"/>
  <c r="R1869" i="1"/>
  <c r="R1876" i="1"/>
  <c r="R1877" i="1"/>
  <c r="R1878" i="1"/>
  <c r="R1879" i="1"/>
  <c r="R1892" i="1"/>
  <c r="R1893" i="1"/>
  <c r="R1894" i="1"/>
  <c r="R1895" i="1"/>
  <c r="R1908" i="1"/>
  <c r="R1909" i="1"/>
  <c r="R1911" i="1"/>
  <c r="R1910" i="1"/>
  <c r="R1916" i="1"/>
  <c r="R1917" i="1"/>
  <c r="R1924" i="1"/>
  <c r="R1925" i="1"/>
  <c r="R1931" i="1"/>
  <c r="R1932" i="1"/>
  <c r="R1933" i="1"/>
  <c r="R1934" i="1"/>
  <c r="R1935" i="1"/>
  <c r="R1942" i="1"/>
  <c r="R1943" i="1"/>
  <c r="R1948" i="1"/>
  <c r="R1949" i="1"/>
  <c r="R1950" i="1"/>
  <c r="R1951" i="1"/>
  <c r="R1955" i="1"/>
  <c r="R1963" i="1"/>
  <c r="R1964" i="1"/>
  <c r="R1965" i="1"/>
  <c r="R1972" i="1"/>
  <c r="R1973" i="1"/>
  <c r="R1979" i="1"/>
  <c r="R1981" i="1"/>
  <c r="R1980" i="1"/>
  <c r="R1988" i="1"/>
  <c r="R1989" i="1"/>
  <c r="R1990" i="1"/>
  <c r="R1991" i="1"/>
  <c r="R2003" i="1"/>
  <c r="R2019" i="1"/>
  <c r="R1919" i="1"/>
  <c r="R1781" i="1"/>
  <c r="R1903" i="1"/>
  <c r="R1764" i="1"/>
  <c r="R2006" i="1"/>
  <c r="R2005" i="1"/>
  <c r="R2021" i="1"/>
  <c r="R1198" i="1"/>
  <c r="R1206" i="1"/>
  <c r="R1208" i="1"/>
  <c r="R1212" i="1"/>
  <c r="R1214" i="1"/>
  <c r="R1220" i="1"/>
  <c r="R1224" i="1"/>
  <c r="R1230" i="1"/>
  <c r="R1244" i="1"/>
  <c r="R1246" i="1"/>
  <c r="R1256" i="1"/>
  <c r="R1258" i="1"/>
  <c r="R1264" i="1"/>
  <c r="R1268" i="1"/>
  <c r="R1272" i="1"/>
  <c r="R1278" i="1"/>
  <c r="R1280" i="1"/>
  <c r="R1284" i="1"/>
  <c r="R1302" i="1"/>
  <c r="R1320" i="1"/>
  <c r="R1322" i="1"/>
  <c r="R1330" i="1"/>
  <c r="R1332" i="1"/>
  <c r="R1342" i="1"/>
  <c r="R1352" i="1"/>
  <c r="R1358" i="1"/>
  <c r="R1368" i="1"/>
  <c r="R1370" i="1"/>
  <c r="R1374" i="1"/>
  <c r="R1382" i="1"/>
  <c r="R1388" i="1"/>
  <c r="R1396" i="1"/>
  <c r="R1398" i="1"/>
  <c r="R1400" i="1"/>
  <c r="R1402" i="1"/>
  <c r="R1406" i="1"/>
  <c r="R1412" i="1"/>
  <c r="R1414" i="1"/>
  <c r="R1416" i="1"/>
  <c r="R1420" i="1"/>
  <c r="R1424" i="1"/>
  <c r="R1430" i="1"/>
  <c r="R1438" i="1"/>
  <c r="R1444" i="1"/>
  <c r="R1448" i="1"/>
  <c r="R1454" i="1"/>
  <c r="R1468" i="1"/>
  <c r="R1480" i="1"/>
  <c r="R1494" i="1"/>
  <c r="R1496" i="1"/>
  <c r="R1508" i="1"/>
  <c r="R1512" i="1"/>
  <c r="R1528" i="1"/>
  <c r="R1534" i="1"/>
  <c r="R1548" i="1"/>
  <c r="R1552" i="1"/>
  <c r="R1562" i="1"/>
  <c r="R1564" i="1"/>
  <c r="R1574" i="1"/>
  <c r="R1576" i="1"/>
  <c r="R1590" i="1"/>
  <c r="R1604" i="1"/>
  <c r="R1608" i="1"/>
  <c r="R1614" i="1"/>
  <c r="R1616" i="1"/>
  <c r="R1624" i="1"/>
  <c r="R1628" i="1"/>
  <c r="R1654" i="1"/>
  <c r="R1656" i="1"/>
  <c r="R1678" i="1"/>
  <c r="R1680" i="1"/>
  <c r="R1690" i="1"/>
  <c r="R1702" i="1"/>
  <c r="R1704" i="1"/>
  <c r="R1716" i="1"/>
  <c r="R1720" i="1"/>
  <c r="R1736" i="1"/>
  <c r="R1742" i="1"/>
  <c r="R1756" i="1"/>
  <c r="R1768" i="1"/>
  <c r="R1772" i="1"/>
  <c r="R1782" i="1"/>
  <c r="R1784" i="1"/>
  <c r="R1798" i="1"/>
  <c r="R1812" i="1"/>
  <c r="R1826" i="1"/>
  <c r="R1834" i="1"/>
  <c r="R1844" i="1"/>
  <c r="R1860" i="1"/>
  <c r="R1870" i="1"/>
  <c r="R1882" i="1"/>
  <c r="R1886" i="1"/>
  <c r="R1900" i="1"/>
  <c r="R1926" i="1"/>
  <c r="R1940" i="1"/>
  <c r="R1956" i="1"/>
  <c r="R1966" i="1"/>
  <c r="R1982" i="1"/>
  <c r="R1996" i="1"/>
  <c r="R2012" i="1"/>
  <c r="R2022" i="1"/>
  <c r="R1999" i="1"/>
  <c r="R2001" i="1"/>
  <c r="R1993" i="1"/>
  <c r="R1985" i="1"/>
  <c r="R1977" i="1"/>
  <c r="R1969" i="1"/>
  <c r="R1953" i="1"/>
  <c r="R1945" i="1"/>
  <c r="R1929" i="1"/>
  <c r="R1921" i="1"/>
  <c r="R1897" i="1"/>
  <c r="R1873" i="1"/>
  <c r="R1865" i="1"/>
  <c r="R1857" i="1"/>
  <c r="R1841" i="1"/>
  <c r="R1809" i="1"/>
  <c r="R1801" i="1"/>
  <c r="R1777" i="1"/>
  <c r="R1769" i="1"/>
  <c r="R1745" i="1"/>
  <c r="R1818" i="1"/>
  <c r="R1856" i="1"/>
  <c r="R1896" i="1"/>
  <c r="R1960" i="1"/>
  <c r="R1992" i="1"/>
  <c r="R1907" i="1"/>
  <c r="R1898" i="1"/>
  <c r="R1890" i="1"/>
  <c r="R1875" i="1"/>
  <c r="R1851" i="1"/>
  <c r="R1819" i="1"/>
  <c r="R1795" i="1"/>
  <c r="R1779" i="1"/>
  <c r="R1770" i="1"/>
  <c r="R1762" i="1"/>
  <c r="R1754" i="1"/>
  <c r="R1747" i="1"/>
  <c r="R1001" i="1"/>
  <c r="R1722" i="1"/>
  <c r="R1627" i="1"/>
  <c r="R1603" i="1"/>
  <c r="R1579" i="1"/>
  <c r="R1563" i="1"/>
  <c r="R1555" i="1"/>
  <c r="R1539" i="1"/>
  <c r="R1530" i="1"/>
  <c r="R1515" i="1"/>
  <c r="R1491" i="1"/>
  <c r="R1466" i="1"/>
  <c r="R1371" i="1"/>
  <c r="R1347" i="1"/>
  <c r="R1338" i="1"/>
  <c r="R1323" i="1"/>
  <c r="R1314" i="1"/>
  <c r="R1307" i="1"/>
  <c r="R1274" i="1"/>
  <c r="R1266" i="1"/>
  <c r="R1259" i="1"/>
  <c r="R1250" i="1"/>
  <c r="R1242" i="1"/>
  <c r="R1210" i="1"/>
  <c r="R1202" i="1"/>
  <c r="R1194" i="1"/>
  <c r="R1179" i="1"/>
  <c r="R1146" i="1"/>
  <c r="R1138" i="1"/>
  <c r="R1130" i="1"/>
  <c r="R1123" i="1"/>
  <c r="R1114" i="1"/>
  <c r="R1091" i="1"/>
  <c r="R1082" i="1"/>
  <c r="R1074" i="1"/>
  <c r="R1066" i="1"/>
  <c r="R1058" i="1"/>
  <c r="R1050" i="1"/>
  <c r="R1018" i="1"/>
  <c r="R1010" i="1"/>
  <c r="R1002" i="1"/>
  <c r="R971" i="1"/>
  <c r="R954" i="1"/>
  <c r="R946" i="1"/>
  <c r="R938" i="1"/>
  <c r="R930" i="1"/>
  <c r="R922" i="1"/>
  <c r="R907" i="1"/>
  <c r="R898" i="1"/>
  <c r="R890" i="1"/>
  <c r="R882" i="1"/>
  <c r="R874" i="1"/>
  <c r="R858" i="1"/>
  <c r="R842" i="1"/>
  <c r="R834" i="1"/>
  <c r="R826" i="1"/>
  <c r="R818" i="1"/>
  <c r="R810" i="1"/>
  <c r="R802" i="1"/>
  <c r="R794" i="1"/>
  <c r="R786" i="1"/>
  <c r="R778" i="1"/>
  <c r="R762" i="1"/>
  <c r="R746" i="1"/>
  <c r="R730" i="1"/>
  <c r="R722" i="1"/>
  <c r="R706" i="1"/>
  <c r="R698" i="1"/>
  <c r="R682" i="1"/>
  <c r="R674" i="1"/>
  <c r="R626" i="1"/>
  <c r="R475" i="1"/>
  <c r="R467" i="1"/>
  <c r="R459" i="1"/>
  <c r="R451" i="1"/>
  <c r="R443" i="1"/>
  <c r="R435" i="1"/>
  <c r="R427" i="1"/>
  <c r="R419" i="1"/>
  <c r="R411" i="1"/>
  <c r="S422" i="1" s="1"/>
  <c r="R403" i="1"/>
  <c r="R395" i="1"/>
  <c r="R387" i="1"/>
  <c r="R379" i="1"/>
  <c r="R371" i="1"/>
  <c r="R363" i="1"/>
  <c r="R355" i="1"/>
  <c r="R347" i="1"/>
  <c r="S359" i="1" s="1"/>
  <c r="R339" i="1"/>
  <c r="R331" i="1"/>
  <c r="R323" i="1"/>
  <c r="R315" i="1"/>
  <c r="R307" i="1"/>
  <c r="R299" i="1"/>
  <c r="R291" i="1"/>
  <c r="R283" i="1"/>
  <c r="R275" i="1"/>
  <c r="R267" i="1"/>
  <c r="R259" i="1"/>
  <c r="R251" i="1"/>
  <c r="R243" i="1"/>
  <c r="R235" i="1"/>
  <c r="R227" i="1"/>
  <c r="R219" i="1"/>
  <c r="S212" i="1" s="1"/>
  <c r="R211" i="1"/>
  <c r="R203" i="1"/>
  <c r="R195" i="1"/>
  <c r="R187" i="1"/>
  <c r="R179" i="1"/>
  <c r="R171" i="1"/>
  <c r="R163" i="1"/>
  <c r="R155" i="1"/>
  <c r="R147" i="1"/>
  <c r="R139" i="1"/>
  <c r="R131" i="1"/>
  <c r="R123" i="1"/>
  <c r="R115" i="1"/>
  <c r="R107" i="1"/>
  <c r="R99" i="1"/>
  <c r="R91" i="1"/>
  <c r="S88" i="1" s="1"/>
  <c r="R83" i="1"/>
  <c r="R75" i="1"/>
  <c r="R67" i="1"/>
  <c r="R59" i="1"/>
  <c r="R51" i="1"/>
  <c r="R43" i="1"/>
  <c r="R35" i="1"/>
  <c r="R27" i="1"/>
  <c r="S29" i="1" s="1"/>
  <c r="R19" i="1"/>
  <c r="R11" i="1"/>
  <c r="R73" i="1"/>
  <c r="R2024" i="1"/>
  <c r="R2016" i="1"/>
  <c r="R2008" i="1"/>
  <c r="R2000" i="1"/>
  <c r="R1984" i="1"/>
  <c r="R1976" i="1"/>
  <c r="R1968" i="1"/>
  <c r="R1952" i="1"/>
  <c r="R1944" i="1"/>
  <c r="R1936" i="1"/>
  <c r="R1920" i="1"/>
  <c r="R1912" i="1"/>
  <c r="R1904" i="1"/>
  <c r="R1888" i="1"/>
  <c r="R1880" i="1"/>
  <c r="R1872" i="1"/>
  <c r="R1864" i="1"/>
  <c r="R1848" i="1"/>
  <c r="R1840" i="1"/>
  <c r="R1832" i="1"/>
  <c r="R1824" i="1"/>
  <c r="R1816" i="1"/>
  <c r="R1808" i="1"/>
  <c r="R1800" i="1"/>
  <c r="R1792" i="1"/>
  <c r="R1776" i="1"/>
  <c r="R1760" i="1"/>
  <c r="R1752" i="1"/>
  <c r="R1744" i="1"/>
  <c r="R1728" i="1"/>
  <c r="R1712" i="1"/>
  <c r="R1696" i="1"/>
  <c r="R1688" i="1"/>
  <c r="R1672" i="1"/>
  <c r="R1664" i="1"/>
  <c r="R1648" i="1"/>
  <c r="R1640" i="1"/>
  <c r="R1632" i="1"/>
  <c r="R1600" i="1"/>
  <c r="R1592" i="1"/>
  <c r="R1584" i="1"/>
  <c r="R1568" i="1"/>
  <c r="R1560" i="1"/>
  <c r="R1544" i="1"/>
  <c r="R1536" i="1"/>
  <c r="R1520" i="1"/>
  <c r="R1504" i="1"/>
  <c r="R1488" i="1"/>
  <c r="R1472" i="1"/>
  <c r="R1464" i="1"/>
  <c r="R1456" i="1"/>
  <c r="R1440" i="1"/>
  <c r="R1432" i="1"/>
  <c r="R1408" i="1"/>
  <c r="R1392" i="1"/>
  <c r="R1384" i="1"/>
  <c r="R1376" i="1"/>
  <c r="R1360" i="1"/>
  <c r="R1344" i="1"/>
  <c r="R1336" i="1"/>
  <c r="R1328" i="1"/>
  <c r="R1312" i="1"/>
  <c r="R1304" i="1"/>
  <c r="R1296" i="1"/>
  <c r="R1288" i="1"/>
  <c r="R1240" i="1"/>
  <c r="R1232" i="1"/>
  <c r="R1216" i="1"/>
  <c r="R1200" i="1"/>
  <c r="R1160" i="1"/>
  <c r="R1152" i="1"/>
  <c r="R1096" i="1"/>
  <c r="R1032" i="1"/>
  <c r="R1024" i="1"/>
  <c r="R960" i="1"/>
  <c r="R1178" i="1"/>
  <c r="S632" i="1"/>
  <c r="S590" i="1"/>
  <c r="S548" i="1"/>
  <c r="S506" i="1"/>
  <c r="S296" i="1"/>
  <c r="R178" i="1"/>
  <c r="S170" i="1" s="1"/>
  <c r="S1766" i="1"/>
  <c r="R1306" i="1"/>
  <c r="R1899" i="1"/>
  <c r="R1771" i="1"/>
  <c r="R1203" i="1"/>
  <c r="S380" i="1"/>
  <c r="S317" i="1"/>
  <c r="S49" i="1"/>
  <c r="R906" i="1"/>
  <c r="R1723" i="1"/>
  <c r="S254" i="1"/>
  <c r="R1122" i="1"/>
  <c r="R1011" i="1"/>
  <c r="S401" i="1"/>
  <c r="R338" i="1"/>
  <c r="S338" i="1" s="1"/>
  <c r="S128" i="1"/>
  <c r="R82" i="1"/>
  <c r="S75" i="1" s="1"/>
  <c r="R1881" i="1"/>
  <c r="R1817" i="1"/>
  <c r="R1753" i="1"/>
  <c r="R1889" i="1"/>
  <c r="R1825" i="1"/>
  <c r="R1761" i="1"/>
  <c r="R1737" i="1"/>
  <c r="R1729" i="1"/>
  <c r="R1721" i="1"/>
  <c r="R1713" i="1"/>
  <c r="R1705" i="1"/>
  <c r="R1697" i="1"/>
  <c r="R1689" i="1"/>
  <c r="S1703" i="1" s="1"/>
  <c r="R1681" i="1"/>
  <c r="R1673" i="1"/>
  <c r="R1665" i="1"/>
  <c r="R1657" i="1"/>
  <c r="R1649" i="1"/>
  <c r="R1641" i="1"/>
  <c r="R1633" i="1"/>
  <c r="R1625" i="1"/>
  <c r="R1617" i="1"/>
  <c r="R1609" i="1"/>
  <c r="R1601" i="1"/>
  <c r="R1593" i="1"/>
  <c r="R1585" i="1"/>
  <c r="R1577" i="1"/>
  <c r="R1569" i="1"/>
  <c r="R1561" i="1"/>
  <c r="R1553" i="1"/>
  <c r="R1545" i="1"/>
  <c r="R1537" i="1"/>
  <c r="R1529" i="1"/>
  <c r="R1521" i="1"/>
  <c r="R1513" i="1"/>
  <c r="R1505" i="1"/>
  <c r="R1497" i="1"/>
  <c r="R1489" i="1"/>
  <c r="R1481" i="1"/>
  <c r="R1473" i="1"/>
  <c r="R1465" i="1"/>
  <c r="R1457" i="1"/>
  <c r="R1449" i="1"/>
  <c r="R1441" i="1"/>
  <c r="R1433" i="1"/>
  <c r="R1425" i="1"/>
  <c r="R1417" i="1"/>
  <c r="R1409" i="1"/>
  <c r="R1401" i="1"/>
  <c r="R1393" i="1"/>
  <c r="R1385" i="1"/>
  <c r="R1377" i="1"/>
  <c r="R1369" i="1"/>
  <c r="S1367" i="1" s="1"/>
  <c r="R1361" i="1"/>
  <c r="R1353" i="1"/>
  <c r="R1345" i="1"/>
  <c r="R1298" i="1"/>
  <c r="R1297" i="1"/>
  <c r="R1290" i="1"/>
  <c r="R1289" i="1"/>
  <c r="R1282" i="1"/>
  <c r="R1281" i="1"/>
  <c r="R1234" i="1"/>
  <c r="R1233" i="1"/>
  <c r="R1226" i="1"/>
  <c r="R1225" i="1"/>
  <c r="R1218" i="1"/>
  <c r="R1217" i="1"/>
  <c r="R1170" i="1"/>
  <c r="R1169" i="1"/>
  <c r="R1162" i="1"/>
  <c r="R1161" i="1"/>
  <c r="R1154" i="1"/>
  <c r="R1153" i="1"/>
  <c r="R1106" i="1"/>
  <c r="R1105" i="1"/>
  <c r="R1098" i="1"/>
  <c r="R1097" i="1"/>
  <c r="R1090" i="1"/>
  <c r="R1089" i="1"/>
  <c r="R1042" i="1"/>
  <c r="R1041" i="1"/>
  <c r="R1034" i="1"/>
  <c r="R1033" i="1"/>
  <c r="R1026" i="1"/>
  <c r="R1025" i="1"/>
  <c r="R978" i="1"/>
  <c r="R977" i="1"/>
  <c r="R970" i="1"/>
  <c r="R969" i="1"/>
  <c r="R962" i="1"/>
  <c r="R961" i="1"/>
  <c r="R914" i="1"/>
  <c r="R913" i="1"/>
  <c r="R1914" i="1"/>
  <c r="R1850" i="1"/>
  <c r="R1786" i="1"/>
  <c r="R1730" i="1"/>
  <c r="R1698" i="1"/>
  <c r="R1666" i="1"/>
  <c r="R1634" i="1"/>
  <c r="R1602" i="1"/>
  <c r="R1570" i="1"/>
  <c r="R1538" i="1"/>
  <c r="R1506" i="1"/>
  <c r="R1474" i="1"/>
  <c r="R1442" i="1"/>
  <c r="R1410" i="1"/>
  <c r="R1378" i="1"/>
  <c r="R1346" i="1"/>
  <c r="R1273" i="1"/>
  <c r="R1201" i="1"/>
  <c r="R1121" i="1"/>
  <c r="R1017" i="1"/>
  <c r="R929" i="1"/>
  <c r="R2018" i="1"/>
  <c r="R2010" i="1"/>
  <c r="R2002" i="1"/>
  <c r="R1994" i="1"/>
  <c r="R1986" i="1"/>
  <c r="S1997" i="1" s="1"/>
  <c r="R1978" i="1"/>
  <c r="R1970" i="1"/>
  <c r="S1976" i="1" s="1"/>
  <c r="R1962" i="1"/>
  <c r="R1954" i="1"/>
  <c r="R1946" i="1"/>
  <c r="R1938" i="1"/>
  <c r="R1930" i="1"/>
  <c r="R1922" i="1"/>
  <c r="S1913" i="1" s="1"/>
  <c r="R1858" i="1"/>
  <c r="R1794" i="1"/>
  <c r="R1305" i="1"/>
  <c r="R1129" i="1"/>
  <c r="R1049" i="1"/>
  <c r="R937" i="1"/>
  <c r="R2025" i="1"/>
  <c r="R1866" i="1"/>
  <c r="R1802" i="1"/>
  <c r="R1738" i="1"/>
  <c r="R1706" i="1"/>
  <c r="R1674" i="1"/>
  <c r="R1642" i="1"/>
  <c r="R1610" i="1"/>
  <c r="R1578" i="1"/>
  <c r="R1546" i="1"/>
  <c r="R1514" i="1"/>
  <c r="R1482" i="1"/>
  <c r="R1450" i="1"/>
  <c r="R1418" i="1"/>
  <c r="R1386" i="1"/>
  <c r="R1354" i="1"/>
  <c r="R1313" i="1"/>
  <c r="R1209" i="1"/>
  <c r="R1137" i="1"/>
  <c r="R1057" i="1"/>
  <c r="R945" i="1"/>
  <c r="R1874" i="1"/>
  <c r="R1810" i="1"/>
  <c r="R1746" i="1"/>
  <c r="R1321" i="1"/>
  <c r="R1241" i="1"/>
  <c r="R1065" i="1"/>
  <c r="R985" i="1"/>
  <c r="R953" i="1"/>
  <c r="R1714" i="1"/>
  <c r="R1682" i="1"/>
  <c r="R1650" i="1"/>
  <c r="R1618" i="1"/>
  <c r="R1586" i="1"/>
  <c r="R1554" i="1"/>
  <c r="R1522" i="1"/>
  <c r="R1490" i="1"/>
  <c r="R1458" i="1"/>
  <c r="R1426" i="1"/>
  <c r="R1394" i="1"/>
  <c r="R1362" i="1"/>
  <c r="R1329" i="1"/>
  <c r="S1325" i="1" s="1"/>
  <c r="R1249" i="1"/>
  <c r="R1145" i="1"/>
  <c r="S1157" i="1" s="1"/>
  <c r="R1073" i="1"/>
  <c r="R993" i="1"/>
  <c r="S1640" i="1" l="1"/>
  <c r="S1199" i="1"/>
  <c r="S1829" i="1"/>
  <c r="S1808" i="1"/>
  <c r="S1577" i="1"/>
  <c r="S1892" i="1"/>
  <c r="S1304" i="1"/>
  <c r="S842" i="1"/>
  <c r="S149" i="1"/>
  <c r="S674" i="1"/>
  <c r="S1262" i="1"/>
  <c r="S800" i="1"/>
  <c r="S275" i="1"/>
  <c r="S1724" i="1"/>
  <c r="S1010" i="1"/>
  <c r="S1850" i="1"/>
  <c r="S109" i="1"/>
  <c r="S1871" i="1"/>
  <c r="S1682" i="1"/>
  <c r="S443" i="1"/>
  <c r="S2018" i="1"/>
  <c r="S905" i="1"/>
  <c r="S1178" i="1"/>
  <c r="S779" i="1"/>
  <c r="S695" i="1"/>
  <c r="S821" i="1"/>
  <c r="S758" i="1"/>
  <c r="S1073" i="1"/>
  <c r="S1955" i="1"/>
  <c r="S1136" i="1"/>
  <c r="S1115" i="1"/>
  <c r="S1493" i="1"/>
  <c r="S1514" i="1"/>
  <c r="S1934" i="1"/>
  <c r="S1787" i="1"/>
  <c r="S1745" i="1"/>
  <c r="S1661" i="1"/>
  <c r="S1052" i="1"/>
  <c r="S947" i="1"/>
  <c r="S1283" i="1"/>
  <c r="S1031" i="1"/>
  <c r="S1430" i="1"/>
  <c r="S1388" i="1"/>
  <c r="S1451" i="1"/>
  <c r="S926" i="1"/>
  <c r="S968" i="1"/>
  <c r="S1241" i="1"/>
  <c r="S1598" i="1"/>
  <c r="S989" i="1"/>
  <c r="S1472" i="1"/>
  <c r="S1535" i="1"/>
  <c r="S1094" i="1"/>
  <c r="S1346" i="1"/>
  <c r="S1409" i="1"/>
  <c r="S1220" i="1"/>
  <c r="S1556" i="1"/>
  <c r="S1619" i="1"/>
  <c r="S2026" i="1" l="1"/>
</calcChain>
</file>

<file path=xl/sharedStrings.xml><?xml version="1.0" encoding="utf-8"?>
<sst xmlns="http://schemas.openxmlformats.org/spreadsheetml/2006/main" count="2039" uniqueCount="2039">
  <si>
    <t>Time</t>
  </si>
  <si>
    <t>trans_axial</t>
  </si>
  <si>
    <t>forca</t>
  </si>
  <si>
    <t>trans_grande</t>
  </si>
  <si>
    <t>trans_radial</t>
  </si>
  <si>
    <t>RDP132105</t>
  </si>
  <si>
    <t>Ref. of axis Actuador axial 10 kN</t>
  </si>
  <si>
    <t>Number of cycles</t>
  </si>
  <si>
    <t>LVDT 3</t>
  </si>
  <si>
    <t>RDP132091</t>
  </si>
  <si>
    <t>RDP132089</t>
  </si>
  <si>
    <t>ea</t>
  </si>
  <si>
    <t>q</t>
  </si>
  <si>
    <t>5:131:7173:429531:429497615,5</t>
  </si>
  <si>
    <t>5:131:7173:429531:429497640,6</t>
  </si>
  <si>
    <t>5:131:7173:429531:429497665,5</t>
  </si>
  <si>
    <t>5:131:7173:429531:429497690,6</t>
  </si>
  <si>
    <t>5:131:7173:429531:429497715,6</t>
  </si>
  <si>
    <t>5:131:7173:429532:429496740,6</t>
  </si>
  <si>
    <t>5:131:7173:429532:429496765,6</t>
  </si>
  <si>
    <t>5:131:7173:429532:429496790,6</t>
  </si>
  <si>
    <t>5:131:7173:429532:429496815,6</t>
  </si>
  <si>
    <t>5:131:7173:429532:429496840,6</t>
  </si>
  <si>
    <t>5:131:7173:429532:429496865,6</t>
  </si>
  <si>
    <t>5:131:7173:429532:429496890,6</t>
  </si>
  <si>
    <t>5:131:7173:429532:429496915,6</t>
  </si>
  <si>
    <t>5:131:7173:429532:429496940,6</t>
  </si>
  <si>
    <t>5:131:7173:429532:429496965,6</t>
  </si>
  <si>
    <t>5:131:7173:429532:429496990,6</t>
  </si>
  <si>
    <t>5:131:7173:429532:429497015,6</t>
  </si>
  <si>
    <t>5:131:7173:429532:429497040,6</t>
  </si>
  <si>
    <t>5:131:7173:429532:429497065,6</t>
  </si>
  <si>
    <t>5:131:7173:429532:429497090,6</t>
  </si>
  <si>
    <t>5:131:7173:429532:429497115,6</t>
  </si>
  <si>
    <t>5:131:7173:429532:429497140,6</t>
  </si>
  <si>
    <t>5:131:7173:429532:429497165,6</t>
  </si>
  <si>
    <t>5:131:7173:429532:429497190,6</t>
  </si>
  <si>
    <t>5:131:7173:429532:429497215,6</t>
  </si>
  <si>
    <t>5:131:7173:429532:429497240,6</t>
  </si>
  <si>
    <t>5:131:7173:429532:429497265,6</t>
  </si>
  <si>
    <t>5:131:7173:429532:429497290,6</t>
  </si>
  <si>
    <t>5:131:7173:429532:429497315,6</t>
  </si>
  <si>
    <t>5:131:7173:429532:429497340,6</t>
  </si>
  <si>
    <t>5:131:7173:429532:429497365,6</t>
  </si>
  <si>
    <t>5:131:7173:429532:429497390,6</t>
  </si>
  <si>
    <t>5:131:7173:429532:429497415,6</t>
  </si>
  <si>
    <t>5:131:7173:429532:429497440,6</t>
  </si>
  <si>
    <t>5:131:7173:429532:429497465,6</t>
  </si>
  <si>
    <t>5:131:7173:429532:429497490,6</t>
  </si>
  <si>
    <t>5:131:7173:429532:429497515,6</t>
  </si>
  <si>
    <t>5:131:7173:429532:429497540,6</t>
  </si>
  <si>
    <t>5:131:7173:429532:429497565,6</t>
  </si>
  <si>
    <t>5:131:7173:429532:429497590,6</t>
  </si>
  <si>
    <t>5:131:7173:429532:429497615,6</t>
  </si>
  <si>
    <t>5:131:7173:429532:429497640,6</t>
  </si>
  <si>
    <t>5:131:7173:429532:429497665,6</t>
  </si>
  <si>
    <t>5:131:7173:429532:429497690,6</t>
  </si>
  <si>
    <t>5:131:7173:429532:429497715,6</t>
  </si>
  <si>
    <t>5:131:7173:429533:429496740,6</t>
  </si>
  <si>
    <t>5:131:7173:429533:429496765,6</t>
  </si>
  <si>
    <t>5:131:7173:429533:429496790,6</t>
  </si>
  <si>
    <t>5:131:7173:429533:429496815,6</t>
  </si>
  <si>
    <t>5:131:7173:429533:429496840,6</t>
  </si>
  <si>
    <t>5:131:7173:429533:429496865,6</t>
  </si>
  <si>
    <t>5:131:7173:429533:429496890,6</t>
  </si>
  <si>
    <t>5:131:7173:429533:429496915,6</t>
  </si>
  <si>
    <t>5:131:7173:429533:429496940,6</t>
  </si>
  <si>
    <t>5:131:7173:429533:429496965,6</t>
  </si>
  <si>
    <t>5:131:7173:429533:429496990,6</t>
  </si>
  <si>
    <t>5:131:7173:429533:429497015,6</t>
  </si>
  <si>
    <t>5:131:7173:429533:429497040,6</t>
  </si>
  <si>
    <t>5:131:7173:429533:429497065,6</t>
  </si>
  <si>
    <t>5:131:7173:429533:429497090,6</t>
  </si>
  <si>
    <t>5:131:7173:429533:429497115,6</t>
  </si>
  <si>
    <t>5:131:7173:429533:429497140,6</t>
  </si>
  <si>
    <t>5:131:7173:429533:429497165,6</t>
  </si>
  <si>
    <t>5:131:7173:429533:429497190,6</t>
  </si>
  <si>
    <t>5:131:7173:429533:429497215,6</t>
  </si>
  <si>
    <t>5:131:7173:429533:429497240,6</t>
  </si>
  <si>
    <t>5:131:7173:429533:429497265,6</t>
  </si>
  <si>
    <t>5:131:7173:429533:429497290,6</t>
  </si>
  <si>
    <t>5:131:7173:429533:429497315,6</t>
  </si>
  <si>
    <t>5:131:7173:429533:429497340,6</t>
  </si>
  <si>
    <t>5:131:7173:429533:429497365,6</t>
  </si>
  <si>
    <t>5:131:7173:429533:429497390,6</t>
  </si>
  <si>
    <t>5:131:7173:429533:429497415,6</t>
  </si>
  <si>
    <t>5:131:7173:429533:429497440,6</t>
  </si>
  <si>
    <t>5:131:7173:429533:429497465,6</t>
  </si>
  <si>
    <t>5:131:7173:429533:429497490,6</t>
  </si>
  <si>
    <t>5:131:7173:429533:429497515,6</t>
  </si>
  <si>
    <t>5:131:7173:429533:429497540,6</t>
  </si>
  <si>
    <t>5:131:7173:429533:429497565,6</t>
  </si>
  <si>
    <t>5:131:7173:429533:429497590,6</t>
  </si>
  <si>
    <t>5:131:7173:429533:429497615,6</t>
  </si>
  <si>
    <t>5:131:7173:429533:429497640,6</t>
  </si>
  <si>
    <t>5:131:7173:429533:429497665,6</t>
  </si>
  <si>
    <t>5:131:7173:429533:429497690,6</t>
  </si>
  <si>
    <t>5:131:7173:429533:429497715,6</t>
  </si>
  <si>
    <t>5:131:7173:429534:429496740,6</t>
  </si>
  <si>
    <t>5:131:7173:429534:429496765,6</t>
  </si>
  <si>
    <t>5:131:7173:429534:429496790,6</t>
  </si>
  <si>
    <t>5:131:7173:429534:429496815,6</t>
  </si>
  <si>
    <t>5:131:7173:429534:429496840,6</t>
  </si>
  <si>
    <t>5:131:7173:429534:429496865,6</t>
  </si>
  <si>
    <t>5:131:7173:429534:429496890,6</t>
  </si>
  <si>
    <t>5:131:7173:429534:429496915,6</t>
  </si>
  <si>
    <t>5:131:7173:429534:429496940,6</t>
  </si>
  <si>
    <t>5:131:7173:429534:429496965,6</t>
  </si>
  <si>
    <t>5:131:7173:429534:429496990,6</t>
  </si>
  <si>
    <t>5:131:7173:429534:429497015,6</t>
  </si>
  <si>
    <t>5:131:7173:429534:429497040,6</t>
  </si>
  <si>
    <t>5:131:7173:429534:429497065,6</t>
  </si>
  <si>
    <t>5:131:7173:429534:429497090,6</t>
  </si>
  <si>
    <t>5:131:7173:429534:429497115,6</t>
  </si>
  <si>
    <t>5:131:7173:429534:429497140,6</t>
  </si>
  <si>
    <t>5:131:7173:429534:429497165,6</t>
  </si>
  <si>
    <t>5:131:7173:429534:429497190,7</t>
  </si>
  <si>
    <t>5:131:7173:429534:429497215,6</t>
  </si>
  <si>
    <t>5:131:7173:429534:429497240,6</t>
  </si>
  <si>
    <t>5:131:7173:429534:429497265,6</t>
  </si>
  <si>
    <t>5:131:7173:429534:429497290,6</t>
  </si>
  <si>
    <t>5:131:7173:429534:429497315,7</t>
  </si>
  <si>
    <t>5:131:7173:429534:429497340,7</t>
  </si>
  <si>
    <t>5:131:7173:429534:429497365,7</t>
  </si>
  <si>
    <t>5:131:7173:429534:429497390,7</t>
  </si>
  <si>
    <t>5:131:7173:429534:429497415,6</t>
  </si>
  <si>
    <t>5:131:7173:429534:429497440,7</t>
  </si>
  <si>
    <t>5:131:7173:429534:429497465,7</t>
  </si>
  <si>
    <t>5:131:7173:429534:429497490,6</t>
  </si>
  <si>
    <t>5:131:7173:429534:429497515,7</t>
  </si>
  <si>
    <t>5:131:7173:429534:429497540,7</t>
  </si>
  <si>
    <t>5:131:7173:429534:429497565,7</t>
  </si>
  <si>
    <t>5:131:7173:429534:429497590,7</t>
  </si>
  <si>
    <t>5:131:7173:429534:429497615,6</t>
  </si>
  <si>
    <t>5:131:7173:429534:429497640,7</t>
  </si>
  <si>
    <t>5:131:7173:429534:429497665,7</t>
  </si>
  <si>
    <t>5:131:7173:429534:429497690,7</t>
  </si>
  <si>
    <t>5:131:7173:429534:429497715,7</t>
  </si>
  <si>
    <t>5:131:7173:429535:429496740,7</t>
  </si>
  <si>
    <t>5:131:7173:429535:429496765,7</t>
  </si>
  <si>
    <t>5:131:7173:429535:429496790,7</t>
  </si>
  <si>
    <t>5:131:7173:429535:429496815,7</t>
  </si>
  <si>
    <t>5:131:7173:429535:429496840,7</t>
  </si>
  <si>
    <t>5:131:7173:429535:429496865,7</t>
  </si>
  <si>
    <t>5:131:7173:429535:429496890,7</t>
  </si>
  <si>
    <t>5:131:7173:429535:429496915,7</t>
  </si>
  <si>
    <t>5:131:7173:429535:429496940,7</t>
  </si>
  <si>
    <t>5:131:7173:429535:429496965,7</t>
  </si>
  <si>
    <t>5:131:7173:429535:429496990,7</t>
  </si>
  <si>
    <t>5:131:7173:429535:429497015,7</t>
  </si>
  <si>
    <t>5:131:7173:429535:429497040,7</t>
  </si>
  <si>
    <t>5:131:7173:429535:429497065,7</t>
  </si>
  <si>
    <t>5:131:7173:429535:429497090,7</t>
  </si>
  <si>
    <t>5:131:7173:429535:429497115,7</t>
  </si>
  <si>
    <t>5:131:7173:429535:429497140,7</t>
  </si>
  <si>
    <t>5:131:7173:429535:429497165,7</t>
  </si>
  <si>
    <t>5:131:7173:429535:429497190,7</t>
  </si>
  <si>
    <t>5:131:7173:429535:429497215,7</t>
  </si>
  <si>
    <t>5:131:7173:429535:429497240,7</t>
  </si>
  <si>
    <t>5:131:7173:429535:429497265,7</t>
  </si>
  <si>
    <t>5:131:7173:429535:429497290,7</t>
  </si>
  <si>
    <t>5:131:7173:429535:429497315,7</t>
  </si>
  <si>
    <t>5:131:7173:429535:429497340,7</t>
  </si>
  <si>
    <t>5:131:7173:429535:429497365,7</t>
  </si>
  <si>
    <t>5:131:7173:429535:429497390,7</t>
  </si>
  <si>
    <t>5:131:7173:429535:429497415,7</t>
  </si>
  <si>
    <t>5:131:7173:429535:429497440,7</t>
  </si>
  <si>
    <t>5:131:7173:429535:429497465,7</t>
  </si>
  <si>
    <t>5:131:7173:429535:429497490,7</t>
  </si>
  <si>
    <t>5:131:7173:429535:429497515,7</t>
  </si>
  <si>
    <t>5:131:7173:429535:429497540,7</t>
  </si>
  <si>
    <t>5:131:7173:429535:429497565,7</t>
  </si>
  <si>
    <t>5:131:7173:429535:429497590,7</t>
  </si>
  <si>
    <t>5:131:7173:429535:429497615,7</t>
  </si>
  <si>
    <t>5:131:7173:429535:429497640,7</t>
  </si>
  <si>
    <t>5:131:7173:429535:429497665,7</t>
  </si>
  <si>
    <t>5:131:7173:429535:429497690,7</t>
  </si>
  <si>
    <t>5:131:7173:429535:429497715,7</t>
  </si>
  <si>
    <t>5:131:7173:429536:429496740,7</t>
  </si>
  <si>
    <t>5:131:7173:429536:429496765,7</t>
  </si>
  <si>
    <t>5:131:7173:429536:429496790,7</t>
  </si>
  <si>
    <t>5:131:7173:429536:429496815,7</t>
  </si>
  <si>
    <t>5:131:7173:429536:429496840,7</t>
  </si>
  <si>
    <t>5:131:7173:429536:429496865,7</t>
  </si>
  <si>
    <t>5:131:7173:429536:429496890,7</t>
  </si>
  <si>
    <t>5:131:7173:429536:429496915,7</t>
  </si>
  <si>
    <t>5:131:7173:429536:429496940,7</t>
  </si>
  <si>
    <t>5:131:7173:429536:429496965,7</t>
  </si>
  <si>
    <t>5:131:7173:429536:429496990,7</t>
  </si>
  <si>
    <t>5:131:7173:429536:429497015,7</t>
  </si>
  <si>
    <t>5:131:7173:429536:429497040,7</t>
  </si>
  <si>
    <t>5:131:7173:429536:429497065,7</t>
  </si>
  <si>
    <t>5:131:7173:429536:429497090,7</t>
  </si>
  <si>
    <t>5:131:7173:429536:429497115,7</t>
  </si>
  <si>
    <t>5:131:7173:429536:429497140,7</t>
  </si>
  <si>
    <t>5:131:7173:429536:429497165,7</t>
  </si>
  <si>
    <t>5:131:7173:429536:429497190,7</t>
  </si>
  <si>
    <t>5:131:7173:429536:429497215,7</t>
  </si>
  <si>
    <t>5:131:7173:429536:429497240,7</t>
  </si>
  <si>
    <t>5:131:7173:429536:429497265,7</t>
  </si>
  <si>
    <t>5:131:7173:429536:429497290,7</t>
  </si>
  <si>
    <t>5:131:7173:429536:429497315,7</t>
  </si>
  <si>
    <t>5:131:7173:429536:429497340,7</t>
  </si>
  <si>
    <t>5:131:7173:429536:429497365,7</t>
  </si>
  <si>
    <t>5:131:7173:429536:429497390,7</t>
  </si>
  <si>
    <t>5:131:7173:429536:429497415,7</t>
  </si>
  <si>
    <t>5:131:7173:429536:429497440,7</t>
  </si>
  <si>
    <t>5:131:7173:429536:429497465,8</t>
  </si>
  <si>
    <t>5:131:7173:429536:429497490,7</t>
  </si>
  <si>
    <t>5:131:7173:429536:429497515,7</t>
  </si>
  <si>
    <t>5:131:7173:429536:429497540,8</t>
  </si>
  <si>
    <t>5:131:7173:429536:429497565,8</t>
  </si>
  <si>
    <t>5:131:7173:429536:429497590,7</t>
  </si>
  <si>
    <t>5:131:7173:429536:429497615,8</t>
  </si>
  <si>
    <t>5:131:7173:429536:429497640,8</t>
  </si>
  <si>
    <t>5:131:7173:429536:429497665,8</t>
  </si>
  <si>
    <t>5:131:7173:429536:429497690,7</t>
  </si>
  <si>
    <t>5:131:7173:429536:429497715,8</t>
  </si>
  <si>
    <t>5:131:7173:429537:429496740,7</t>
  </si>
  <si>
    <t>5:131:7173:429537:429496765,8</t>
  </si>
  <si>
    <t>5:131:7173:429537:429496790,8</t>
  </si>
  <si>
    <t>5:131:7173:429537:429496815,8</t>
  </si>
  <si>
    <t>5:131:7173:429537:429496840,8</t>
  </si>
  <si>
    <t>5:131:7173:429537:429496865,8</t>
  </si>
  <si>
    <t>5:131:7173:429537:429496890,8</t>
  </si>
  <si>
    <t>5:131:7173:429537:429496915,8</t>
  </si>
  <si>
    <t>5:131:7173:429537:429496940,8</t>
  </si>
  <si>
    <t>5:131:7173:429537:429496965,8</t>
  </si>
  <si>
    <t>5:131:7173:429537:429496990,8</t>
  </si>
  <si>
    <t>5:131:7173:429537:429497015,8</t>
  </si>
  <si>
    <t>5:131:7173:429537:429497040,8</t>
  </si>
  <si>
    <t>5:131:7173:429537:429497065,8</t>
  </si>
  <si>
    <t>5:131:7173:429537:429497090,8</t>
  </si>
  <si>
    <t>5:131:7173:429537:429497115,8</t>
  </si>
  <si>
    <t>5:131:7173:429537:429497140,8</t>
  </si>
  <si>
    <t>5:131:7173:429537:429497165,8</t>
  </si>
  <si>
    <t>5:131:7173:429537:429497190,8</t>
  </si>
  <si>
    <t>5:131:7173:429537:429497215,8</t>
  </si>
  <si>
    <t>5:131:7173:429537:429497240,8</t>
  </si>
  <si>
    <t>5:131:7173:429537:429497265,8</t>
  </si>
  <si>
    <t>5:131:7173:429537:429497290,8</t>
  </si>
  <si>
    <t>5:131:7173:429537:429497315,8</t>
  </si>
  <si>
    <t>5:131:7173:429537:429497340,8</t>
  </si>
  <si>
    <t>5:131:7173:429537:429497365,8</t>
  </si>
  <si>
    <t>5:131:7173:429537:429497390,8</t>
  </si>
  <si>
    <t>5:131:7173:429537:429497415,8</t>
  </si>
  <si>
    <t>5:131:7173:429537:429497440,8</t>
  </si>
  <si>
    <t>5:131:7173:429537:429497465,8</t>
  </si>
  <si>
    <t>5:131:7173:429537:429497490,8</t>
  </si>
  <si>
    <t>5:131:7173:429537:429497515,8</t>
  </si>
  <si>
    <t>5:131:7173:429537:429497540,8</t>
  </si>
  <si>
    <t>5:131:7173:429537:429497565,8</t>
  </si>
  <si>
    <t>5:131:7173:429537:429497590,8</t>
  </si>
  <si>
    <t>5:131:7173:429537:429497615,8</t>
  </si>
  <si>
    <t>5:131:7173:429537:429497640,8</t>
  </si>
  <si>
    <t>5:131:7173:429537:429497665,8</t>
  </si>
  <si>
    <t>5:131:7173:429537:429497690,8</t>
  </si>
  <si>
    <t>5:131:7173:429537:429497715,8</t>
  </si>
  <si>
    <t>5:131:7173:429538:429496740,8</t>
  </si>
  <si>
    <t>5:131:7173:429538:429496765,8</t>
  </si>
  <si>
    <t>5:131:7173:429538:429496790,8</t>
  </si>
  <si>
    <t>5:131:7173:429538:429496815,8</t>
  </si>
  <si>
    <t>5:131:7173:429538:429496840,8</t>
  </si>
  <si>
    <t>5:131:7173:429538:429496865,8</t>
  </si>
  <si>
    <t>5:131:7173:429538:429496890,8</t>
  </si>
  <si>
    <t>5:131:7173:429538:429496915,8</t>
  </si>
  <si>
    <t>5:131:7173:429538:429496940,8</t>
  </si>
  <si>
    <t>5:131:7173:429538:429496965,8</t>
  </si>
  <si>
    <t>5:131:7173:429538:429496990,8</t>
  </si>
  <si>
    <t>5:131:7173:429538:429497015,8</t>
  </si>
  <si>
    <t>5:131:7173:429538:429497040,8</t>
  </si>
  <si>
    <t>5:131:7173:429538:429497065,8</t>
  </si>
  <si>
    <t>5:131:7173:429538:429497090,8</t>
  </si>
  <si>
    <t>5:131:7173:429538:429497115,8</t>
  </si>
  <si>
    <t>5:131:7173:429538:429497140,8</t>
  </si>
  <si>
    <t>5:131:7173:429538:429497165,8</t>
  </si>
  <si>
    <t>5:131:7173:429538:429497190,8</t>
  </si>
  <si>
    <t>5:131:7173:429538:429497215,8</t>
  </si>
  <si>
    <t>5:131:7173:429538:429497240,8</t>
  </si>
  <si>
    <t>5:131:7173:429538:429497265,8</t>
  </si>
  <si>
    <t>5:131:7173:429538:429497290,8</t>
  </si>
  <si>
    <t>5:131:7173:429538:429497315,8</t>
  </si>
  <si>
    <t>5:131:7173:429538:429497340,8</t>
  </si>
  <si>
    <t>5:131:7173:429538:429497365,8</t>
  </si>
  <si>
    <t>5:131:7173:429538:429497390,8</t>
  </si>
  <si>
    <t>5:131:7173:429538:429497415,8</t>
  </si>
  <si>
    <t>5:131:7173:429538:429497440,8</t>
  </si>
  <si>
    <t>5:131:7173:429538:429497465,8</t>
  </si>
  <si>
    <t>5:131:7173:429538:429497490,8</t>
  </si>
  <si>
    <t>5:131:7173:429538:429497515,8</t>
  </si>
  <si>
    <t>5:131:7173:429538:429497540,8</t>
  </si>
  <si>
    <t>5:131:7173:429538:429497565,8</t>
  </si>
  <si>
    <t>5:131:7173:429538:429497590,8</t>
  </si>
  <si>
    <t>5:131:7173:429538:429497615,8</t>
  </si>
  <si>
    <t>5:131:7173:429538:429497640,8</t>
  </si>
  <si>
    <t>5:131:7173:429538:429497665,8</t>
  </si>
  <si>
    <t>5:131:7173:429538:429497690,8</t>
  </si>
  <si>
    <t>5:131:7173:429538:429497715,8</t>
  </si>
  <si>
    <t>5:131:7173:429539:429496740,8</t>
  </si>
  <si>
    <t>5:131:7173:429539:429496765,8</t>
  </si>
  <si>
    <t>5:131:7173:429539:429496790,8</t>
  </si>
  <si>
    <t>5:131:7173:429539:429496815,8</t>
  </si>
  <si>
    <t>5:131:7173:429539:429496840,8</t>
  </si>
  <si>
    <t>5:131:7173:429539:429496865,8</t>
  </si>
  <si>
    <t>5:131:7173:429539:429496890,8</t>
  </si>
  <si>
    <t>5:131:7173:429539:429496915,8</t>
  </si>
  <si>
    <t>5:131:7173:429539:429496940,8</t>
  </si>
  <si>
    <t>5:131:7173:429539:429496965,8</t>
  </si>
  <si>
    <t>5:131:7173:429539:429496990,8</t>
  </si>
  <si>
    <t>5:131:7173:429539:429497015,8</t>
  </si>
  <si>
    <t>5:131:7173:429539:429497040,8</t>
  </si>
  <si>
    <t>5:131:7173:429539:429497065,8</t>
  </si>
  <si>
    <t>5:131:7173:429539:429497090,8</t>
  </si>
  <si>
    <t>5:131:7173:429539:429497115,8</t>
  </si>
  <si>
    <t>5:131:7173:429539:429497140,8</t>
  </si>
  <si>
    <t>5:131:7173:429539:429497165,8</t>
  </si>
  <si>
    <t>5:131:7173:429539:429497190,9</t>
  </si>
  <si>
    <t>5:131:7173:429539:429497215,8</t>
  </si>
  <si>
    <t>5:131:7173:429539:429497240,9</t>
  </si>
  <si>
    <t>5:131:7173:429539:429497265,8</t>
  </si>
  <si>
    <t>5:131:7173:429539:429497290,8</t>
  </si>
  <si>
    <t>5:131:7173:429539:429497315,8</t>
  </si>
  <si>
    <t>5:131:7173:429539:429497340,9</t>
  </si>
  <si>
    <t>5:131:7173:429539:429497365,9</t>
  </si>
  <si>
    <t>5:131:7173:429539:429497390,8</t>
  </si>
  <si>
    <t>5:131:7173:429539:429497415,9</t>
  </si>
  <si>
    <t>5:131:7173:429539:429497440,8</t>
  </si>
  <si>
    <t>5:131:7173:429539:429497465,8</t>
  </si>
  <si>
    <t>5:131:7173:429539:429497490,9</t>
  </si>
  <si>
    <t>5:131:7173:429539:429497515,9</t>
  </si>
  <si>
    <t>5:131:7173:429539:429497540,9</t>
  </si>
  <si>
    <t>5:131:7173:429539:429497565,9</t>
  </si>
  <si>
    <t>5:131:7173:429539:429497590,9</t>
  </si>
  <si>
    <t>5:131:7173:429539:429497615,9</t>
  </si>
  <si>
    <t>5:131:7173:429539:429497640,9</t>
  </si>
  <si>
    <t>5:131:7173:429539:429497665,9</t>
  </si>
  <si>
    <t>5:131:7173:429539:429497690,9</t>
  </si>
  <si>
    <t>5:131:7173:429539:429497715,9</t>
  </si>
  <si>
    <t>5:131:7173:429540:429496740,9</t>
  </si>
  <si>
    <t>5:131:7173:429540:429496765,9</t>
  </si>
  <si>
    <t>5:131:7173:429540:429496790,9</t>
  </si>
  <si>
    <t>5:131:7173:429540:429496815,9</t>
  </si>
  <si>
    <t>5:131:7173:429540:429496840,9</t>
  </si>
  <si>
    <t>5:131:7173:429540:429496865,9</t>
  </si>
  <si>
    <t>5:131:7173:429540:429496890,9</t>
  </si>
  <si>
    <t>5:131:7173:429540:429496915,9</t>
  </si>
  <si>
    <t>5:131:7173:429540:429496940,9</t>
  </si>
  <si>
    <t>5:131:7173:429540:429496965,9</t>
  </si>
  <si>
    <t>5:131:7173:429540:429496990,9</t>
  </si>
  <si>
    <t>5:131:7173:429540:429497015,9</t>
  </si>
  <si>
    <t>5:131:7173:429540:429497040,9</t>
  </si>
  <si>
    <t>5:131:7173:429540:429497065,9</t>
  </si>
  <si>
    <t>5:131:7173:429540:429497090,9</t>
  </si>
  <si>
    <t>5:131:7173:429540:429497115,9</t>
  </si>
  <si>
    <t>5:131:7173:429540:429497140,9</t>
  </si>
  <si>
    <t>5:131:7173:429540:429497165,9</t>
  </si>
  <si>
    <t>5:131:7173:429540:429497190,9</t>
  </si>
  <si>
    <t>5:131:7173:429540:429497215,9</t>
  </si>
  <si>
    <t>5:131:7173:429540:429497240,9</t>
  </si>
  <si>
    <t>5:131:7173:429540:429497265,9</t>
  </si>
  <si>
    <t>5:131:7173:429540:429497290,9</t>
  </si>
  <si>
    <t>5:131:7173:429540:429497315,9</t>
  </si>
  <si>
    <t>5:131:7173:429540:429497340,9</t>
  </si>
  <si>
    <t>5:131:7173:429540:429497365,9</t>
  </si>
  <si>
    <t>5:131:7173:429540:429497390,9</t>
  </si>
  <si>
    <t>5:131:7173:429540:429497415,9</t>
  </si>
  <si>
    <t>5:131:7173:429540:429497440,9</t>
  </si>
  <si>
    <t>5:131:7173:429540:429497465,9</t>
  </si>
  <si>
    <t>5:131:7173:429540:429497490,9</t>
  </si>
  <si>
    <t>5:131:7173:429540:429497515,9</t>
  </si>
  <si>
    <t>5:131:7173:429540:429497540,9</t>
  </si>
  <si>
    <t>5:131:7173:429540:429497565,9</t>
  </si>
  <si>
    <t>5:131:7173:429540:429497590,9</t>
  </si>
  <si>
    <t>5:131:7173:429540:429497615,9</t>
  </si>
  <si>
    <t>5:131:7173:429540:429497640,9</t>
  </si>
  <si>
    <t>5:131:7173:429540:429497665,9</t>
  </si>
  <si>
    <t>5:131:7173:429540:429497690,9</t>
  </si>
  <si>
    <t>5:131:7173:429540:429497715,9</t>
  </si>
  <si>
    <t>5:131:7173:429541:429496740,9</t>
  </si>
  <si>
    <t>5:131:7173:429541:429496765,9</t>
  </si>
  <si>
    <t>5:131:7173:429541:429496790,9</t>
  </si>
  <si>
    <t>5:131:7173:429541:429496815,9</t>
  </si>
  <si>
    <t>5:131:7173:429541:429496840,9</t>
  </si>
  <si>
    <t>5:131:7173:429541:429496865,9</t>
  </si>
  <si>
    <t>5:131:7173:429541:429496890,9</t>
  </si>
  <si>
    <t>5:131:7173:429541:429496915,9</t>
  </si>
  <si>
    <t>5:131:7173:429541:429496940,9</t>
  </si>
  <si>
    <t>5:131:7173:429541:429496965,9</t>
  </si>
  <si>
    <t>5:131:7173:429541:429496990,9</t>
  </si>
  <si>
    <t>5:131:7173:429541:429497015,9</t>
  </si>
  <si>
    <t>5:131:7173:429541:429497040,9</t>
  </si>
  <si>
    <t>5:131:7173:429541:429497065,9</t>
  </si>
  <si>
    <t>5:131:7173:429541:429497090,9</t>
  </si>
  <si>
    <t>5:131:7173:429541:429497115,9</t>
  </si>
  <si>
    <t>5:131:7173:429541:429497140,9</t>
  </si>
  <si>
    <t>5:131:7173:429541:429497165,9</t>
  </si>
  <si>
    <t>5:131:7173:429541:429497190,9</t>
  </si>
  <si>
    <t>5:131:7173:429541:429497215,9</t>
  </si>
  <si>
    <t>5:131:7173:429541:429497240,9</t>
  </si>
  <si>
    <t>5:131:7173:429541:429497265,9</t>
  </si>
  <si>
    <t>5:131:7173:429541:429497290,9</t>
  </si>
  <si>
    <t>5:131:7173:429541:429497315,9</t>
  </si>
  <si>
    <t>5:131:7173:429541:429497340,9</t>
  </si>
  <si>
    <t>5:131:7173:429541:429497365,9</t>
  </si>
  <si>
    <t>5:131:7173:429541:429497390,9</t>
  </si>
  <si>
    <t>5:131:7173:429541:429497415,9</t>
  </si>
  <si>
    <t>5:131:7173:429541:429497440,9</t>
  </si>
  <si>
    <t>5:131:7173:429541:429497466,0</t>
  </si>
  <si>
    <t>5:131:7173:429541:429497490,9</t>
  </si>
  <si>
    <t>5:131:7173:429541:429497515,9</t>
  </si>
  <si>
    <t>5:131:7173:429541:429497541,0</t>
  </si>
  <si>
    <t>5:131:7173:429541:429497565,9</t>
  </si>
  <si>
    <t>5:131:7173:429541:429497591,0</t>
  </si>
  <si>
    <t>5:131:7173:429541:429497616,0</t>
  </si>
  <si>
    <t>5:131:7173:429541:429497641,0</t>
  </si>
  <si>
    <t>5:131:7173:429541:429497665,9</t>
  </si>
  <si>
    <t>5:131:7173:429541:429497691,0</t>
  </si>
  <si>
    <t>5:131:7173:429541:429497716,0</t>
  </si>
  <si>
    <t>5:131:7173:429542:429496740,9</t>
  </si>
  <si>
    <t>5:131:7173:429542:429496766,0</t>
  </si>
  <si>
    <t>5:131:7173:429542:429496791,0</t>
  </si>
  <si>
    <t>5:131:7173:429542:429496816,0</t>
  </si>
  <si>
    <t>5:131:7173:429542:429496841,0</t>
  </si>
  <si>
    <t>5:131:7173:429542:429496866,0</t>
  </si>
  <si>
    <t>5:131:7173:429542:429496891,0</t>
  </si>
  <si>
    <t>5:131:7173:429542:429496916,0</t>
  </si>
  <si>
    <t>5:131:7173:429542:429496941,0</t>
  </si>
  <si>
    <t>5:131:7173:429542:429496966,0</t>
  </si>
  <si>
    <t>5:131:7173:429542:429496991,0</t>
  </si>
  <si>
    <t>5:131:7173:429542:429497016,0</t>
  </si>
  <si>
    <t>5:131:7173:429542:429497041,0</t>
  </si>
  <si>
    <t>5:131:7173:429542:429497066,0</t>
  </si>
  <si>
    <t>5:131:7173:429542:429497091,0</t>
  </si>
  <si>
    <t>5:131:7173:429542:429497116,0</t>
  </si>
  <si>
    <t>5:131:7173:429542:429497141,0</t>
  </si>
  <si>
    <t>5:131:7173:429542:429497166,0</t>
  </si>
  <si>
    <t>5:131:7173:429542:429497191,0</t>
  </si>
  <si>
    <t>5:131:7173:429542:429497216,0</t>
  </si>
  <si>
    <t>5:131:7173:429542:429497241,0</t>
  </si>
  <si>
    <t>5:131:7173:429542:429497266,0</t>
  </si>
  <si>
    <t>5:131:7173:429542:429497291,0</t>
  </si>
  <si>
    <t>5:131:7173:429542:429497316,0</t>
  </si>
  <si>
    <t>5:131:7173:429542:429497341,0</t>
  </si>
  <si>
    <t>5:131:7173:429542:429497366,0</t>
  </si>
  <si>
    <t>5:131:7173:429542:429497391,0</t>
  </si>
  <si>
    <t>5:131:7173:429542:429497416,0</t>
  </si>
  <si>
    <t>5:131:7173:429542:429497441,0</t>
  </si>
  <si>
    <t>5:131:7173:429542:429497466,0</t>
  </si>
  <si>
    <t>5:131:7173:429542:429497491,0</t>
  </si>
  <si>
    <t>5:131:7173:429542:429497516,0</t>
  </si>
  <si>
    <t>5:131:7173:429542:429497541,0</t>
  </si>
  <si>
    <t>5:131:7173:429542:429497566,0</t>
  </si>
  <si>
    <t>5:131:7173:429542:429497591,0</t>
  </si>
  <si>
    <t>5:131:7173:429542:429497616,0</t>
  </si>
  <si>
    <t>5:131:7173:429542:429497641,0</t>
  </si>
  <si>
    <t>5:131:7173:429542:429497666,0</t>
  </si>
  <si>
    <t>5:131:7173:429542:429497691,0</t>
  </si>
  <si>
    <t>5:131:7173:429542:429497716,0</t>
  </si>
  <si>
    <t>5:131:7173:429543:429496741,0</t>
  </si>
  <si>
    <t>5:131:7173:429543:429496766,0</t>
  </si>
  <si>
    <t>5:131:7173:429543:429496791,0</t>
  </si>
  <si>
    <t>5:131:7173:429543:429496816,0</t>
  </si>
  <si>
    <t>5:131:7173:429543:429496841,0</t>
  </si>
  <si>
    <t>5:131:7173:429543:429496866,0</t>
  </si>
  <si>
    <t>5:131:7173:429543:429496891,0</t>
  </si>
  <si>
    <t>5:131:7173:429543:429496916,0</t>
  </si>
  <si>
    <t>5:131:7173:429543:429496941,0</t>
  </si>
  <si>
    <t>5:131:7173:429543:429496966,0</t>
  </si>
  <si>
    <t>5:131:7173:429543:429496991,0</t>
  </si>
  <si>
    <t>5:131:7173:429543:429497016,0</t>
  </si>
  <si>
    <t>5:131:7173:429543:429497041,0</t>
  </si>
  <si>
    <t>5:131:7173:429543:429497066,0</t>
  </si>
  <si>
    <t>5:131:7173:429543:429497091,0</t>
  </si>
  <si>
    <t>5:131:7173:429543:429497116,0</t>
  </si>
  <si>
    <t>5:131:7173:429543:429497141,0</t>
  </si>
  <si>
    <t>5:131:7173:429543:429497166,0</t>
  </si>
  <si>
    <t>5:131:7173:429543:429497191,0</t>
  </si>
  <si>
    <t>5:131:7173:429543:429497216,0</t>
  </si>
  <si>
    <t>5:131:7173:429543:429497241,0</t>
  </si>
  <si>
    <t>5:131:7173:429543:429497266,0</t>
  </si>
  <si>
    <t>5:131:7173:429543:429497291,0</t>
  </si>
  <si>
    <t>5:131:7173:429543:429497316,0</t>
  </si>
  <si>
    <t>5:131:7173:429543:429497341,0</t>
  </si>
  <si>
    <t>5:131:7173:429543:429497366,0</t>
  </si>
  <si>
    <t>5:131:7173:429543:429497391,0</t>
  </si>
  <si>
    <t>5:131:7173:429543:429497416,0</t>
  </si>
  <si>
    <t>5:131:7173:429543:429497441,0</t>
  </si>
  <si>
    <t>5:131:7173:429543:429497466,0</t>
  </si>
  <si>
    <t>5:131:7173:429543:429497491,0</t>
  </si>
  <si>
    <t>5:131:7173:429543:429497516,0</t>
  </si>
  <si>
    <t>5:131:7173:429543:429497541,0</t>
  </si>
  <si>
    <t>5:131:7173:429543:429497566,0</t>
  </si>
  <si>
    <t>5:131:7173:429543:429497591,0</t>
  </si>
  <si>
    <t>5:131:7173:429543:429497616,0</t>
  </si>
  <si>
    <t>5:131:7173:429543:429497641,0</t>
  </si>
  <si>
    <t>5:131:7173:429543:429497666,0</t>
  </si>
  <si>
    <t>5:131:7173:429543:429497691,0</t>
  </si>
  <si>
    <t>5:131:7173:429543:429497716,0</t>
  </si>
  <si>
    <t>5:131:7173:429544:429496741,0</t>
  </si>
  <si>
    <t>5:131:7173:429544:429496766,0</t>
  </si>
  <si>
    <t>5:131:7173:429544:429496791,0</t>
  </si>
  <si>
    <t>5:131:7173:429544:429496816,0</t>
  </si>
  <si>
    <t>5:131:7173:429544:429496841,0</t>
  </si>
  <si>
    <t>5:131:7173:429544:429496866,0</t>
  </si>
  <si>
    <t>5:131:7173:429544:429496891,0</t>
  </si>
  <si>
    <t>5:131:7173:429544:429496916,0</t>
  </si>
  <si>
    <t>5:131:7173:429544:429496941,0</t>
  </si>
  <si>
    <t>5:131:7173:429544:429496966,0</t>
  </si>
  <si>
    <t>5:131:7173:429544:429496991,0</t>
  </si>
  <si>
    <t>5:131:7173:429544:429497016,0</t>
  </si>
  <si>
    <t>5:131:7173:429544:429497041,0</t>
  </si>
  <si>
    <t>5:131:7173:429544:429497066,0</t>
  </si>
  <si>
    <t>5:131:7173:429544:429497091,0</t>
  </si>
  <si>
    <t>5:131:7173:429544:429497116,0</t>
  </si>
  <si>
    <t>5:131:7173:429544:429497141,0</t>
  </si>
  <si>
    <t>5:131:7173:429544:429497166,0</t>
  </si>
  <si>
    <t>5:131:7173:429544:429497191,0</t>
  </si>
  <si>
    <t>5:131:7173:429544:429497216,0</t>
  </si>
  <si>
    <t>5:131:7173:429544:429497241,0</t>
  </si>
  <si>
    <t>5:131:7173:429544:429497266,0</t>
  </si>
  <si>
    <t>5:131:7173:429544:429497291,1</t>
  </si>
  <si>
    <t>5:131:7173:429544:429497316,0</t>
  </si>
  <si>
    <t>5:131:7173:429544:429497341,0</t>
  </si>
  <si>
    <t>5:131:7173:429544:429497366,1</t>
  </si>
  <si>
    <t>5:131:7173:429544:429497391,0</t>
  </si>
  <si>
    <t>5:131:7173:429544:429497416,0</t>
  </si>
  <si>
    <t>5:131:7173:429544:429497441,1</t>
  </si>
  <si>
    <t>5:131:7173:429544:429497466,1</t>
  </si>
  <si>
    <t>5:131:7173:429544:429497491,1</t>
  </si>
  <si>
    <t>5:131:7173:429544:429497516,1</t>
  </si>
  <si>
    <t>5:131:7173:429544:429497541,1</t>
  </si>
  <si>
    <t>5:131:7173:429544:429497566,1</t>
  </si>
  <si>
    <t>5:131:7173:429544:429497591,0</t>
  </si>
  <si>
    <t>5:131:7173:429544:429497616,1</t>
  </si>
  <si>
    <t>5:131:7173:429544:429497641,0</t>
  </si>
  <si>
    <t>5:131:7173:429544:429497666,1</t>
  </si>
  <si>
    <t>5:131:7173:429544:429497691,1</t>
  </si>
  <si>
    <t>5:131:7173:429544:429497716,1</t>
  </si>
  <si>
    <t>5:131:7173:429545:429496741,1</t>
  </si>
  <si>
    <t>5:131:7173:429545:429496766,1</t>
  </si>
  <si>
    <t>5:131:7173:429545:429496791,1</t>
  </si>
  <si>
    <t>5:131:7173:429545:429496816,1</t>
  </si>
  <si>
    <t>5:131:7173:429545:429496841,1</t>
  </si>
  <si>
    <t>5:131:7173:429545:429496866,1</t>
  </si>
  <si>
    <t>5:131:7173:429545:429496891,1</t>
  </si>
  <si>
    <t>5:131:7173:429545:429496916,1</t>
  </si>
  <si>
    <t>5:131:7173:429545:429496941,1</t>
  </si>
  <si>
    <t>5:131:7173:429545:429496966,1</t>
  </si>
  <si>
    <t>5:131:7173:429545:429496991,1</t>
  </si>
  <si>
    <t>5:131:7173:429545:429497016,1</t>
  </si>
  <si>
    <t>5:131:7173:429545:429497041,1</t>
  </si>
  <si>
    <t>5:131:7173:429545:429497066,1</t>
  </si>
  <si>
    <t>5:131:7173:429545:429497091,1</t>
  </si>
  <si>
    <t>5:131:7173:429545:429497116,1</t>
  </si>
  <si>
    <t>5:131:7173:429545:429497141,1</t>
  </si>
  <si>
    <t>5:131:7173:429545:429497166,1</t>
  </si>
  <si>
    <t>5:131:7173:429545:429497191,1</t>
  </si>
  <si>
    <t>5:131:7173:429545:429497216,1</t>
  </si>
  <si>
    <t>5:131:7173:429545:429497241,1</t>
  </si>
  <si>
    <t>5:131:7173:429545:429497266,1</t>
  </si>
  <si>
    <t>5:131:7173:429545:429497291,1</t>
  </si>
  <si>
    <t>5:131:7173:429545:429497316,1</t>
  </si>
  <si>
    <t>5:131:7173:429545:429497341,1</t>
  </si>
  <si>
    <t>5:131:7173:429545:429497366,1</t>
  </si>
  <si>
    <t>5:131:7173:429545:429497391,1</t>
  </si>
  <si>
    <t>5:131:7173:429545:429497416,1</t>
  </si>
  <si>
    <t>5:131:7173:429545:429497441,1</t>
  </si>
  <si>
    <t>5:131:7173:429545:429497466,1</t>
  </si>
  <si>
    <t>5:131:7173:429545:429497491,1</t>
  </si>
  <si>
    <t>5:131:7173:429545:429497516,1</t>
  </si>
  <si>
    <t>5:131:7173:429545:429497541,1</t>
  </si>
  <si>
    <t>5:131:7173:429545:429497566,1</t>
  </si>
  <si>
    <t>5:131:7173:429545:429497591,1</t>
  </si>
  <si>
    <t>5:131:7173:429545:429497616,1</t>
  </si>
  <si>
    <t>5:131:7173:429545:429497641,1</t>
  </si>
  <si>
    <t>5:131:7173:429545:429497666,1</t>
  </si>
  <si>
    <t>5:131:7173:429545:429497691,1</t>
  </si>
  <si>
    <t>5:131:7173:429545:429497716,1</t>
  </si>
  <si>
    <t>5:131:7173:429546:429496741,1</t>
  </si>
  <si>
    <t>5:131:7173:429546:429496766,1</t>
  </si>
  <si>
    <t>5:131:7173:429546:429496791,1</t>
  </si>
  <si>
    <t>5:131:7173:429546:429496816,1</t>
  </si>
  <si>
    <t>5:131:7173:429546:429496841,1</t>
  </si>
  <si>
    <t>5:131:7173:429546:429496866,1</t>
  </si>
  <si>
    <t>5:131:7173:429546:429496891,1</t>
  </si>
  <si>
    <t>5:131:7173:429546:429496916,1</t>
  </si>
  <si>
    <t>5:131:7173:429546:429496941,1</t>
  </si>
  <si>
    <t>5:131:7173:429546:429496966,1</t>
  </si>
  <si>
    <t>5:131:7173:429546:429496991,1</t>
  </si>
  <si>
    <t>5:131:7173:429546:429497016,1</t>
  </si>
  <si>
    <t>5:131:7173:429546:429497041,1</t>
  </si>
  <si>
    <t>5:131:7173:429546:429497066,1</t>
  </si>
  <si>
    <t>5:131:7173:429546:429497091,1</t>
  </si>
  <si>
    <t>5:131:7173:429546:429497116,1</t>
  </si>
  <si>
    <t>5:131:7173:429546:429497141,1</t>
  </si>
  <si>
    <t>5:131:7173:429546:429497166,1</t>
  </si>
  <si>
    <t>5:131:7173:429546:429497191,1</t>
  </si>
  <si>
    <t>5:131:7173:429546:429497216,1</t>
  </si>
  <si>
    <t>5:131:7173:429546:429497241,1</t>
  </si>
  <si>
    <t>5:131:7173:429546:429497266,1</t>
  </si>
  <si>
    <t>5:131:7173:429546:429497291,1</t>
  </si>
  <si>
    <t>5:131:7173:429546:429497316,1</t>
  </si>
  <si>
    <t>5:131:7173:429546:429497341,1</t>
  </si>
  <si>
    <t>5:131:7173:429546:429497366,1</t>
  </si>
  <si>
    <t>5:131:7173:429546:429497391,1</t>
  </si>
  <si>
    <t>5:131:7173:429546:429497416,1</t>
  </si>
  <si>
    <t>5:131:7173:429546:429497441,1</t>
  </si>
  <si>
    <t>5:131:7173:429546:429497466,1</t>
  </si>
  <si>
    <t>5:131:7173:429546:429497491,1</t>
  </si>
  <si>
    <t>5:131:7173:429546:429497516,1</t>
  </si>
  <si>
    <t>5:131:7173:429546:429497541,1</t>
  </si>
  <si>
    <t>5:131:7173:429546:429497566,2</t>
  </si>
  <si>
    <t>5:131:7173:429546:429497591,1</t>
  </si>
  <si>
    <t>5:131:7173:429546:429497616,2</t>
  </si>
  <si>
    <t>5:131:7173:429546:429497641,2</t>
  </si>
  <si>
    <t>5:131:7173:429546:429497666,1</t>
  </si>
  <si>
    <t>5:131:7173:429546:429497691,2</t>
  </si>
  <si>
    <t>5:131:7173:429546:429497716,1</t>
  </si>
  <si>
    <t>5:131:7173:429547:429496741,1</t>
  </si>
  <si>
    <t>5:131:7173:429547:429496766,2</t>
  </si>
  <si>
    <t>5:131:7173:429547:429496791,2</t>
  </si>
  <si>
    <t>5:131:7173:429547:429496816,2</t>
  </si>
  <si>
    <t>5:131:7173:429547:429496841,1</t>
  </si>
  <si>
    <t>5:131:7173:429547:429496866,2</t>
  </si>
  <si>
    <t>5:131:7173:429547:429496891,2</t>
  </si>
  <si>
    <t>5:131:7173:429547:429496916,2</t>
  </si>
  <si>
    <t>5:131:7173:429547:429496941,2</t>
  </si>
  <si>
    <t>5:131:7173:429547:429496966,2</t>
  </si>
  <si>
    <t>5:131:7173:429547:429496991,1</t>
  </si>
  <si>
    <t>5:131:7173:429547:429497016,2</t>
  </si>
  <si>
    <t>5:131:7173:429547:429497041,2</t>
  </si>
  <si>
    <t>5:131:7173:429547:429497066,2</t>
  </si>
  <si>
    <t>5:131:7173:429547:429497091,2</t>
  </si>
  <si>
    <t>5:131:7173:429547:429497116,2</t>
  </si>
  <si>
    <t>5:131:7173:429547:429497141,2</t>
  </si>
  <si>
    <t>5:131:7173:429547:429497166,2</t>
  </si>
  <si>
    <t>5:131:7173:429547:429497191,2</t>
  </si>
  <si>
    <t>5:131:7173:429547:429497216,2</t>
  </si>
  <si>
    <t>5:131:7173:429547:429497241,2</t>
  </si>
  <si>
    <t>5:131:7173:429547:429497266,2</t>
  </si>
  <si>
    <t>5:131:7173:429547:429497291,2</t>
  </si>
  <si>
    <t>5:131:7173:429547:429497316,2</t>
  </si>
  <si>
    <t>5:131:7173:429547:429497341,2</t>
  </si>
  <si>
    <t>5:131:7173:429547:429497366,2</t>
  </si>
  <si>
    <t>5:131:7173:429547:429497391,2</t>
  </si>
  <si>
    <t>5:131:7173:429547:429497416,2</t>
  </si>
  <si>
    <t>5:131:7173:429547:429497441,2</t>
  </si>
  <si>
    <t>5:131:7173:429547:429497466,2</t>
  </si>
  <si>
    <t>5:131:7173:429547:429497491,2</t>
  </si>
  <si>
    <t>5:131:7173:429547:429497516,2</t>
  </si>
  <si>
    <t>5:131:7173:429547:429497541,2</t>
  </si>
  <si>
    <t>5:131:7173:429547:429497566,2</t>
  </si>
  <si>
    <t>5:131:7173:429547:429497591,2</t>
  </si>
  <si>
    <t>5:131:7173:429547:429497616,2</t>
  </si>
  <si>
    <t>5:131:7173:429547:429497641,2</t>
  </si>
  <si>
    <t>5:131:7173:429547:429497666,2</t>
  </si>
  <si>
    <t>5:131:7173:429547:429497691,2</t>
  </si>
  <si>
    <t>5:131:7173:429547:429497716,2</t>
  </si>
  <si>
    <t>5:131:7173:429548:429496741,2</t>
  </si>
  <si>
    <t>5:131:7173:429548:429496766,2</t>
  </si>
  <si>
    <t>5:131:7173:429548:429496791,2</t>
  </si>
  <si>
    <t>5:131:7173:429548:429496816,2</t>
  </si>
  <si>
    <t>5:131:7173:429548:429496841,2</t>
  </si>
  <si>
    <t>5:131:7173:429548:429496866,2</t>
  </si>
  <si>
    <t>5:131:7173:429548:429496891,2</t>
  </si>
  <si>
    <t>5:131:7173:429548:429496916,2</t>
  </si>
  <si>
    <t>5:131:7173:429548:429496941,2</t>
  </si>
  <si>
    <t>5:131:7173:429548:429496966,2</t>
  </si>
  <si>
    <t>5:131:7173:429548:429496991,2</t>
  </si>
  <si>
    <t>5:131:7173:429548:429497016,2</t>
  </si>
  <si>
    <t>5:131:7173:429548:429497041,2</t>
  </si>
  <si>
    <t>5:131:7173:429548:429497066,2</t>
  </si>
  <si>
    <t>5:131:7173:429548:429497091,2</t>
  </si>
  <si>
    <t>5:131:7173:429548:429497116,2</t>
  </si>
  <si>
    <t>5:131:7173:429548:429497141,2</t>
  </si>
  <si>
    <t>5:131:7173:429548:429497166,2</t>
  </si>
  <si>
    <t>5:131:7173:429548:429497191,2</t>
  </si>
  <si>
    <t>5:131:7173:429548:429497216,2</t>
  </si>
  <si>
    <t>5:131:7173:429548:429497241,2</t>
  </si>
  <si>
    <t>5:131:7173:429548:429497266,2</t>
  </si>
  <si>
    <t>5:131:7173:429548:429497291,2</t>
  </si>
  <si>
    <t>5:131:7173:429548:429497316,2</t>
  </si>
  <si>
    <t>5:131:7173:429548:429497341,2</t>
  </si>
  <si>
    <t>5:131:7173:429548:429497366,2</t>
  </si>
  <si>
    <t>5:131:7173:429548:429497391,2</t>
  </si>
  <si>
    <t>5:131:7173:429548:429497416,2</t>
  </si>
  <si>
    <t>5:131:7173:429548:429497441,2</t>
  </si>
  <si>
    <t>5:131:7173:429548:429497466,2</t>
  </si>
  <si>
    <t>5:131:7173:429548:429497491,2</t>
  </si>
  <si>
    <t>5:131:7173:429548:429497516,2</t>
  </si>
  <si>
    <t>5:131:7173:429548:429497541,2</t>
  </si>
  <si>
    <t>5:131:7173:429548:429497566,2</t>
  </si>
  <si>
    <t>5:131:7173:429548:429497591,2</t>
  </si>
  <si>
    <t>5:131:7173:429548:429497616,2</t>
  </si>
  <si>
    <t>5:131:7173:429548:429497641,2</t>
  </si>
  <si>
    <t>5:131:7173:429548:429497666,2</t>
  </si>
  <si>
    <t>5:131:7173:429548:429497691,2</t>
  </si>
  <si>
    <t>5:131:7173:429548:429497716,2</t>
  </si>
  <si>
    <t>5:131:7173:429549:429496741,2</t>
  </si>
  <si>
    <t>5:131:7173:429549:429496766,2</t>
  </si>
  <si>
    <t>5:131:7173:429549:429496791,2</t>
  </si>
  <si>
    <t>5:131:7173:429549:429496816,2</t>
  </si>
  <si>
    <t>5:131:7173:429549:429496841,2</t>
  </si>
  <si>
    <t>5:131:7173:429549:429496866,2</t>
  </si>
  <si>
    <t>5:131:7173:429549:429496891,2</t>
  </si>
  <si>
    <t>5:131:7173:429549:429496916,2</t>
  </si>
  <si>
    <t>5:131:7173:429549:429496941,2</t>
  </si>
  <si>
    <t>5:131:7173:429549:429496966,2</t>
  </si>
  <si>
    <t>5:131:7173:429549:429496991,2</t>
  </si>
  <si>
    <t>5:131:7173:429549:429497016,2</t>
  </si>
  <si>
    <t>5:131:7173:429549:429497041,2</t>
  </si>
  <si>
    <t>5:131:7173:429549:429497066,2</t>
  </si>
  <si>
    <t>5:131:7173:429549:429497091,2</t>
  </si>
  <si>
    <t>5:131:7173:429549:429497116,2</t>
  </si>
  <si>
    <t>5:131:7173:429549:429497141,2</t>
  </si>
  <si>
    <t>5:131:7173:429549:429497166,2</t>
  </si>
  <si>
    <t>5:131:7173:429549:429497191,2</t>
  </si>
  <si>
    <t>5:131:7173:429549:429497216,2</t>
  </si>
  <si>
    <t>5:131:7173:429549:429497241,2</t>
  </si>
  <si>
    <t>5:131:7173:429549:429497266,2</t>
  </si>
  <si>
    <t>5:131:7173:429549:429497291,3</t>
  </si>
  <si>
    <t>5:131:7173:429549:429497316,2</t>
  </si>
  <si>
    <t>5:131:7173:429549:429497341,2</t>
  </si>
  <si>
    <t>5:131:7173:429549:429497366,2</t>
  </si>
  <si>
    <t>5:131:7173:429549:429497391,3</t>
  </si>
  <si>
    <t>5:131:7173:429549:429497416,3</t>
  </si>
  <si>
    <t>5:131:7173:429549:429497441,3</t>
  </si>
  <si>
    <t>5:131:7173:429549:429497466,3</t>
  </si>
  <si>
    <t>5:131:7173:429549:429497491,3</t>
  </si>
  <si>
    <t>5:131:7173:429549:429497516,2</t>
  </si>
  <si>
    <t>5:131:7173:429549:429497541,3</t>
  </si>
  <si>
    <t>5:131:7173:429549:429497566,3</t>
  </si>
  <si>
    <t>5:131:7173:429549:429497591,2</t>
  </si>
  <si>
    <t>5:131:7173:429549:429497616,3</t>
  </si>
  <si>
    <t>5:131:7173:429549:429497641,2</t>
  </si>
  <si>
    <t>5:131:7173:429549:429497666,3</t>
  </si>
  <si>
    <t>5:131:7173:429549:429497691,3</t>
  </si>
  <si>
    <t>5:131:7173:429549:429497716,3</t>
  </si>
  <si>
    <t>5:131:7173:429550:429496741,3</t>
  </si>
  <si>
    <t>5:131:7173:429550:429496766,3</t>
  </si>
  <si>
    <t>5:131:7173:429550:429496791,3</t>
  </si>
  <si>
    <t>5:131:7173:429550:429496816,3</t>
  </si>
  <si>
    <t>5:131:7173:429550:429496841,3</t>
  </si>
  <si>
    <t>5:131:7173:429550:429496866,3</t>
  </si>
  <si>
    <t>5:131:7173:429550:429496891,3</t>
  </si>
  <si>
    <t>5:131:7173:429550:429496916,3</t>
  </si>
  <si>
    <t>5:131:7173:429550:429496941,3</t>
  </si>
  <si>
    <t>5:131:7173:429550:429496966,3</t>
  </si>
  <si>
    <t>5:131:7173:429550:429496991,3</t>
  </si>
  <si>
    <t>5:131:7173:429550:429497016,3</t>
  </si>
  <si>
    <t>5:131:7173:429550:429497041,3</t>
  </si>
  <si>
    <t>5:131:7173:429550:429497066,3</t>
  </si>
  <si>
    <t>5:131:7173:429550:429497091,3</t>
  </si>
  <si>
    <t>5:131:7173:429550:429497116,3</t>
  </si>
  <si>
    <t>5:131:7173:429550:429497141,3</t>
  </si>
  <si>
    <t>5:131:7173:429550:429497166,3</t>
  </si>
  <si>
    <t>5:131:7173:429550:429497191,3</t>
  </si>
  <si>
    <t>5:131:7173:429550:429497216,3</t>
  </si>
  <si>
    <t>5:131:7173:429550:429497241,3</t>
  </si>
  <si>
    <t>5:131:7173:429550:429497266,3</t>
  </si>
  <si>
    <t>5:131:7173:429550:429497291,3</t>
  </si>
  <si>
    <t>5:131:7173:429550:429497316,3</t>
  </si>
  <si>
    <t>5:131:7173:429550:429497341,3</t>
  </si>
  <si>
    <t>5:131:7173:429550:429497366,3</t>
  </si>
  <si>
    <t>5:131:7173:429550:429497391,3</t>
  </si>
  <si>
    <t>5:131:7173:429550:429497416,3</t>
  </si>
  <si>
    <t>5:131:7173:429550:429497441,3</t>
  </si>
  <si>
    <t>5:131:7173:429550:429497466,3</t>
  </si>
  <si>
    <t>5:131:7173:429550:429497491,3</t>
  </si>
  <si>
    <t>5:131:7173:429550:429497516,3</t>
  </si>
  <si>
    <t>5:131:7173:429550:429497541,3</t>
  </si>
  <si>
    <t>5:131:7173:429550:429497566,3</t>
  </si>
  <si>
    <t>5:131:7173:429550:429497591,3</t>
  </si>
  <si>
    <t>5:131:7173:429550:429497616,3</t>
  </si>
  <si>
    <t>5:131:7173:429550:429497641,3</t>
  </si>
  <si>
    <t>5:131:7173:429550:429497666,3</t>
  </si>
  <si>
    <t>5:131:7173:429550:429497691,3</t>
  </si>
  <si>
    <t>5:131:7173:429550:429497716,3</t>
  </si>
  <si>
    <t>5:131:7173:429551:429496741,3</t>
  </si>
  <si>
    <t>5:131:7173:429551:429496766,3</t>
  </si>
  <si>
    <t>5:131:7173:429551:429496791,3</t>
  </si>
  <si>
    <t>5:131:7173:429551:429496816,3</t>
  </si>
  <si>
    <t>5:131:7173:429551:429496841,3</t>
  </si>
  <si>
    <t>5:131:7173:429551:429496866,3</t>
  </si>
  <si>
    <t>5:131:7173:429551:429496891,3</t>
  </si>
  <si>
    <t>5:131:7173:429551:429496916,3</t>
  </si>
  <si>
    <t>5:131:7173:429551:429496941,3</t>
  </si>
  <si>
    <t>5:131:7173:429551:429496966,3</t>
  </si>
  <si>
    <t>5:131:7173:429551:429496991,3</t>
  </si>
  <si>
    <t>5:131:7173:429551:429497016,3</t>
  </si>
  <si>
    <t>5:131:7173:429551:429497041,3</t>
  </si>
  <si>
    <t>5:131:7173:429551:429497066,3</t>
  </si>
  <si>
    <t>5:131:7173:429551:429497091,3</t>
  </si>
  <si>
    <t>5:131:7173:429551:429497116,3</t>
  </si>
  <si>
    <t>5:131:7173:429551:429497141,3</t>
  </si>
  <si>
    <t>5:131:7173:429551:429497166,3</t>
  </si>
  <si>
    <t>5:131:7173:429551:429497191,3</t>
  </si>
  <si>
    <t>5:131:7173:429551:429497216,3</t>
  </si>
  <si>
    <t>5:131:7173:429551:429497241,3</t>
  </si>
  <si>
    <t>5:131:7173:429551:429497266,3</t>
  </si>
  <si>
    <t>5:131:7173:429551:429497291,3</t>
  </si>
  <si>
    <t>5:131:7173:429551:429497316,3</t>
  </si>
  <si>
    <t>5:131:7173:429551:429497341,3</t>
  </si>
  <si>
    <t>5:131:7173:429551:429497366,3</t>
  </si>
  <si>
    <t>5:131:7173:429551:429497391,3</t>
  </si>
  <si>
    <t>5:131:7173:429551:429497416,3</t>
  </si>
  <si>
    <t>5:131:7173:429551:429497441,3</t>
  </si>
  <si>
    <t>5:131:7173:429551:429497466,3</t>
  </si>
  <si>
    <t>5:131:7173:429551:429497491,3</t>
  </si>
  <si>
    <t>5:131:7173:429551:429497516,3</t>
  </si>
  <si>
    <t>5:131:7173:429551:429497541,4</t>
  </si>
  <si>
    <t>5:131:7173:429551:429497566,4</t>
  </si>
  <si>
    <t>5:131:7173:429551:429497591,3</t>
  </si>
  <si>
    <t>5:131:7173:429551:429497616,4</t>
  </si>
  <si>
    <t>5:131:7173:429551:429497641,4</t>
  </si>
  <si>
    <t>5:131:7173:429551:429497666,3</t>
  </si>
  <si>
    <t>5:131:7173:429551:429497691,4</t>
  </si>
  <si>
    <t>5:131:7173:429551:429497716,3</t>
  </si>
  <si>
    <t>5:131:7173:429552:429496741,4</t>
  </si>
  <si>
    <t>5:131:7173:429552:429496766,3</t>
  </si>
  <si>
    <t>5:131:7173:429552:429496791,4</t>
  </si>
  <si>
    <t>5:131:7173:429552:429496816,4</t>
  </si>
  <si>
    <t>5:131:7173:429552:429496841,3</t>
  </si>
  <si>
    <t>5:131:7173:429552:429496866,4</t>
  </si>
  <si>
    <t>5:131:7173:429552:429496891,4</t>
  </si>
  <si>
    <t>5:131:7173:429552:429496916,4</t>
  </si>
  <si>
    <t>5:131:7173:429552:429496941,4</t>
  </si>
  <si>
    <t>5:131:7173:429552:429496966,4</t>
  </si>
  <si>
    <t>5:131:7173:429552:429496991,4</t>
  </si>
  <si>
    <t>5:131:7173:429552:429497016,4</t>
  </si>
  <si>
    <t>5:131:7173:429552:429497041,4</t>
  </si>
  <si>
    <t>5:131:7173:429552:429497066,4</t>
  </si>
  <si>
    <t>5:131:7173:429552:429497091,4</t>
  </si>
  <si>
    <t>5:131:7173:429552:429497116,4</t>
  </si>
  <si>
    <t>5:131:7173:429552:429497141,4</t>
  </si>
  <si>
    <t>5:131:7173:429552:429497166,4</t>
  </si>
  <si>
    <t>5:131:7173:429552:429497191,4</t>
  </si>
  <si>
    <t>5:131:7173:429552:429497216,4</t>
  </si>
  <si>
    <t>5:131:7173:429552:429497241,4</t>
  </si>
  <si>
    <t>5:131:7173:429552:429497266,4</t>
  </si>
  <si>
    <t>5:131:7173:429552:429497291,4</t>
  </si>
  <si>
    <t>5:131:7173:429552:429497316,4</t>
  </si>
  <si>
    <t>5:131:7173:429552:429497341,4</t>
  </si>
  <si>
    <t>5:131:7173:429552:429497366,4</t>
  </si>
  <si>
    <t>5:131:7173:429552:429497391,4</t>
  </si>
  <si>
    <t>5:131:7173:429552:429497416,4</t>
  </si>
  <si>
    <t>5:131:7173:429552:429497441,4</t>
  </si>
  <si>
    <t>5:131:7173:429552:429497466,4</t>
  </si>
  <si>
    <t>5:131:7173:429552:429497491,4</t>
  </si>
  <si>
    <t>5:131:7173:429552:429497516,4</t>
  </si>
  <si>
    <t>5:131:7173:429552:429497541,4</t>
  </si>
  <si>
    <t>5:131:7173:429552:429497566,4</t>
  </si>
  <si>
    <t>5:131:7173:429552:429497591,4</t>
  </si>
  <si>
    <t>5:131:7173:429552:429497616,4</t>
  </si>
  <si>
    <t>5:131:7173:429552:429497641,4</t>
  </si>
  <si>
    <t>5:131:7173:429552:429497666,4</t>
  </si>
  <si>
    <t>5:131:7173:429552:429497691,4</t>
  </si>
  <si>
    <t>5:131:7173:429552:429497716,4</t>
  </si>
  <si>
    <t>5:131:7173:429553:429496741,4</t>
  </si>
  <si>
    <t>5:131:7173:429553:429496766,4</t>
  </si>
  <si>
    <t>5:131:7173:429553:429496791,4</t>
  </si>
  <si>
    <t>5:131:7173:429553:429496816,4</t>
  </si>
  <si>
    <t>5:131:7173:429553:429496841,4</t>
  </si>
  <si>
    <t>5:131:7173:429553:429496866,4</t>
  </si>
  <si>
    <t>5:131:7173:429553:429496891,4</t>
  </si>
  <si>
    <t>5:131:7173:429553:429496916,4</t>
  </si>
  <si>
    <t>5:131:7173:429553:429496941,4</t>
  </si>
  <si>
    <t>5:131:7173:429553:429496966,4</t>
  </si>
  <si>
    <t>5:131:7173:429553:429496991,4</t>
  </si>
  <si>
    <t>5:131:7173:429553:429497016,4</t>
  </si>
  <si>
    <t>5:131:7173:429553:429497041,4</t>
  </si>
  <si>
    <t>5:131:7173:429553:429497066,4</t>
  </si>
  <si>
    <t>5:131:7173:429553:429497091,4</t>
  </si>
  <si>
    <t>5:131:7173:429553:429497116,4</t>
  </si>
  <si>
    <t>5:131:7173:429553:429497141,4</t>
  </si>
  <si>
    <t>5:131:7173:429553:429497166,4</t>
  </si>
  <si>
    <t>5:131:7173:429553:429497191,4</t>
  </si>
  <si>
    <t>5:131:7173:429553:429497216,4</t>
  </si>
  <si>
    <t>5:131:7173:429553:429497241,4</t>
  </si>
  <si>
    <t>5:131:7173:429553:429497266,4</t>
  </si>
  <si>
    <t>5:131:7173:429553:429497291,4</t>
  </si>
  <si>
    <t>5:131:7173:429553:429497316,4</t>
  </si>
  <si>
    <t>5:131:7173:429553:429497341,4</t>
  </si>
  <si>
    <t>5:131:7173:429553:429497366,4</t>
  </si>
  <si>
    <t>5:131:7173:429553:429497391,4</t>
  </si>
  <si>
    <t>5:131:7173:429553:429497416,4</t>
  </si>
  <si>
    <t>5:131:7173:429553:429497441,4</t>
  </si>
  <si>
    <t>5:131:7173:429553:429497466,4</t>
  </si>
  <si>
    <t>5:131:7173:429553:429497491,4</t>
  </si>
  <si>
    <t>5:131:7173:429553:429497516,4</t>
  </si>
  <si>
    <t>5:131:7173:429553:429497541,4</t>
  </si>
  <si>
    <t>5:131:7173:429553:429497566,4</t>
  </si>
  <si>
    <t>5:131:7173:429553:429497591,4</t>
  </si>
  <si>
    <t>5:131:7173:429553:429497616,4</t>
  </si>
  <si>
    <t>5:131:7173:429553:429497641,4</t>
  </si>
  <si>
    <t>5:131:7173:429553:429497666,4</t>
  </si>
  <si>
    <t>5:131:7173:429553:429497691,4</t>
  </si>
  <si>
    <t>5:131:7173:429553:429497716,4</t>
  </si>
  <si>
    <t>5:131:7173:429554:429496741,4</t>
  </si>
  <si>
    <t>5:131:7173:429554:429496766,4</t>
  </si>
  <si>
    <t>5:131:7173:429554:429496791,4</t>
  </si>
  <si>
    <t>5:131:7173:429554:429496816,4</t>
  </si>
  <si>
    <t>5:131:7173:429554:429496841,4</t>
  </si>
  <si>
    <t>5:131:7173:429554:429496866,4</t>
  </si>
  <si>
    <t>5:131:7173:429554:429496891,4</t>
  </si>
  <si>
    <t>5:131:7173:429554:429496916,4</t>
  </si>
  <si>
    <t>5:131:7173:429554:429496941,4</t>
  </si>
  <si>
    <t>5:131:7173:429554:429496966,4</t>
  </si>
  <si>
    <t>5:131:7173:429554:429496991,4</t>
  </si>
  <si>
    <t>5:131:7173:429554:429497016,4</t>
  </si>
  <si>
    <t>5:131:7173:429554:429497041,4</t>
  </si>
  <si>
    <t>5:131:7173:429554:429497066,4</t>
  </si>
  <si>
    <t>5:131:7173:429554:429497091,4</t>
  </si>
  <si>
    <t>5:131:7173:429554:429497116,4</t>
  </si>
  <si>
    <t>5:131:7173:429554:429497141,4</t>
  </si>
  <si>
    <t>5:131:7173:429554:429497166,4</t>
  </si>
  <si>
    <t>5:131:7173:429554:429497191,4</t>
  </si>
  <si>
    <t>5:131:7173:429554:429497216,4</t>
  </si>
  <si>
    <t>5:131:7173:429554:429497241,4</t>
  </si>
  <si>
    <t>5:131:7173:429554:429497266,4</t>
  </si>
  <si>
    <t>5:131:7173:429554:429497291,4</t>
  </si>
  <si>
    <t>5:131:7173:429554:429497316,4</t>
  </si>
  <si>
    <t>5:131:7173:429554:429497341,4</t>
  </si>
  <si>
    <t>5:131:7173:429554:429497366,4</t>
  </si>
  <si>
    <t>5:131:7173:429554:429497391,5</t>
  </si>
  <si>
    <t>5:131:7173:429554:429497416,5</t>
  </si>
  <si>
    <t>5:131:7173:429554:429497441,4</t>
  </si>
  <si>
    <t>5:131:7173:429554:429497466,4</t>
  </si>
  <si>
    <t>5:131:7173:429554:429497491,5</t>
  </si>
  <si>
    <t>5:131:7173:429554:429497516,4</t>
  </si>
  <si>
    <t>5:131:7173:429554:429497541,5</t>
  </si>
  <si>
    <t>5:131:7173:429554:429497566,5</t>
  </si>
  <si>
    <t>5:131:7173:429554:429497591,4</t>
  </si>
  <si>
    <t>5:131:7173:429554:429497616,5</t>
  </si>
  <si>
    <t>5:131:7173:429554:429497641,5</t>
  </si>
  <si>
    <t>5:131:7173:429554:429497666,5</t>
  </si>
  <si>
    <t>5:131:7173:429554:429497691,5</t>
  </si>
  <si>
    <t>5:131:7173:429554:429497716,5</t>
  </si>
  <si>
    <t>5:131:7173:429555:429496741,5</t>
  </si>
  <si>
    <t>5:131:7173:429555:429496766,5</t>
  </si>
  <si>
    <t>5:131:7173:429555:429496791,5</t>
  </si>
  <si>
    <t>5:131:7173:429555:429496816,5</t>
  </si>
  <si>
    <t>5:131:7173:429555:429496841,5</t>
  </si>
  <si>
    <t>5:131:7173:429555:429496866,5</t>
  </si>
  <si>
    <t>5:131:7173:429555:429496891,5</t>
  </si>
  <si>
    <t>5:131:7173:429555:429496916,5</t>
  </si>
  <si>
    <t>5:131:7173:429555:429496941,5</t>
  </si>
  <si>
    <t>5:131:7173:429555:429496966,5</t>
  </si>
  <si>
    <t>5:131:7173:429555:429496991,5</t>
  </si>
  <si>
    <t>5:131:7173:429555:429497016,5</t>
  </si>
  <si>
    <t>5:131:7173:429555:429497041,5</t>
  </si>
  <si>
    <t>5:131:7173:429555:429497066,5</t>
  </si>
  <si>
    <t>5:131:7173:429555:429497091,5</t>
  </si>
  <si>
    <t>5:131:7173:429555:429497116,5</t>
  </si>
  <si>
    <t>5:131:7173:429555:429497141,5</t>
  </si>
  <si>
    <t>5:131:7173:429555:429497166,5</t>
  </si>
  <si>
    <t>5:131:7173:429555:429497191,5</t>
  </si>
  <si>
    <t>5:131:7173:429555:429497216,5</t>
  </si>
  <si>
    <t>5:131:7173:429555:429497241,5</t>
  </si>
  <si>
    <t>5:131:7173:429555:429497266,5</t>
  </si>
  <si>
    <t>5:131:7173:429555:429497291,5</t>
  </si>
  <si>
    <t>5:131:7173:429555:429497316,5</t>
  </si>
  <si>
    <t>5:131:7173:429555:429497341,5</t>
  </si>
  <si>
    <t>5:131:7173:429555:429497366,5</t>
  </si>
  <si>
    <t>5:131:7173:429555:429497391,5</t>
  </si>
  <si>
    <t>5:131:7173:429555:429497416,5</t>
  </si>
  <si>
    <t>5:131:7173:429555:429497441,5</t>
  </si>
  <si>
    <t>5:131:7173:429555:429497466,5</t>
  </si>
  <si>
    <t>5:131:7173:429555:429497491,5</t>
  </si>
  <si>
    <t>5:131:7173:429555:429497516,5</t>
  </si>
  <si>
    <t>5:131:7173:429555:429497541,5</t>
  </si>
  <si>
    <t>5:131:7173:429555:429497566,5</t>
  </si>
  <si>
    <t>5:131:7173:429555:429497591,5</t>
  </si>
  <si>
    <t>5:131:7173:429555:429497616,5</t>
  </si>
  <si>
    <t>5:131:7173:429555:429497641,5</t>
  </si>
  <si>
    <t>5:131:7173:429555:429497666,5</t>
  </si>
  <si>
    <t>5:131:7173:429555:429497691,5</t>
  </si>
  <si>
    <t>5:131:7173:429555:429497716,5</t>
  </si>
  <si>
    <t>5:131:7173:429556:429496741,5</t>
  </si>
  <si>
    <t>5:131:7173:429556:429496766,5</t>
  </si>
  <si>
    <t>5:131:7173:429556:429496791,5</t>
  </si>
  <si>
    <t>5:131:7173:429556:429496816,5</t>
  </si>
  <si>
    <t>5:131:7173:429556:429496841,5</t>
  </si>
  <si>
    <t>5:131:7173:429556:429496866,5</t>
  </si>
  <si>
    <t>5:131:7173:429556:429496891,5</t>
  </si>
  <si>
    <t>5:131:7173:429556:429496916,5</t>
  </si>
  <si>
    <t>5:131:7173:429556:429496941,5</t>
  </si>
  <si>
    <t>5:131:7173:429556:429496966,5</t>
  </si>
  <si>
    <t>5:131:7173:429556:429496991,5</t>
  </si>
  <si>
    <t>5:131:7173:429556:429497016,5</t>
  </si>
  <si>
    <t>5:131:7173:429556:429497041,5</t>
  </si>
  <si>
    <t>5:131:7173:429556:429497066,5</t>
  </si>
  <si>
    <t>5:131:7173:429556:429497091,5</t>
  </si>
  <si>
    <t>5:131:7173:429556:429497116,5</t>
  </si>
  <si>
    <t>5:131:7173:429556:429497141,5</t>
  </si>
  <si>
    <t>5:131:7173:429556:429497166,5</t>
  </si>
  <si>
    <t>5:131:7173:429556:429497191,5</t>
  </si>
  <si>
    <t>5:131:7173:429556:429497216,5</t>
  </si>
  <si>
    <t>5:131:7173:429556:429497241,5</t>
  </si>
  <si>
    <t>5:131:7173:429556:429497266,5</t>
  </si>
  <si>
    <t>5:131:7173:429556:429497291,5</t>
  </si>
  <si>
    <t>5:131:7173:429556:429497316,5</t>
  </si>
  <si>
    <t>5:131:7173:429556:429497341,5</t>
  </si>
  <si>
    <t>5:131:7173:429556:429497366,5</t>
  </si>
  <si>
    <t>5:131:7173:429556:429497391,5</t>
  </si>
  <si>
    <t>5:131:7173:429556:429497416,5</t>
  </si>
  <si>
    <t>5:131:7173:429556:429497441,5</t>
  </si>
  <si>
    <t>5:131:7174:429496:429497466,5</t>
  </si>
  <si>
    <t>5:131:7174:429496:429497491,5</t>
  </si>
  <si>
    <t>5:131:7174:429496:429497516,6</t>
  </si>
  <si>
    <t>5:131:7174:429496:429497541,5</t>
  </si>
  <si>
    <t>5:131:7174:429496:429497566,5</t>
  </si>
  <si>
    <t>5:131:7174:429496:429497591,5</t>
  </si>
  <si>
    <t>5:131:7174:429496:429497616,5</t>
  </si>
  <si>
    <t>5:131:7174:429496:429497641,6</t>
  </si>
  <si>
    <t>5:131:7174:429496:429497666,5</t>
  </si>
  <si>
    <t>5:131:7174:429496:429497691,6</t>
  </si>
  <si>
    <t>5:131:7174:429496:429497716,5</t>
  </si>
  <si>
    <t>5:131:7174:429497:429496741,6</t>
  </si>
  <si>
    <t>5:131:7174:429497:429496766,6</t>
  </si>
  <si>
    <t>5:131:7174:429497:429496791,5</t>
  </si>
  <si>
    <t>5:131:7174:429497:429496816,6</t>
  </si>
  <si>
    <t>5:131:7174:429497:429496841,6</t>
  </si>
  <si>
    <t>5:131:7174:429497:429496866,6</t>
  </si>
  <si>
    <t>5:131:7174:429497:429496891,6</t>
  </si>
  <si>
    <t>5:131:7174:429497:429496916,6</t>
  </si>
  <si>
    <t>5:131:7174:429497:429496941,6</t>
  </si>
  <si>
    <t>5:131:7174:429497:429496966,6</t>
  </si>
  <si>
    <t>5:131:7174:429497:429496991,6</t>
  </si>
  <si>
    <t>5:131:7174:429497:429497016,6</t>
  </si>
  <si>
    <t>5:131:7174:429497:429497041,6</t>
  </si>
  <si>
    <t>5:131:7174:429497:429497066,5</t>
  </si>
  <si>
    <t>5:131:7174:429497:429497091,6</t>
  </si>
  <si>
    <t>5:131:7174:429497:429497116,6</t>
  </si>
  <si>
    <t>5:131:7174:429497:429497141,6</t>
  </si>
  <si>
    <t>5:131:7174:429497:429497166,6</t>
  </si>
  <si>
    <t>5:131:7174:429497:429497191,6</t>
  </si>
  <si>
    <t>5:131:7174:429497:429497216,6</t>
  </si>
  <si>
    <t>5:131:7174:429497:429497241,6</t>
  </si>
  <si>
    <t>5:131:7174:429497:429497266,6</t>
  </si>
  <si>
    <t>5:131:7174:429497:429497291,6</t>
  </si>
  <si>
    <t>5:131:7174:429497:429497316,6</t>
  </si>
  <si>
    <t>5:131:7174:429497:429497341,6</t>
  </si>
  <si>
    <t>5:131:7174:429497:429497366,6</t>
  </si>
  <si>
    <t>5:131:7174:429497:429497391,6</t>
  </si>
  <si>
    <t>5:131:7174:429497:429497416,6</t>
  </si>
  <si>
    <t>5:131:7174:429497:429497441,6</t>
  </si>
  <si>
    <t>5:131:7174:429497:429497466,6</t>
  </si>
  <si>
    <t>5:131:7174:429497:429497491,6</t>
  </si>
  <si>
    <t>5:131:7174:429497:429497516,6</t>
  </si>
  <si>
    <t>5:131:7174:429497:429497541,6</t>
  </si>
  <si>
    <t>5:131:7174:429497:429497566,6</t>
  </si>
  <si>
    <t>5:131:7174:429497:429497591,6</t>
  </si>
  <si>
    <t>5:131:7174:429497:429497616,6</t>
  </si>
  <si>
    <t>5:131:7174:429497:429497641,6</t>
  </si>
  <si>
    <t>5:131:7174:429497:429497666,6</t>
  </si>
  <si>
    <t>5:131:7174:429497:429497691,6</t>
  </si>
  <si>
    <t>5:131:7174:429497:429497716,6</t>
  </si>
  <si>
    <t>5:131:7174:429498:429496741,6</t>
  </si>
  <si>
    <t>5:131:7174:429498:429496766,6</t>
  </si>
  <si>
    <t>5:131:7174:429498:429496791,6</t>
  </si>
  <si>
    <t>5:131:7174:429498:429496816,6</t>
  </si>
  <si>
    <t>5:131:7174:429498:429496841,6</t>
  </si>
  <si>
    <t>5:131:7174:429498:429496866,6</t>
  </si>
  <si>
    <t>5:131:7174:429498:429496891,6</t>
  </si>
  <si>
    <t>5:131:7174:429498:429496916,6</t>
  </si>
  <si>
    <t>5:131:7174:429498:429496941,6</t>
  </si>
  <si>
    <t>5:131:7174:429498:429496966,6</t>
  </si>
  <si>
    <t>5:131:7174:429498:429496991,6</t>
  </si>
  <si>
    <t>5:131:7174:429498:429497016,6</t>
  </si>
  <si>
    <t>5:131:7174:429498:429497041,6</t>
  </si>
  <si>
    <t>5:131:7174:429498:429497066,6</t>
  </si>
  <si>
    <t>5:131:7174:429498:429497091,6</t>
  </si>
  <si>
    <t>5:131:7174:429498:429497116,6</t>
  </si>
  <si>
    <t>5:131:7174:429498:429497141,6</t>
  </si>
  <si>
    <t>5:131:7174:429498:429497166,6</t>
  </si>
  <si>
    <t>5:131:7174:429498:429497191,6</t>
  </si>
  <si>
    <t>5:131:7174:429498:429497216,6</t>
  </si>
  <si>
    <t>5:131:7174:429498:429497241,6</t>
  </si>
  <si>
    <t>5:131:7174:429498:429497266,6</t>
  </si>
  <si>
    <t>5:131:7174:429498:429497291,6</t>
  </si>
  <si>
    <t>5:131:7174:429498:429497316,6</t>
  </si>
  <si>
    <t>5:131:7174:429498:429497341,6</t>
  </si>
  <si>
    <t>5:131:7174:429498:429497366,6</t>
  </si>
  <si>
    <t>5:131:7174:429498:429497391,6</t>
  </si>
  <si>
    <t>5:131:7174:429498:429497416,6</t>
  </si>
  <si>
    <t>5:131:7174:429498:429497441,6</t>
  </si>
  <si>
    <t>5:131:7174:429498:429497466,6</t>
  </si>
  <si>
    <t>5:131:7174:429498:429497491,6</t>
  </si>
  <si>
    <t>5:131:7174:429498:429497516,6</t>
  </si>
  <si>
    <t>5:131:7174:429498:429497541,6</t>
  </si>
  <si>
    <t>5:131:7174:429498:429497566,6</t>
  </si>
  <si>
    <t>5:131:7174:429498:429497591,6</t>
  </si>
  <si>
    <t>5:131:7174:429498:429497616,6</t>
  </si>
  <si>
    <t>5:131:7174:429498:429497641,6</t>
  </si>
  <si>
    <t>5:131:7174:429498:429497666,6</t>
  </si>
  <si>
    <t>5:131:7174:429498:429497691,6</t>
  </si>
  <si>
    <t>5:131:7174:429498:429497716,6</t>
  </si>
  <si>
    <t>5:131:7174:429499:429496741,6</t>
  </si>
  <si>
    <t>5:131:7174:429499:429496766,6</t>
  </si>
  <si>
    <t>5:131:7174:429499:429496791,6</t>
  </si>
  <si>
    <t>5:131:7174:429499:429496816,6</t>
  </si>
  <si>
    <t>5:131:7174:429499:429496841,6</t>
  </si>
  <si>
    <t>5:131:7174:429499:429496866,6</t>
  </si>
  <si>
    <t>5:131:7174:429499:429496891,6</t>
  </si>
  <si>
    <t>5:131:7174:429499:429496916,6</t>
  </si>
  <si>
    <t>5:131:7174:429499:429496941,6</t>
  </si>
  <si>
    <t>5:131:7174:429499:429496966,6</t>
  </si>
  <si>
    <t>5:131:7174:429499:429496991,6</t>
  </si>
  <si>
    <t>5:131:7174:429499:429497016,6</t>
  </si>
  <si>
    <t>5:131:7174:429499:429497041,6</t>
  </si>
  <si>
    <t>5:131:7174:429499:429497066,6</t>
  </si>
  <si>
    <t>5:131:7174:429499:429497091,6</t>
  </si>
  <si>
    <t>5:131:7174:429499:429497116,6</t>
  </si>
  <si>
    <t>5:131:7174:429499:429497141,6</t>
  </si>
  <si>
    <t>5:131:7174:429499:429497166,6</t>
  </si>
  <si>
    <t>5:131:7174:429499:429497191,6</t>
  </si>
  <si>
    <t>5:131:7174:429499:429497216,6</t>
  </si>
  <si>
    <t>5:131:7174:429499:429497241,6</t>
  </si>
  <si>
    <t>5:131:7174:429499:429497266,6</t>
  </si>
  <si>
    <t>5:131:7174:429499:429497291,6</t>
  </si>
  <si>
    <t>5:131:7174:429499:429497316,6</t>
  </si>
  <si>
    <t>5:131:7174:429499:429497341,6</t>
  </si>
  <si>
    <t>5:131:7174:429499:429497366,6</t>
  </si>
  <si>
    <t>5:131:7174:429499:429497391,6</t>
  </si>
  <si>
    <t>5:131:7174:429499:429497416,6</t>
  </si>
  <si>
    <t>5:131:7174:429499:429497441,7</t>
  </si>
  <si>
    <t>5:131:7174:429499:429497466,6</t>
  </si>
  <si>
    <t>5:131:7174:429499:429497491,6</t>
  </si>
  <si>
    <t>5:131:7174:429499:429497516,6</t>
  </si>
  <si>
    <t>5:131:7174:429499:429497541,7</t>
  </si>
  <si>
    <t>5:131:7174:429499:429497566,6</t>
  </si>
  <si>
    <t>5:131:7174:429499:429497591,6</t>
  </si>
  <si>
    <t>5:131:7174:429499:429497616,7</t>
  </si>
  <si>
    <t>5:131:7174:429499:429497641,7</t>
  </si>
  <si>
    <t>5:131:7174:429499:429497666,6</t>
  </si>
  <si>
    <t>5:131:7174:429499:429497691,7</t>
  </si>
  <si>
    <t>5:131:7174:429499:429497716,7</t>
  </si>
  <si>
    <t>5:131:7174:429500:429496741,6</t>
  </si>
  <si>
    <t>5:131:7174:429500:429496766,7</t>
  </si>
  <si>
    <t>5:131:7174:429500:429496791,6</t>
  </si>
  <si>
    <t>5:131:7174:429500:429496816,7</t>
  </si>
  <si>
    <t>5:131:7174:429500:429496841,7</t>
  </si>
  <si>
    <t>5:131:7174:429500:429496866,7</t>
  </si>
  <si>
    <t>5:131:7174:429500:429496891,7</t>
  </si>
  <si>
    <t>5:131:7174:429500:429496916,7</t>
  </si>
  <si>
    <t>5:131:7174:429500:429496941,7</t>
  </si>
  <si>
    <t>5:131:7174:429500:429496966,7</t>
  </si>
  <si>
    <t>5:131:7174:429500:429496991,7</t>
  </si>
  <si>
    <t>5:131:7174:429500:429497016,7</t>
  </si>
  <si>
    <t>5:131:7174:429500:429497041,7</t>
  </si>
  <si>
    <t>5:131:7174:429500:429497066,7</t>
  </si>
  <si>
    <t>5:131:7174:429500:429497091,7</t>
  </si>
  <si>
    <t>5:131:7174:429500:429497116,7</t>
  </si>
  <si>
    <t>5:131:7174:429500:429497141,7</t>
  </si>
  <si>
    <t>5:131:7174:429500:429497166,7</t>
  </si>
  <si>
    <t>5:131:7174:429500:429497191,7</t>
  </si>
  <si>
    <t>5:131:7174:429500:429497216,7</t>
  </si>
  <si>
    <t>5:131:7174:429500:429497241,7</t>
  </si>
  <si>
    <t>5:131:7174:429500:429497266,7</t>
  </si>
  <si>
    <t>5:131:7174:429500:429497291,7</t>
  </si>
  <si>
    <t>5:131:7174:429500:429497316,7</t>
  </si>
  <si>
    <t>5:131:7174:429500:429497341,7</t>
  </si>
  <si>
    <t>5:131:7174:429500:429497366,7</t>
  </si>
  <si>
    <t>5:131:7174:429500:429497391,7</t>
  </si>
  <si>
    <t>5:131:7174:429500:429497416,7</t>
  </si>
  <si>
    <t>5:131:7174:429500:429497441,7</t>
  </si>
  <si>
    <t>5:131:7174:429500:429497466,7</t>
  </si>
  <si>
    <t>5:131:7174:429500:429497491,7</t>
  </si>
  <si>
    <t>5:131:7174:429500:429497516,7</t>
  </si>
  <si>
    <t>5:131:7174:429500:429497541,7</t>
  </si>
  <si>
    <t>5:131:7174:429500:429497566,7</t>
  </si>
  <si>
    <t>5:131:7174:429500:429497591,7</t>
  </si>
  <si>
    <t>5:131:7174:429500:429497616,7</t>
  </si>
  <si>
    <t>5:131:7174:429500:429497641,7</t>
  </si>
  <si>
    <t>5:131:7174:429500:429497666,7</t>
  </si>
  <si>
    <t>5:131:7174:429500:429497691,7</t>
  </si>
  <si>
    <t>5:131:7174:429500:429497716,7</t>
  </si>
  <si>
    <t>5:131:7174:429501:429496741,7</t>
  </si>
  <si>
    <t>5:131:7174:429501:429496766,7</t>
  </si>
  <si>
    <t>5:131:7174:429501:429496791,7</t>
  </si>
  <si>
    <t>5:131:7174:429501:429496816,7</t>
  </si>
  <si>
    <t>5:131:7174:429501:429496841,7</t>
  </si>
  <si>
    <t>5:131:7174:429501:429496866,7</t>
  </si>
  <si>
    <t>5:131:7174:429501:429496891,7</t>
  </si>
  <si>
    <t>5:131:7174:429501:429496916,7</t>
  </si>
  <si>
    <t>5:131:7174:429501:429496941,7</t>
  </si>
  <si>
    <t>5:131:7174:429501:429496966,7</t>
  </si>
  <si>
    <t>5:131:7174:429501:429496991,7</t>
  </si>
  <si>
    <t>5:131:7174:429501:429497016,7</t>
  </si>
  <si>
    <t>5:131:7174:429501:429497041,7</t>
  </si>
  <si>
    <t>5:131:7174:429501:429497066,7</t>
  </si>
  <si>
    <t>5:131:7174:429501:429497091,7</t>
  </si>
  <si>
    <t>5:131:7174:429501:429497116,7</t>
  </si>
  <si>
    <t>5:131:7174:429501:429497141,7</t>
  </si>
  <si>
    <t>5:131:7174:429501:429497166,7</t>
  </si>
  <si>
    <t>5:131:7174:429501:429497191,7</t>
  </si>
  <si>
    <t>5:131:7174:429501:429497216,7</t>
  </si>
  <si>
    <t>5:131:7174:429501:429497241,7</t>
  </si>
  <si>
    <t>5:131:7174:429501:429497266,7</t>
  </si>
  <si>
    <t>5:131:7174:429501:429497291,7</t>
  </si>
  <si>
    <t>5:131:7174:429501:429497316,7</t>
  </si>
  <si>
    <t>5:131:7174:429501:429497341,7</t>
  </si>
  <si>
    <t>5:131:7174:429501:429497366,7</t>
  </si>
  <si>
    <t>5:131:7174:429501:429497391,7</t>
  </si>
  <si>
    <t>5:131:7174:429501:429497416,7</t>
  </si>
  <si>
    <t>5:131:7174:429501:429497441,7</t>
  </si>
  <si>
    <t>5:131:7174:429501:429497466,7</t>
  </si>
  <si>
    <t>5:131:7174:429501:429497491,7</t>
  </si>
  <si>
    <t>5:131:7174:429501:429497516,7</t>
  </si>
  <si>
    <t>5:131:7174:429501:429497541,7</t>
  </si>
  <si>
    <t>5:131:7174:429501:429497566,7</t>
  </si>
  <si>
    <t>5:131:7174:429501:429497591,8</t>
  </si>
  <si>
    <t>5:131:7174:429501:429497616,7</t>
  </si>
  <si>
    <t>5:131:7174:429501:429497641,8</t>
  </si>
  <si>
    <t>5:131:7174:429501:429497666,7</t>
  </si>
  <si>
    <t>5:131:7174:429501:429497691,7</t>
  </si>
  <si>
    <t>5:131:7174:429501:429497716,7</t>
  </si>
  <si>
    <t>5:131:7174:429502:429496741,7</t>
  </si>
  <si>
    <t>5:131:7174:429502:429496766,8</t>
  </si>
  <si>
    <t>5:131:7174:429502:429496791,7</t>
  </si>
  <si>
    <t>5:131:7174:429502:429496816,8</t>
  </si>
  <si>
    <t>5:131:7174:429502:429496841,7</t>
  </si>
  <si>
    <t>5:131:7174:429502:429496866,8</t>
  </si>
  <si>
    <t>5:131:7174:429502:429496891,8</t>
  </si>
  <si>
    <t>5:131:7174:429502:429496916,8</t>
  </si>
  <si>
    <t>5:131:7174:429502:429496941,8</t>
  </si>
  <si>
    <t>5:131:7174:429502:429496966,8</t>
  </si>
  <si>
    <t>5:131:7174:429502:429496991,7</t>
  </si>
  <si>
    <t>5:131:7174:429502:429497016,7</t>
  </si>
  <si>
    <t>5:131:7174:429502:429497041,8</t>
  </si>
  <si>
    <t>5:131:7174:429502:429497066,8</t>
  </si>
  <si>
    <t>5:131:7174:429502:429497091,8</t>
  </si>
  <si>
    <t>5:131:7174:429502:429497116,8</t>
  </si>
  <si>
    <t>5:131:7174:429502:429497141,8</t>
  </si>
  <si>
    <t>5:131:7174:429502:429497166,8</t>
  </si>
  <si>
    <t>5:131:7174:429502:429497191,8</t>
  </si>
  <si>
    <t>5:131:7174:429502:429497216,8</t>
  </si>
  <si>
    <t>5:131:7174:429502:429497241,8</t>
  </si>
  <si>
    <t>5:131:7174:429502:429497266,8</t>
  </si>
  <si>
    <t>5:131:7174:429502:429497291,8</t>
  </si>
  <si>
    <t>5:131:7174:429502:429497316,8</t>
  </si>
  <si>
    <t>5:131:7174:429502:429497341,8</t>
  </si>
  <si>
    <t>5:131:7174:429502:429497366,8</t>
  </si>
  <si>
    <t>5:131:7174:429502:429497391,8</t>
  </si>
  <si>
    <t>5:131:7174:429502:429497416,8</t>
  </si>
  <si>
    <t>5:131:7174:429502:429497441,8</t>
  </si>
  <si>
    <t>5:131:7174:429502:429497466,8</t>
  </si>
  <si>
    <t>5:131:7174:429502:429497491,8</t>
  </si>
  <si>
    <t>5:131:7174:429502:429497516,8</t>
  </si>
  <si>
    <t>5:131:7174:429502:429497541,8</t>
  </si>
  <si>
    <t>5:131:7174:429502:429497566,8</t>
  </si>
  <si>
    <t>5:131:7174:429502:429497591,8</t>
  </si>
  <si>
    <t>5:131:7174:429502:429497616,8</t>
  </si>
  <si>
    <t>5:131:7174:429502:429497641,8</t>
  </si>
  <si>
    <t>5:131:7174:429502:429497666,8</t>
  </si>
  <si>
    <t>5:131:7174:429502:429497691,8</t>
  </si>
  <si>
    <t>5:131:7174:429502:429497716,8</t>
  </si>
  <si>
    <t>5:131:7174:429503:429496741,8</t>
  </si>
  <si>
    <t>5:131:7174:429503:429496766,8</t>
  </si>
  <si>
    <t>5:131:7174:429503:429496791,8</t>
  </si>
  <si>
    <t>5:131:7174:429503:429496816,8</t>
  </si>
  <si>
    <t>5:131:7174:429503:429496841,8</t>
  </si>
  <si>
    <t>5:131:7174:429503:429496866,8</t>
  </si>
  <si>
    <t>5:131:7174:429503:429496891,8</t>
  </si>
  <si>
    <t>5:131:7174:429503:429496916,8</t>
  </si>
  <si>
    <t>5:131:7174:429503:429496941,8</t>
  </si>
  <si>
    <t>5:131:7174:429503:429496966,8</t>
  </si>
  <si>
    <t>5:131:7174:429503:429496991,8</t>
  </si>
  <si>
    <t>5:131:7174:429503:429497016,8</t>
  </si>
  <si>
    <t>5:131:7174:429503:429497041,8</t>
  </si>
  <si>
    <t>5:131:7174:429503:429497066,8</t>
  </si>
  <si>
    <t>5:131:7174:429503:429497091,8</t>
  </si>
  <si>
    <t>5:131:7174:429503:429497116,8</t>
  </si>
  <si>
    <t>5:131:7174:429503:429497141,8</t>
  </si>
  <si>
    <t>5:131:7174:429503:429497166,8</t>
  </si>
  <si>
    <t>5:131:7174:429503:429497191,8</t>
  </si>
  <si>
    <t>5:131:7174:429503:429497216,8</t>
  </si>
  <si>
    <t>5:131:7174:429503:429497241,8</t>
  </si>
  <si>
    <t>5:131:7174:429503:429497266,8</t>
  </si>
  <si>
    <t>5:131:7174:429503:429497291,8</t>
  </si>
  <si>
    <t>5:131:7174:429503:429497316,8</t>
  </si>
  <si>
    <t>5:131:7174:429503:429497341,8</t>
  </si>
  <si>
    <t>5:131:7174:429503:429497366,8</t>
  </si>
  <si>
    <t>5:131:7174:429503:429497391,8</t>
  </si>
  <si>
    <t>5:131:7174:429503:429497416,8</t>
  </si>
  <si>
    <t>5:131:7174:429503:429497441,8</t>
  </si>
  <si>
    <t>5:131:7174:429503:429497466,8</t>
  </si>
  <si>
    <t>5:131:7174:429503:429497491,8</t>
  </si>
  <si>
    <t>5:131:7174:429503:429497516,8</t>
  </si>
  <si>
    <t>5:131:7174:429503:429497541,8</t>
  </si>
  <si>
    <t>5:131:7174:429503:429497566,8</t>
  </si>
  <si>
    <t>5:131:7174:429503:429497591,8</t>
  </si>
  <si>
    <t>5:131:7174:429503:429497616,8</t>
  </si>
  <si>
    <t>5:131:7174:429503:429497641,8</t>
  </si>
  <si>
    <t>5:131:7174:429503:429497666,8</t>
  </si>
  <si>
    <t>5:131:7174:429503:429497691,8</t>
  </si>
  <si>
    <t>5:131:7174:429503:429497716,8</t>
  </si>
  <si>
    <t>5:131:7174:429504:429496741,8</t>
  </si>
  <si>
    <t>5:131:7174:429504:429496766,8</t>
  </si>
  <si>
    <t>5:131:7174:429504:429496791,8</t>
  </si>
  <si>
    <t>5:131:7174:429504:429496816,8</t>
  </si>
  <si>
    <t>5:131:7174:429504:429496841,8</t>
  </si>
  <si>
    <t>5:131:7174:429504:429496866,8</t>
  </si>
  <si>
    <t>5:131:7174:429504:429496891,8</t>
  </si>
  <si>
    <t>5:131:7174:429504:429496916,8</t>
  </si>
  <si>
    <t>5:131:7174:429504:429496941,8</t>
  </si>
  <si>
    <t>5:131:7174:429504:429496966,8</t>
  </si>
  <si>
    <t>5:131:7174:429504:429496991,8</t>
  </si>
  <si>
    <t>5:131:7174:429504:429497016,8</t>
  </si>
  <si>
    <t>5:131:7174:429504:429497041,8</t>
  </si>
  <si>
    <t>5:131:7174:429504:429497066,8</t>
  </si>
  <si>
    <t>5:131:7174:429504:429497091,8</t>
  </si>
  <si>
    <t>5:131:7174:429504:429497116,8</t>
  </si>
  <si>
    <t>5:131:7174:429504:429497141,8</t>
  </si>
  <si>
    <t>5:131:7174:429504:429497166,8</t>
  </si>
  <si>
    <t>5:131:7174:429504:429497191,8</t>
  </si>
  <si>
    <t>5:131:7174:429504:429497216,8</t>
  </si>
  <si>
    <t>5:131:7174:429504:429497241,8</t>
  </si>
  <si>
    <t>5:131:7174:429504:429497266,8</t>
  </si>
  <si>
    <t>5:131:7174:429504:429497291,8</t>
  </si>
  <si>
    <t>5:131:7174:429504:429497316,8</t>
  </si>
  <si>
    <t>5:131:7174:429504:429497341,8</t>
  </si>
  <si>
    <t>5:131:7174:429504:429497366,8</t>
  </si>
  <si>
    <t>5:131:7174:429504:429497391,8</t>
  </si>
  <si>
    <t>5:131:7174:429504:429497416,8</t>
  </si>
  <si>
    <t>5:131:7174:429504:429497441,8</t>
  </si>
  <si>
    <t>5:131:7174:429504:429497466,9</t>
  </si>
  <si>
    <t>5:131:7174:429504:429497491,8</t>
  </si>
  <si>
    <t>5:131:7174:429504:429497516,9</t>
  </si>
  <si>
    <t>5:131:7174:429504:429497541,8</t>
  </si>
  <si>
    <t>5:131:7174:429504:429497566,8</t>
  </si>
  <si>
    <t>5:131:7174:429504:429497591,9</t>
  </si>
  <si>
    <t>5:131:7174:429504:429497616,8</t>
  </si>
  <si>
    <t>5:131:7174:429504:429497641,9</t>
  </si>
  <si>
    <t>5:131:7174:429504:429497666,9</t>
  </si>
  <si>
    <t>5:131:7174:429504:429497691,8</t>
  </si>
  <si>
    <t>5:131:7174:429504:429497716,9</t>
  </si>
  <si>
    <t>5:131:7174:429505:429496741,9</t>
  </si>
  <si>
    <t>5:131:7174:429505:429496766,9</t>
  </si>
  <si>
    <t>5:131:7174:429505:429496791,9</t>
  </si>
  <si>
    <t>5:131:7174:429505:429496816,9</t>
  </si>
  <si>
    <t>5:131:7174:429505:429496841,8</t>
  </si>
  <si>
    <t>5:131:7174:429505:429496866,9</t>
  </si>
  <si>
    <t>5:131:7174:429505:429496891,9</t>
  </si>
  <si>
    <t>5:131:7174:429505:429496916,9</t>
  </si>
  <si>
    <t>5:131:7174:429505:429496941,9</t>
  </si>
  <si>
    <t>5:131:7174:429505:429496966,9</t>
  </si>
  <si>
    <t>5:131:7174:429505:429496991,9</t>
  </si>
  <si>
    <t>5:131:7174:429505:429497016,9</t>
  </si>
  <si>
    <t>5:131:7174:429505:429497041,9</t>
  </si>
  <si>
    <t>5:131:7174:429505:429497066,9</t>
  </si>
  <si>
    <t>5:131:7174:429505:429497091,9</t>
  </si>
  <si>
    <t>5:131:7174:429505:429497116,9</t>
  </si>
  <si>
    <t>5:131:7174:429505:429497141,9</t>
  </si>
  <si>
    <t>5:131:7174:429505:429497166,9</t>
  </si>
  <si>
    <t>5:131:7174:429505:429497191,9</t>
  </si>
  <si>
    <t>5:131:7174:429505:429497216,9</t>
  </si>
  <si>
    <t>5:131:7174:429505:429497241,9</t>
  </si>
  <si>
    <t>5:131:7174:429505:429497266,9</t>
  </si>
  <si>
    <t>5:131:7174:429505:429497291,9</t>
  </si>
  <si>
    <t>5:131:7174:429505:429497316,9</t>
  </si>
  <si>
    <t>5:131:7174:429505:429497341,9</t>
  </si>
  <si>
    <t>5:131:7174:429505:429497366,9</t>
  </si>
  <si>
    <t>5:131:7174:429505:429497391,9</t>
  </si>
  <si>
    <t>5:131:7174:429505:429497416,9</t>
  </si>
  <si>
    <t>5:131:7174:429505:429497441,9</t>
  </si>
  <si>
    <t>5:131:7174:429505:429497466,9</t>
  </si>
  <si>
    <t>5:131:7174:429505:429497491,9</t>
  </si>
  <si>
    <t>5:131:7174:429505:429497516,9</t>
  </si>
  <si>
    <t>5:131:7174:429505:429497541,9</t>
  </si>
  <si>
    <t>5:131:7174:429505:429497566,9</t>
  </si>
  <si>
    <t>5:131:7174:429505:429497591,9</t>
  </si>
  <si>
    <t>5:131:7174:429505:429497616,9</t>
  </si>
  <si>
    <t>5:131:7174:429505:429497641,9</t>
  </si>
  <si>
    <t>5:131:7174:429505:429497666,9</t>
  </si>
  <si>
    <t>5:131:7174:429505:429497691,9</t>
  </si>
  <si>
    <t>5:131:7174:429505:429497716,9</t>
  </si>
  <si>
    <t>5:131:7174:429506:429496741,9</t>
  </si>
  <si>
    <t>5:131:7174:429506:429496766,9</t>
  </si>
  <si>
    <t>5:131:7174:429506:429496791,9</t>
  </si>
  <si>
    <t>5:131:7174:429506:429496816,9</t>
  </si>
  <si>
    <t>5:131:7174:429506:429496841,9</t>
  </si>
  <si>
    <t>5:131:7174:429506:429496866,9</t>
  </si>
  <si>
    <t>5:131:7174:429506:429496891,9</t>
  </si>
  <si>
    <t>5:131:7174:429506:429496916,9</t>
  </si>
  <si>
    <t>5:131:7174:429506:429496941,9</t>
  </si>
  <si>
    <t>5:131:7174:429506:429496966,9</t>
  </si>
  <si>
    <t>5:131:7174:429506:429496991,9</t>
  </si>
  <si>
    <t>5:131:7174:429506:429497016,9</t>
  </si>
  <si>
    <t>5:131:7174:429506:429497041,9</t>
  </si>
  <si>
    <t>5:131:7174:429506:429497066,9</t>
  </si>
  <si>
    <t>5:131:7174:429506:429497091,9</t>
  </si>
  <si>
    <t>5:131:7174:429506:429497116,9</t>
  </si>
  <si>
    <t>5:131:7174:429506:429497141,9</t>
  </si>
  <si>
    <t>5:131:7174:429506:429497166,9</t>
  </si>
  <si>
    <t>5:131:7174:429506:429497191,9</t>
  </si>
  <si>
    <t>5:131:7174:429506:429497216,9</t>
  </si>
  <si>
    <t>5:131:7174:429506:429497241,9</t>
  </si>
  <si>
    <t>5:131:7174:429506:429497266,9</t>
  </si>
  <si>
    <t>5:131:7174:429506:429497291,9</t>
  </si>
  <si>
    <t>5:131:7174:429506:429497316,9</t>
  </si>
  <si>
    <t>5:131:7174:429506:429497341,9</t>
  </si>
  <si>
    <t>5:131:7174:429506:429497366,9</t>
  </si>
  <si>
    <t>5:131:7174:429506:429497391,9</t>
  </si>
  <si>
    <t>5:131:7174:429506:429497416,9</t>
  </si>
  <si>
    <t>5:131:7174:429506:429497441,9</t>
  </si>
  <si>
    <t>5:131:7174:429506:429497466,9</t>
  </si>
  <si>
    <t>5:131:7174:429506:429497491,9</t>
  </si>
  <si>
    <t>5:131:7174:429506:429497517,0</t>
  </si>
  <si>
    <t>5:131:7174:429506:429497541,9</t>
  </si>
  <si>
    <t>5:131:7174:429506:429497566,9</t>
  </si>
  <si>
    <t>5:131:7174:429506:429497591,9</t>
  </si>
  <si>
    <t>5:131:7174:429506:429497616,9</t>
  </si>
  <si>
    <t>5:131:7174:429506:429497642,0</t>
  </si>
  <si>
    <t>5:131:7174:429506:429497666,9</t>
  </si>
  <si>
    <t>5:131:7174:429506:429497691,9</t>
  </si>
  <si>
    <t>5:131:7174:429506:429497716,9</t>
  </si>
  <si>
    <t>5:131:7174:429507:429496742,0</t>
  </si>
  <si>
    <t>5:131:7174:429507:429496766,9</t>
  </si>
  <si>
    <t>5:131:7174:429507:429496792,0</t>
  </si>
  <si>
    <t>5:131:7174:429507:429496817,0</t>
  </si>
  <si>
    <t>5:131:7174:429507:429496842,0</t>
  </si>
  <si>
    <t>5:131:7174:429507:429496866,9</t>
  </si>
  <si>
    <t>5:131:7174:429507:429496892,0</t>
  </si>
  <si>
    <t>5:131:7174:429507:429496917,0</t>
  </si>
  <si>
    <t>5:131:7174:429507:429496942,0</t>
  </si>
  <si>
    <t>5:131:7174:429507:429496966,9</t>
  </si>
  <si>
    <t>5:131:7174:429507:429496992,0</t>
  </si>
  <si>
    <t>5:131:7174:429507:429497017,0</t>
  </si>
  <si>
    <t>5:131:7174:429507:429497042,0</t>
  </si>
  <si>
    <t>5:131:7174:429507:429497067,0</t>
  </si>
  <si>
    <t>5:131:7174:429507:429497091,9</t>
  </si>
  <si>
    <t>5:131:7174:429507:429497116,9</t>
  </si>
  <si>
    <t>5:131:7174:429507:429497142,0</t>
  </si>
  <si>
    <t>5:131:7174:429507:429497167,0</t>
  </si>
  <si>
    <t>5:131:7174:429507:429497192,0</t>
  </si>
  <si>
    <t>5:131:7174:429507:429497217,0</t>
  </si>
  <si>
    <t>5:131:7174:429507:429497241,9</t>
  </si>
  <si>
    <t>5:131:7174:429507:429497267,0</t>
  </si>
  <si>
    <t>5:131:7174:429507:429497292,0</t>
  </si>
  <si>
    <t>5:131:7174:429507:429497317,0</t>
  </si>
  <si>
    <t>5:131:7174:429507:429497342,0</t>
  </si>
  <si>
    <t>5:131:7174:429507:429497367,0</t>
  </si>
  <si>
    <t>5:131:7174:429507:429497392,0</t>
  </si>
  <si>
    <t>5:131:7174:429507:429497417,0</t>
  </si>
  <si>
    <t>5:131:7174:429507:429497442,0</t>
  </si>
  <si>
    <t>5:131:7174:429507:429497467,0</t>
  </si>
  <si>
    <t>5:131:7174:429507:429497492,0</t>
  </si>
  <si>
    <t>5:131:7174:429507:429497517,0</t>
  </si>
  <si>
    <t>5:131:7174:429507:429497542,0</t>
  </si>
  <si>
    <t>5:131:7174:429507:429497567,0</t>
  </si>
  <si>
    <t>5:131:7174:429507:429497592,0</t>
  </si>
  <si>
    <t>5:131:7174:429507:429497617,0</t>
  </si>
  <si>
    <t>5:131:7174:429507:429497642,0</t>
  </si>
  <si>
    <t>5:131:7174:429507:429497667,0</t>
  </si>
  <si>
    <t>5:131:7174:429507:429497692,0</t>
  </si>
  <si>
    <t>5:131:7174:429507:429497717,0</t>
  </si>
  <si>
    <t>5:131:7174:429508:429496742,0</t>
  </si>
  <si>
    <t>5:131:7174:429508:429496767,0</t>
  </si>
  <si>
    <t>5:131:7174:429508:429496792,0</t>
  </si>
  <si>
    <t>5:131:7174:429508:429496817,0</t>
  </si>
  <si>
    <t>5:131:7174:429508:429496842,0</t>
  </si>
  <si>
    <t>5:131:7174:429508:429496867,0</t>
  </si>
  <si>
    <t>5:131:7174:429508:429496892,0</t>
  </si>
  <si>
    <t>5:131:7174:429508:429496917,0</t>
  </si>
  <si>
    <t>5:131:7174:429508:429496942,0</t>
  </si>
  <si>
    <t>5:131:7174:429508:429496967,0</t>
  </si>
  <si>
    <t>5:131:7174:429508:429496992,0</t>
  </si>
  <si>
    <t>5:131:7174:429508:429497017,0</t>
  </si>
  <si>
    <t>5:131:7174:429508:429497042,0</t>
  </si>
  <si>
    <t>5:131:7174:429508:429497067,0</t>
  </si>
  <si>
    <t>5:131:7174:429508:429497092,0</t>
  </si>
  <si>
    <t>5:131:7174:429508:429497117,0</t>
  </si>
  <si>
    <t>5:131:7174:429508:429497142,0</t>
  </si>
  <si>
    <t>5:131:7174:429508:429497167,0</t>
  </si>
  <si>
    <t>5:131:7174:429508:429497192,0</t>
  </si>
  <si>
    <t>5:131:7174:429508:429497217,0</t>
  </si>
  <si>
    <t>5:131:7174:429508:429497242,0</t>
  </si>
  <si>
    <t>5:131:7174:429508:429497267,0</t>
  </si>
  <si>
    <t>5:131:7174:429508:429497292,0</t>
  </si>
  <si>
    <t>5:131:7174:429508:429497317,0</t>
  </si>
  <si>
    <t>5:131:7174:429508:429497342,0</t>
  </si>
  <si>
    <t>5:131:7174:429508:429497367,0</t>
  </si>
  <si>
    <t>5:131:7174:429508:429497392,0</t>
  </si>
  <si>
    <t>5:131:7174:429508:429497417,0</t>
  </si>
  <si>
    <t>5:131:7174:429508:429497442,0</t>
  </si>
  <si>
    <t>5:131:7174:429508:429497467,0</t>
  </si>
  <si>
    <t>5:131:7174:429508:429497492,0</t>
  </si>
  <si>
    <t>5:131:7174:429508:429497517,0</t>
  </si>
  <si>
    <t>5:131:7174:429508:429497542,0</t>
  </si>
  <si>
    <t>5:131:7174:429508:429497567,0</t>
  </si>
  <si>
    <t>5:131:7174:429508:429497592,0</t>
  </si>
  <si>
    <t>5:131:7174:429508:429497617,0</t>
  </si>
  <si>
    <t>5:131:7174:429508:429497642,0</t>
  </si>
  <si>
    <t>5:131:7174:429508:429497667,0</t>
  </si>
  <si>
    <t>5:131:7174:429508:429497692,0</t>
  </si>
  <si>
    <t>5:131:7174:429508:429497717,0</t>
  </si>
  <si>
    <t>5:131:7174:429509:429496742,0</t>
  </si>
  <si>
    <t>5:131:7174:429509:429496767,0</t>
  </si>
  <si>
    <t>5:131:7174:429509:429496792,0</t>
  </si>
  <si>
    <t>5:131:7174:429509:429496817,0</t>
  </si>
  <si>
    <t>5:131:7174:429509:429496842,0</t>
  </si>
  <si>
    <t>5:131:7174:429509:429496867,0</t>
  </si>
  <si>
    <t>5:131:7174:429509:429496892,0</t>
  </si>
  <si>
    <t>5:131:7174:429509:429496917,0</t>
  </si>
  <si>
    <t>5:131:7174:429509:429496942,0</t>
  </si>
  <si>
    <t>5:131:7174:429509:429496967,0</t>
  </si>
  <si>
    <t>5:131:7174:429509:429496992,0</t>
  </si>
  <si>
    <t>5:131:7174:429509:429497017,0</t>
  </si>
  <si>
    <t>5:131:7174:429509:429497042,0</t>
  </si>
  <si>
    <t>5:131:7174:429509:429497067,0</t>
  </si>
  <si>
    <t>5:131:7174:429509:429497092,0</t>
  </si>
  <si>
    <t>5:131:7174:429509:429497117,0</t>
  </si>
  <si>
    <t>5:131:7174:429509:429497142,0</t>
  </si>
  <si>
    <t>5:131:7174:429509:429497167,0</t>
  </si>
  <si>
    <t>5:131:7174:429509:429497192,0</t>
  </si>
  <si>
    <t>5:131:7174:429509:429497217,0</t>
  </si>
  <si>
    <t>5:131:7174:429509:429497242,0</t>
  </si>
  <si>
    <t>5:131:7174:429509:429497267,0</t>
  </si>
  <si>
    <t>5:131:7174:429509:429497292,0</t>
  </si>
  <si>
    <t>5:131:7174:429509:429497317,0</t>
  </si>
  <si>
    <t>5:131:7174:429509:429497342,0</t>
  </si>
  <si>
    <t>5:131:7174:429509:429497367,0</t>
  </si>
  <si>
    <t>5:131:7174:429509:429497392,0</t>
  </si>
  <si>
    <t>5:131:7174:429509:429497417,0</t>
  </si>
  <si>
    <t>5:131:7174:429509:429497442,0</t>
  </si>
  <si>
    <t>5:131:7174:429509:429497467,0</t>
  </si>
  <si>
    <t>5:131:7174:429509:429497492,0</t>
  </si>
  <si>
    <t>5:131:7174:429509:429497517,1</t>
  </si>
  <si>
    <t>5:131:7174:429509:429497542,0</t>
  </si>
  <si>
    <t>5:131:7174:429509:429497567,1</t>
  </si>
  <si>
    <t>5:131:7174:429509:429497592,1</t>
  </si>
  <si>
    <t>5:131:7174:429509:429497617,1</t>
  </si>
  <si>
    <t>5:131:7174:429509:429497642,1</t>
  </si>
  <si>
    <t>5:131:7174:429509:429497667,1</t>
  </si>
  <si>
    <t>5:131:7174:429509:429497692,0</t>
  </si>
  <si>
    <t>5:131:7174:429509:429497717,1</t>
  </si>
  <si>
    <t>5:131:7174:429510:429496742,1</t>
  </si>
  <si>
    <t>5:131:7174:429510:429496767,0</t>
  </si>
  <si>
    <t>5:131:7174:429510:429496792,1</t>
  </si>
  <si>
    <t>5:131:7174:429510:429496817,1</t>
  </si>
  <si>
    <t>5:131:7174:429510:429496842,1</t>
  </si>
  <si>
    <t>5:131:7174:429510:429496867,0</t>
  </si>
  <si>
    <t>5:131:7174:429510:429496892,1</t>
  </si>
  <si>
    <t>5:131:7174:429510:429496917,1</t>
  </si>
  <si>
    <t>5:131:7174:429510:429496942,0</t>
  </si>
  <si>
    <t>5:131:7174:429510:429496967,1</t>
  </si>
  <si>
    <t>5:131:7174:429510:429496992,1</t>
  </si>
  <si>
    <t>5:131:7174:429510:429497017,1</t>
  </si>
  <si>
    <t>5:131:7174:429510:429497042,1</t>
  </si>
  <si>
    <t>5:131:7174:429510:429497067,1</t>
  </si>
  <si>
    <t>5:131:7174:429510:429497092,1</t>
  </si>
  <si>
    <t>5:131:7174:429510:429497117,1</t>
  </si>
  <si>
    <t>5:131:7174:429510:429497142,1</t>
  </si>
  <si>
    <t>5:131:7174:429510:429497167,1</t>
  </si>
  <si>
    <t>5:131:7174:429510:429497192,1</t>
  </si>
  <si>
    <t>5:131:7174:429510:429497217,1</t>
  </si>
  <si>
    <t>5:131:7174:429510:429497242,1</t>
  </si>
  <si>
    <t>5:131:7174:429510:429497267,1</t>
  </si>
  <si>
    <t>5:131:7174:429510:429497292,1</t>
  </si>
  <si>
    <t>5:131:7174:429510:429497317,1</t>
  </si>
  <si>
    <t>5:131:7174:429510:429497342,1</t>
  </si>
  <si>
    <t>5:131:7174:429510:429497367,1</t>
  </si>
  <si>
    <t>5:131:7174:429510:429497392,1</t>
  </si>
  <si>
    <t>5:131:7174:429510:429497417,1</t>
  </si>
  <si>
    <t>5:131:7174:429510:429497442,1</t>
  </si>
  <si>
    <t>5:131:7174:429510:429497467,1</t>
  </si>
  <si>
    <t>5:131:7174:429510:429497492,1</t>
  </si>
  <si>
    <t>5:131:7174:429510:429497517,1</t>
  </si>
  <si>
    <t>5:131:7174:429510:429497542,1</t>
  </si>
  <si>
    <t>5:131:7174:429510:429497567,1</t>
  </si>
  <si>
    <t>5:131:7174:429510:429497592,1</t>
  </si>
  <si>
    <t>5:131:7174:429510:429497617,1</t>
  </si>
  <si>
    <t>5:131:7174:429510:429497642,1</t>
  </si>
  <si>
    <t>5:131:7174:429510:429497667,1</t>
  </si>
  <si>
    <t>5:131:7174:429510:429497692,1</t>
  </si>
  <si>
    <t>5:131:7174:429510:429497717,1</t>
  </si>
  <si>
    <t>5:131:7174:429511:429496742,1</t>
  </si>
  <si>
    <t>5:131:7174:429511:429496767,1</t>
  </si>
  <si>
    <t>5:131:7174:429511:429496792,1</t>
  </si>
  <si>
    <t>5:131:7174:429511:429496817,1</t>
  </si>
  <si>
    <t>5:131:7174:429511:429496842,1</t>
  </si>
  <si>
    <t>5:131:7174:429511:429496867,1</t>
  </si>
  <si>
    <t>5:131:7174:429511:429496892,1</t>
  </si>
  <si>
    <t>5:131:7174:429511:429496917,1</t>
  </si>
  <si>
    <t>5:131:7174:429511:429496942,1</t>
  </si>
  <si>
    <t>5:131:7174:429511:429496967,1</t>
  </si>
  <si>
    <t>5:131:7174:429511:429496992,1</t>
  </si>
  <si>
    <t>5:131:7174:429511:429497017,1</t>
  </si>
  <si>
    <t>5:131:7174:429511:429497042,1</t>
  </si>
  <si>
    <t>5:131:7174:429511:429497067,1</t>
  </si>
  <si>
    <t>5:131:7174:429511:429497092,1</t>
  </si>
  <si>
    <t>5:131:7174:429511:429497117,1</t>
  </si>
  <si>
    <t>5:131:7174:429511:429497142,1</t>
  </si>
  <si>
    <t>5:131:7174:429511:429497167,1</t>
  </si>
  <si>
    <t>5:131:7174:429511:429497192,1</t>
  </si>
  <si>
    <t>5:131:7174:429511:429497217,1</t>
  </si>
  <si>
    <t>5:131:7174:429511:429497242,1</t>
  </si>
  <si>
    <t>5:131:7174:429511:429497267,1</t>
  </si>
  <si>
    <t>5:131:7174:429511:429497292,1</t>
  </si>
  <si>
    <t>5:131:7174:429511:429497317,1</t>
  </si>
  <si>
    <t>5:131:7174:429511:429497342,1</t>
  </si>
  <si>
    <t>5:131:7174:429511:429497367,1</t>
  </si>
  <si>
    <t>5:131:7174:429511:429497392,1</t>
  </si>
  <si>
    <t>5:131:7174:429511:429497417,1</t>
  </si>
  <si>
    <t>5:131:7174:429511:429497442,1</t>
  </si>
  <si>
    <t>5:131:7174:429511:429497467,1</t>
  </si>
  <si>
    <t>5:131:7174:429511:429497492,1</t>
  </si>
  <si>
    <t>5:131:7174:429511:429497517,1</t>
  </si>
  <si>
    <t>5:131:7174:429511:429497542,1</t>
  </si>
  <si>
    <t>5:131:7174:429511:429497567,1</t>
  </si>
  <si>
    <t>5:131:7174:429511:429497592,1</t>
  </si>
  <si>
    <t>5:131:7174:429511:429497617,1</t>
  </si>
  <si>
    <t>5:131:7174:429511:429497642,1</t>
  </si>
  <si>
    <t>5:131:7174:429511:429497667,1</t>
  </si>
  <si>
    <t>5:131:7174:429511:429497692,1</t>
  </si>
  <si>
    <t>5:131:7174:429511:429497717,1</t>
  </si>
  <si>
    <t>5:131:7174:429512:429496742,1</t>
  </si>
  <si>
    <t>5:131:7174:429512:429496767,1</t>
  </si>
  <si>
    <t>5:131:7174:429512:429496792,1</t>
  </si>
  <si>
    <t>5:131:7174:429512:429496817,2</t>
  </si>
  <si>
    <t>5:131:7174:429512:429496842,1</t>
  </si>
  <si>
    <t>5:131:7174:429512:429496867,2</t>
  </si>
  <si>
    <t>5:131:7174:429512:429496892,2</t>
  </si>
  <si>
    <t>5:131:7174:429512:429496917,1</t>
  </si>
  <si>
    <t>5:131:7174:429512:429496942,2</t>
  </si>
  <si>
    <t>5:131:7174:429512:429496967,1</t>
  </si>
  <si>
    <t>5:131:7174:429512:429496992,2</t>
  </si>
  <si>
    <t>5:131:7174:429512:429497017,2</t>
  </si>
  <si>
    <t>5:131:7174:429512:429497042,2</t>
  </si>
  <si>
    <t>5:131:7174:429512:429497067,2</t>
  </si>
  <si>
    <t>5:131:7174:429512:429497092,2</t>
  </si>
  <si>
    <t>5:131:7174:429512:429497117,2</t>
  </si>
  <si>
    <t>5:131:7174:429512:429497142,2</t>
  </si>
  <si>
    <t>5:131:7174:429512:429497167,2</t>
  </si>
  <si>
    <t>5:131:7174:429512:429497192,2</t>
  </si>
  <si>
    <t>5:131:7174:429512:429497217,2</t>
  </si>
  <si>
    <t>5:131:7174:429512:429497242,2</t>
  </si>
  <si>
    <t>5:131:7174:429512:429497267,2</t>
  </si>
  <si>
    <t>5:131:7174:429512:429497292,2</t>
  </si>
  <si>
    <t>5:131:7174:429512:429497317,2</t>
  </si>
  <si>
    <t>5:131:7174:429512:429497342,2</t>
  </si>
  <si>
    <t>5:131:7174:429512:429497367,2</t>
  </si>
  <si>
    <t>5:131:7174:429512:429497392,2</t>
  </si>
  <si>
    <t>5:131:7174:429512:429497417,2</t>
  </si>
  <si>
    <t>5:131:7174:429512:429497442,2</t>
  </si>
  <si>
    <t>5:131:7174:429512:429497467,2</t>
  </si>
  <si>
    <t>5:131:7174:429512:429497492,2</t>
  </si>
  <si>
    <t>5:131:7174:429512:429497517,2</t>
  </si>
  <si>
    <t>5:131:7174:429512:429497542,2</t>
  </si>
  <si>
    <t>5:131:7174:429512:429497567,2</t>
  </si>
  <si>
    <t>5:131:7174:429512:429497592,2</t>
  </si>
  <si>
    <t>5:131:7174:429512:429497617,2</t>
  </si>
  <si>
    <t>5:131:7174:429512:429497642,2</t>
  </si>
  <si>
    <t>5:131:7174:429512:429497667,2</t>
  </si>
  <si>
    <t>5:131:7174:429512:429497692,2</t>
  </si>
  <si>
    <t>5:131:7174:429512:429497717,2</t>
  </si>
  <si>
    <t>5:131:7174:429513:429496742,2</t>
  </si>
  <si>
    <t>5:131:7174:429513:429496767,2</t>
  </si>
  <si>
    <t>5:131:7174:429513:429496792,2</t>
  </si>
  <si>
    <t>5:131:7174:429513:429496817,2</t>
  </si>
  <si>
    <t>5:131:7174:429513:429496842,2</t>
  </si>
  <si>
    <t>5:131:7174:429513:429496867,2</t>
  </si>
  <si>
    <t>5:131:7174:429513:429496892,2</t>
  </si>
  <si>
    <t>5:131:7174:429513:429496917,2</t>
  </si>
  <si>
    <t>5:131:7174:429513:429496942,2</t>
  </si>
  <si>
    <t>5:131:7174:429513:429496967,2</t>
  </si>
  <si>
    <t>5:131:7174:429513:429496992,2</t>
  </si>
  <si>
    <t>5:131:7174:429513:429497017,2</t>
  </si>
  <si>
    <t>5:131:7174:429513:429497042,2</t>
  </si>
  <si>
    <t>5:131:7174:429513:429497067,2</t>
  </si>
  <si>
    <t>5:131:7174:429513:429497092,2</t>
  </si>
  <si>
    <t>5:131:7174:429513:429497117,2</t>
  </si>
  <si>
    <t>5:131:7174:429513:429497142,2</t>
  </si>
  <si>
    <t>5:131:7174:429513:429497167,2</t>
  </si>
  <si>
    <t>5:131:7174:429513:429497192,2</t>
  </si>
  <si>
    <t>5:131:7174:429513:429497217,2</t>
  </si>
  <si>
    <t>5:131:7174:429513:429497242,2</t>
  </si>
  <si>
    <t>5:131:7174:429513:429497267,2</t>
  </si>
  <si>
    <t>5:131:7174:429513:429497292,2</t>
  </si>
  <si>
    <t>5:131:7174:429513:429497317,2</t>
  </si>
  <si>
    <t>5:131:7174:429513:429497342,2</t>
  </si>
  <si>
    <t>5:131:7174:429513:429497367,2</t>
  </si>
  <si>
    <t>5:131:7174:429513:429497392,2</t>
  </si>
  <si>
    <t>5:131:7174:429513:429497417,2</t>
  </si>
  <si>
    <t>5:131:7174:429513:429497442,2</t>
  </si>
  <si>
    <t>5:131:7174:429513:429497467,2</t>
  </si>
  <si>
    <t>5:131:7174:429513:429497492,2</t>
  </si>
  <si>
    <t>5:131:7174:429513:429497517,2</t>
  </si>
  <si>
    <t>5:131:7174:429513:429497542,2</t>
  </si>
  <si>
    <t>5:131:7174:429513:429497567,2</t>
  </si>
  <si>
    <t>5:131:7174:429513:429497592,2</t>
  </si>
  <si>
    <t>5:131:7174:429513:429497617,2</t>
  </si>
  <si>
    <t>5:131:7174:429513:429497642,2</t>
  </si>
  <si>
    <t>5:131:7174:429513:429497667,2</t>
  </si>
  <si>
    <t>5:131:7174:429513:429497692,2</t>
  </si>
  <si>
    <t>5:131:7174:429513:429497717,2</t>
  </si>
  <si>
    <t>5:131:7174:429514:429496742,2</t>
  </si>
  <si>
    <t>5:131:7174:429514:429496767,2</t>
  </si>
  <si>
    <t>5:131:7174:429514:429496792,2</t>
  </si>
  <si>
    <t>5:131:7174:429514:429496817,2</t>
  </si>
  <si>
    <t>5:131:7174:429514:429496842,2</t>
  </si>
  <si>
    <t>5:131:7174:429514:429496867,2</t>
  </si>
  <si>
    <t>5:131:7174:429514:429496892,2</t>
  </si>
  <si>
    <t>5:131:7174:429514:429496917,2</t>
  </si>
  <si>
    <t>5:131:7174:429514:429496942,2</t>
  </si>
  <si>
    <t>5:131:7174:429514:429496967,2</t>
  </si>
  <si>
    <t>5:131:7174:429514:429496992,2</t>
  </si>
  <si>
    <t>5:131:7174:429514:429497017,2</t>
  </si>
  <si>
    <t>5:131:7174:429514:429497042,2</t>
  </si>
  <si>
    <t>5:131:7174:429514:429497067,2</t>
  </si>
  <si>
    <t>5:131:7174:429514:429497092,2</t>
  </si>
  <si>
    <t>5:131:7174:429514:429497117,2</t>
  </si>
  <si>
    <t>5:131:7174:429514:429497142,2</t>
  </si>
  <si>
    <t>5:131:7174:429514:429497167,2</t>
  </si>
  <si>
    <t>5:131:7174:429514:429497192,3</t>
  </si>
  <si>
    <t>5:131:7174:429514:429497217,2</t>
  </si>
  <si>
    <t>5:131:7174:429514:429497242,2</t>
  </si>
  <si>
    <t>5:131:7174:429514:429497267,2</t>
  </si>
  <si>
    <t>5:131:7174:429514:429497292,2</t>
  </si>
  <si>
    <t>5:131:7174:429514:429497317,2</t>
  </si>
  <si>
    <t>5:131:7174:429514:429497342,2</t>
  </si>
  <si>
    <t>5:131:7174:429514:429497367,2</t>
  </si>
  <si>
    <t>5:131:7174:429514:429497392,2</t>
  </si>
  <si>
    <t>5:131:7174:429514:429497417,2</t>
  </si>
  <si>
    <t>5:131:7174:429514:429497442,2</t>
  </si>
  <si>
    <t>5:131:7174:429514:429497467,2</t>
  </si>
  <si>
    <t>5:131:7174:429514:429497492,2</t>
  </si>
  <si>
    <t>5:131:7174:429514:429497517,2</t>
  </si>
  <si>
    <t>5:131:7174:429514:429497542,2</t>
  </si>
  <si>
    <t>5:131:7174:429514:429497567,2</t>
  </si>
  <si>
    <t>5:131:7174:429514:429497592,2</t>
  </si>
  <si>
    <t>5:131:7174:429514:429497617,3</t>
  </si>
  <si>
    <t>5:131:7174:429514:429497642,3</t>
  </si>
  <si>
    <t>5:131:7174:429514:429497667,2</t>
  </si>
  <si>
    <t>5:131:7174:429514:429497692,3</t>
  </si>
  <si>
    <t>5:131:7174:429514:429497717,2</t>
  </si>
  <si>
    <t>5:131:7174:429515:429496742,2</t>
  </si>
  <si>
    <t>5:131:7174:429515:429496767,3</t>
  </si>
  <si>
    <t>5:131:7174:429515:429496792,3</t>
  </si>
  <si>
    <t>5:131:7174:429515:429496817,3</t>
  </si>
  <si>
    <t>5:131:7174:429515:429496842,3</t>
  </si>
  <si>
    <t>5:131:7174:429515:429496867,3</t>
  </si>
  <si>
    <t>5:131:7174:429515:429496892,3</t>
  </si>
  <si>
    <t>5:131:7174:429515:429496917,3</t>
  </si>
  <si>
    <t>5:131:7174:429515:429496942,3</t>
  </si>
  <si>
    <t>5:131:7174:429515:429496967,3</t>
  </si>
  <si>
    <t>5:131:7174:429515:429496992,3</t>
  </si>
  <si>
    <t>5:131:7174:429515:429497017,3</t>
  </si>
  <si>
    <t>5:131:7174:429515:429497042,3</t>
  </si>
  <si>
    <t>5:131:7174:429515:429497067,3</t>
  </si>
  <si>
    <t>5:131:7174:429515:429497092,3</t>
  </si>
  <si>
    <t>5:131:7174:429515:429497117,3</t>
  </si>
  <si>
    <t>5:131:7174:429515:429497142,3</t>
  </si>
  <si>
    <t>5:131:7174:429515:429497167,3</t>
  </si>
  <si>
    <t>5:131:7174:429515:429497192,3</t>
  </si>
  <si>
    <t>5:131:7174:429515:429497217,3</t>
  </si>
  <si>
    <t>5:131:7174:429515:429497242,3</t>
  </si>
  <si>
    <t>5:131:7174:429515:429497267,3</t>
  </si>
  <si>
    <t>5:131:7174:429515:429497292,3</t>
  </si>
  <si>
    <t>5:131:7174:429515:429497317,3</t>
  </si>
  <si>
    <t>5:131:7174:429515:429497342,3</t>
  </si>
  <si>
    <t>5:131:7174:429515:429497367,3</t>
  </si>
  <si>
    <t>5:131:7174:429515:429497392,3</t>
  </si>
  <si>
    <t>5:131:7174:429515:429497417,3</t>
  </si>
  <si>
    <t>5:131:7174:429515:429497442,3</t>
  </si>
  <si>
    <t>5:131:7174:429515:429497467,3</t>
  </si>
  <si>
    <t>5:131:7174:429515:429497492,3</t>
  </si>
  <si>
    <t>5:131:7174:429515:429497517,3</t>
  </si>
  <si>
    <t>5:131:7174:429515:429497542,3</t>
  </si>
  <si>
    <t>5:131:7174:429515:429497567,3</t>
  </si>
  <si>
    <t>5:131:7174:429515:429497592,3</t>
  </si>
  <si>
    <t>5:131:7174:429515:429497617,3</t>
  </si>
  <si>
    <t>5:131:7174:429515:429497642,3</t>
  </si>
  <si>
    <t>5:131:7174:429515:429497667,3</t>
  </si>
  <si>
    <t>5:131:7174:429515:429497692,3</t>
  </si>
  <si>
    <t>5:131:7174:429515:429497717,3</t>
  </si>
  <si>
    <t>5:131:7174:429516:429496742,3</t>
  </si>
  <si>
    <t>5:131:7174:429516:429496767,3</t>
  </si>
  <si>
    <t>5:131:7174:429516:429496792,3</t>
  </si>
  <si>
    <t>5:131:7174:429516:429496817,3</t>
  </si>
  <si>
    <t>5:131:7174:429516:429496842,3</t>
  </si>
  <si>
    <t>5:131:7174:429516:429496867,3</t>
  </si>
  <si>
    <t>5:131:7174:429516:429496892,3</t>
  </si>
  <si>
    <t>5:131:7174:429516:429496917,3</t>
  </si>
  <si>
    <t>5:131:7174:429516:429496942,3</t>
  </si>
  <si>
    <t>5:131:7174:429516:429496967,3</t>
  </si>
  <si>
    <t>5:131:7174:429516:429496992,3</t>
  </si>
  <si>
    <t>5:131:7174:429516:429497017,3</t>
  </si>
  <si>
    <t>5:131:7174:429516:429497042,3</t>
  </si>
  <si>
    <t>5:131:7174:429516:429497067,3</t>
  </si>
  <si>
    <t>5:131:7174:429516:429497092,3</t>
  </si>
  <si>
    <t>5:131:7174:429516:429497117,3</t>
  </si>
  <si>
    <t>5:131:7174:429516:429497142,3</t>
  </si>
  <si>
    <t>5:131:7174:429516:429497167,3</t>
  </si>
  <si>
    <t>5:131:7174:429516:429497192,3</t>
  </si>
  <si>
    <t>5:131:7174:429516:429497217,3</t>
  </si>
  <si>
    <t>5:131:7174:429516:429497242,3</t>
  </si>
  <si>
    <t>5:131:7174:429516:429497267,3</t>
  </si>
  <si>
    <t>5:131:7174:429516:429497292,3</t>
  </si>
  <si>
    <t>5:131:7174:429516:429497317,3</t>
  </si>
  <si>
    <t>5:131:7174:429516:429497342,3</t>
  </si>
  <si>
    <t>5:131:7174:429516:429497367,3</t>
  </si>
  <si>
    <t>5:131:7174:429516:429497392,3</t>
  </si>
  <si>
    <t>5:131:7174:429516:429497417,3</t>
  </si>
  <si>
    <t>5:131:7174:429516:429497442,3</t>
  </si>
  <si>
    <t>5:131:7174:429516:429497467,3</t>
  </si>
  <si>
    <t>5:131:7174:429516:429497492,3</t>
  </si>
  <si>
    <t>5:131:7174:429516:429497517,3</t>
  </si>
  <si>
    <t>5:131:7174:429516:429497542,3</t>
  </si>
  <si>
    <t>5:131:7174:429516:429497567,3</t>
  </si>
  <si>
    <t>5:131:7174:429516:429497592,3</t>
  </si>
  <si>
    <t>5:131:7174:429516:429497617,3</t>
  </si>
  <si>
    <t>5:131:7174:429516:429497642,3</t>
  </si>
  <si>
    <t>5:131:7174:429516:429497667,3</t>
  </si>
  <si>
    <t>5:131:7174:429516:429497692,3</t>
  </si>
  <si>
    <t>5:131:7174:429516:429497717,3</t>
  </si>
  <si>
    <t>5:131:7174:429517:429496742,3</t>
  </si>
  <si>
    <t>5:131:7174:429517:429496767,3</t>
  </si>
  <si>
    <t>5:131:7174:429517:429496792,3</t>
  </si>
  <si>
    <t>5:131:7174:429517:429496817,3</t>
  </si>
  <si>
    <t>5:131:7174:429517:429496842,3</t>
  </si>
  <si>
    <t>5:131:7174:429517:429496867,4</t>
  </si>
  <si>
    <t>5:131:7174:429517:429496892,4</t>
  </si>
  <si>
    <t>5:131:7174:429517:429496917,4</t>
  </si>
  <si>
    <t>5:131:7174:429517:429496942,4</t>
  </si>
  <si>
    <t>5:131:7174:429517:429496967,4</t>
  </si>
  <si>
    <t>5:131:7174:429517:429496992,4</t>
  </si>
  <si>
    <t>5:131:7174:429517:429497017,4</t>
  </si>
  <si>
    <t>5:131:7174:429517:429497042,4</t>
  </si>
  <si>
    <t>5:131:7174:429517:429497067,4</t>
  </si>
  <si>
    <t>5:131:7174:429517:429497092,3</t>
  </si>
  <si>
    <t>5:131:7174:429517:429497117,4</t>
  </si>
  <si>
    <t>5:131:7174:429517:429497142,4</t>
  </si>
  <si>
    <t>5:131:7174:429517:429497167,4</t>
  </si>
  <si>
    <t>5:131:7174:429517:429497192,3</t>
  </si>
  <si>
    <t>5:131:7174:429517:429497217,4</t>
  </si>
  <si>
    <t>5:131:7174:429517:429497242,4</t>
  </si>
  <si>
    <t>5:131:7174:429517:429497267,4</t>
  </si>
  <si>
    <t>5:131:7174:429517:429497292,4</t>
  </si>
  <si>
    <t>5:131:7174:429517:429497317,4</t>
  </si>
  <si>
    <t>5:131:7174:429517:429497342,4</t>
  </si>
  <si>
    <t>5:131:7174:429517:429497367,4</t>
  </si>
  <si>
    <t>5:131:7174:429517:429497392,4</t>
  </si>
  <si>
    <t>5:131:7174:429517:429497417,4</t>
  </si>
  <si>
    <t>5:131:7174:429517:429497442,4</t>
  </si>
  <si>
    <t>5:131:7174:429517:429497467,4</t>
  </si>
  <si>
    <t>5:131:7174:429517:429497492,4</t>
  </si>
  <si>
    <t>5:131:7174:429517:429497517,4</t>
  </si>
  <si>
    <t>5:131:7174:429517:429497542,4</t>
  </si>
  <si>
    <t>5:131:7174:429517:429497567,4</t>
  </si>
  <si>
    <t>5:131:7174:429517:429497592,4</t>
  </si>
  <si>
    <t>5:131:7174:429517:429497617,4</t>
  </si>
  <si>
    <t>5:131:7174:429517:429497642,4</t>
  </si>
  <si>
    <t>5:131:7174:429517:429497667,4</t>
  </si>
  <si>
    <t>5:131:7174:429517:429497692,4</t>
  </si>
  <si>
    <t>5:131:7174:429517:429497717,4</t>
  </si>
  <si>
    <t>5:131:7174:429518:429496742,4</t>
  </si>
  <si>
    <t>5:131:7174:429518:429496767,4</t>
  </si>
  <si>
    <t>5:131:7174:429518:429496792,4</t>
  </si>
  <si>
    <t>5:131:7174:429518:429496817,4</t>
  </si>
  <si>
    <t>5:131:7174:429518:429496842,4</t>
  </si>
  <si>
    <t>5:131:7174:429518:429496867,4</t>
  </si>
  <si>
    <t>5:131:7174:429518:429496892,4</t>
  </si>
  <si>
    <t>5:131:7174:429518:429496917,4</t>
  </si>
  <si>
    <t>5:131:7174:429518:429496942,4</t>
  </si>
  <si>
    <t>5:131:7174:429518:429496967,4</t>
  </si>
  <si>
    <t>5:131:7174:429518:429496992,4</t>
  </si>
  <si>
    <t>5:131:7174:429518:429497017,4</t>
  </si>
  <si>
    <t>5:131:7174:429518:429497042,4</t>
  </si>
  <si>
    <t>5:131:7174:429518:429497067,4</t>
  </si>
  <si>
    <t>5:131:7174:429518:429497092,4</t>
  </si>
  <si>
    <t>5:131:7174:429518:429497117,4</t>
  </si>
  <si>
    <t>5:131:7174:429518:429497142,4</t>
  </si>
  <si>
    <t>5:131:7174:429518:429497167,4</t>
  </si>
  <si>
    <t>5:131:7174:429518:429497192,4</t>
  </si>
  <si>
    <t>5:131:7174:429518:429497217,4</t>
  </si>
  <si>
    <t>5:131:7174:429518:429497242,4</t>
  </si>
  <si>
    <t>5:131:7174:429518:429497267,4</t>
  </si>
  <si>
    <t>5:131:7174:429518:429497292,4</t>
  </si>
  <si>
    <t>5:131:7174:429518:429497317,4</t>
  </si>
  <si>
    <t>5:131:7174:429518:429497342,4</t>
  </si>
  <si>
    <t>5:131:7174:429518:429497367,4</t>
  </si>
  <si>
    <t>5:131:7174:429518:429497392,4</t>
  </si>
  <si>
    <t>5:131:7174:429518:429497417,4</t>
  </si>
  <si>
    <t>5:131:7174:429518:429497442,4</t>
  </si>
  <si>
    <t>5:131:7174:429518:429497467,4</t>
  </si>
  <si>
    <t>5:131:7174:429518:429497492,4</t>
  </si>
  <si>
    <t>5:131:7174:429518:429497517,4</t>
  </si>
  <si>
    <t>5:131:7174:429518:429497542,4</t>
  </si>
  <si>
    <t>5:131:7174:429518:429497567,4</t>
  </si>
  <si>
    <t>5:131:7174:429518:429497592,4</t>
  </si>
  <si>
    <t>5:131:7174:429518:429497617,4</t>
  </si>
  <si>
    <t>5:131:7174:429518:429497642,4</t>
  </si>
  <si>
    <t>5:131:7174:429518:429497667,4</t>
  </si>
  <si>
    <t>5:131:7174:429518:429497692,4</t>
  </si>
  <si>
    <t>5:131:7174:429518:429497717,4</t>
  </si>
  <si>
    <t>5:131:7174:429519:429496742,4</t>
  </si>
  <si>
    <t>5:131:7174:429519:429496767,4</t>
  </si>
  <si>
    <t>5:131:7174:429519:429496792,4</t>
  </si>
  <si>
    <t>5:131:7174:429519:429496817,4</t>
  </si>
  <si>
    <t>5:131:7174:429519:429496842,4</t>
  </si>
  <si>
    <t>5:131:7174:429519:429496867,4</t>
  </si>
  <si>
    <t>5:131:7174:429519:429496892,4</t>
  </si>
  <si>
    <t>5:131:7174:429519:429496917,4</t>
  </si>
  <si>
    <t>5:131:7174:429519:429496942,4</t>
  </si>
  <si>
    <t>5:131:7174:429519:429496967,4</t>
  </si>
  <si>
    <t>5:131:7174:429519:429496992,4</t>
  </si>
  <si>
    <t>5:131:7174:429519:429497017,4</t>
  </si>
  <si>
    <t>5:131:7174:429519:429497042,4</t>
  </si>
  <si>
    <t>5:131:7174:429519:429497067,4</t>
  </si>
  <si>
    <t>5:131:7174:429519:429497092,4</t>
  </si>
  <si>
    <t>5:131:7174:429519:429497117,4</t>
  </si>
  <si>
    <t>5:131:7174:429519:429497142,4</t>
  </si>
  <si>
    <t>5:131:7174:429519:429497167,4</t>
  </si>
  <si>
    <t>5:131:7174:429519:429497192,4</t>
  </si>
  <si>
    <t>5:131:7174:429519:429497217,4</t>
  </si>
  <si>
    <t>5:131:7174:429519:429497242,4</t>
  </si>
  <si>
    <t>5:131:7174:429519:429497267,4</t>
  </si>
  <si>
    <t>5:131:7174:429519:429497292,4</t>
  </si>
  <si>
    <t>5:131:7174:429519:429497317,4</t>
  </si>
  <si>
    <t>5:131:7174:429519:429497342,4</t>
  </si>
  <si>
    <t>5:131:7174:429519:429497367,4</t>
  </si>
  <si>
    <t>5:131:7174:429519:429497392,4</t>
  </si>
  <si>
    <t>5:131:7174:429519:429497417,4</t>
  </si>
  <si>
    <t>5:131:7174:429519:429497442,4</t>
  </si>
  <si>
    <t>5:131:7174:429519:429497467,4</t>
  </si>
  <si>
    <t>5:131:7174:429519:429497492,4</t>
  </si>
  <si>
    <t>5:131:7174:429519:429497517,4</t>
  </si>
  <si>
    <t>5:131:7174:429519:429497542,4</t>
  </si>
  <si>
    <t>5:131:7174:429519:429497567,4</t>
  </si>
  <si>
    <t>5:131:7174:429519:429497592,4</t>
  </si>
  <si>
    <t>5:131:7174:429519:429497617,5</t>
  </si>
  <si>
    <t>5:131:7174:429519:429497642,4</t>
  </si>
  <si>
    <t>5:131:7174:429519:429497667,4</t>
  </si>
  <si>
    <t>5:131:7174:429519:429497692,4</t>
  </si>
  <si>
    <t>5:131:7174:429519:429497717,5</t>
  </si>
  <si>
    <t>5:131:7174:429520:429496742,5</t>
  </si>
  <si>
    <t>5:131:7174:429520:429496767,5</t>
  </si>
  <si>
    <t>5:131:7174:429520:429496792,5</t>
  </si>
  <si>
    <t>5:131:7174:429520:429496817,5</t>
  </si>
  <si>
    <t>5:131:7174:429520:429496842,5</t>
  </si>
  <si>
    <t>5:131:7174:429520:429496867,4</t>
  </si>
  <si>
    <t>5:131:7174:429520:429496892,5</t>
  </si>
  <si>
    <t>5:131:7174:429520:429496917,5</t>
  </si>
  <si>
    <t>5:131:7174:429520:429496942,5</t>
  </si>
  <si>
    <t>5:131:7174:429520:429496967,5</t>
  </si>
  <si>
    <t>5:131:7174:429520:429496992,4</t>
  </si>
  <si>
    <t>5:131:7174:429520:429497017,5</t>
  </si>
  <si>
    <t>5:131:7174:429520:429497042,5</t>
  </si>
  <si>
    <t>5:131:7174:429520:429497067,5</t>
  </si>
  <si>
    <t>5:131:7174:429520:429497092,5</t>
  </si>
  <si>
    <t>5:131:7174:429520:429497117,5</t>
  </si>
  <si>
    <t>5:131:7174:429520:429497142,5</t>
  </si>
  <si>
    <t>5:131:7174:429520:429497167,5</t>
  </si>
  <si>
    <t>5:131:7174:429520:429497192,5</t>
  </si>
  <si>
    <t>5:131:7174:429520:429497217,5</t>
  </si>
  <si>
    <t>5:131:7174:429520:429497242,5</t>
  </si>
  <si>
    <t>5:131:7174:429520:429497267,5</t>
  </si>
  <si>
    <t>5:131:7174:429520:429497292,5</t>
  </si>
  <si>
    <t>5:131:7174:429520:429497317,5</t>
  </si>
  <si>
    <t>5:131:7174:429520:429497342,5</t>
  </si>
  <si>
    <t>5:131:7174:429520:429497367,5</t>
  </si>
  <si>
    <t>5:131:7174:429520:429497392,5</t>
  </si>
  <si>
    <t>5:131:7174:429520:429497417,5</t>
  </si>
  <si>
    <t>5:131:7174:429520:429497442,5</t>
  </si>
  <si>
    <t>5:131:7174:429520:429497467,5</t>
  </si>
  <si>
    <t>5:131:7174:429520:429497492,5</t>
  </si>
  <si>
    <t>5:131:7174:429520:429497517,5</t>
  </si>
  <si>
    <t>5:131:7174:429520:429497542,5</t>
  </si>
  <si>
    <t>5:131:7174:429520:429497567,5</t>
  </si>
  <si>
    <t>5:131:7174:429520:429497592,5</t>
  </si>
  <si>
    <t>5:131:7174:429520:429497617,5</t>
  </si>
  <si>
    <t>5:131:7174:429520:429497642,5</t>
  </si>
  <si>
    <t>5:131:7174:429520:429497667,5</t>
  </si>
  <si>
    <t>5:131:7174:429520:429497692,5</t>
  </si>
  <si>
    <t>5:131:7174:429520:429497717,5</t>
  </si>
  <si>
    <t>5:131:7174:429521:429496742,5</t>
  </si>
  <si>
    <t>5:131:7174:429521:429496767,5</t>
  </si>
  <si>
    <t>5:131:7174:429521:429496792,5</t>
  </si>
  <si>
    <t>5:131:7174:429521:429496817,5</t>
  </si>
  <si>
    <t>5:131:7174:429521:429496842,5</t>
  </si>
  <si>
    <t>5:131:7174:429521:429496867,5</t>
  </si>
  <si>
    <t>5:131:7174:429521:429496892,5</t>
  </si>
  <si>
    <t>5:131:7174:429521:429496917,5</t>
  </si>
  <si>
    <t>5:131:7174:429521:429496942,5</t>
  </si>
  <si>
    <t>5:131:7174:429521:429496967,5</t>
  </si>
  <si>
    <t>5:131:7174:429521:429496992,5</t>
  </si>
  <si>
    <t>5:131:7174:429521:429497017,5</t>
  </si>
  <si>
    <t>5:131:7174:429521:429497042,5</t>
  </si>
  <si>
    <t>5:131:7174:429521:429497067,5</t>
  </si>
  <si>
    <t>5:131:7174:429521:429497092,5</t>
  </si>
  <si>
    <t>5:131:7174:429521:429497117,5</t>
  </si>
  <si>
    <t>5:131:7174:429521:429497142,5</t>
  </si>
  <si>
    <t>5:131:7174:429521:429497167,5</t>
  </si>
  <si>
    <t>5:131:7174:429521:429497192,5</t>
  </si>
  <si>
    <t>5:131:7174:429521:429497217,5</t>
  </si>
  <si>
    <t>5:131:7174:429521:429497242,5</t>
  </si>
  <si>
    <t>5:131:7174:429521:429497267,5</t>
  </si>
  <si>
    <t>5:131:7174:429521:429497292,5</t>
  </si>
  <si>
    <t>5:131:7174:429521:429497317,5</t>
  </si>
  <si>
    <t>5:131:7174:429521:429497342,5</t>
  </si>
  <si>
    <t>5:131:7174:429521:429497367,5</t>
  </si>
  <si>
    <t>5:131:7174:429521:429497392,5</t>
  </si>
  <si>
    <t>5:131:7174:429521:429497417,5</t>
  </si>
  <si>
    <t>5:131:7174:429521:429497442,5</t>
  </si>
  <si>
    <t>5:131:7174:429521:429497467,5</t>
  </si>
  <si>
    <t>5:131:7174:429521:429497492,5</t>
  </si>
  <si>
    <t>5:131:7174:429521:429497517,5</t>
  </si>
  <si>
    <t>5:131:7174:429521:429497542,5</t>
  </si>
  <si>
    <t>5:131:7174:429521:429497567,5</t>
  </si>
  <si>
    <t>5:131:7174:429521:429497592,5</t>
  </si>
  <si>
    <t>5:131:7174:429521:429497617,5</t>
  </si>
  <si>
    <t>5:131:7174:429521:429497642,5</t>
  </si>
  <si>
    <t>5:131:7174:429521:429497667,5</t>
  </si>
  <si>
    <t>5:131:7174:429521:429497692,5</t>
  </si>
  <si>
    <t>5:131:7174:429521:429497717,5</t>
  </si>
  <si>
    <t>5:131:7174:429522:429496742,5</t>
  </si>
  <si>
    <t>5:131:7174:429522:429496767,5</t>
  </si>
  <si>
    <t>5:131:7174:429522:429496792,5</t>
  </si>
  <si>
    <t>5:131:7174:429522:429496817,5</t>
  </si>
  <si>
    <t>5:131:7174:429522:429496842,5</t>
  </si>
  <si>
    <t>5:131:7174:429522:429496867,6</t>
  </si>
  <si>
    <t>5:131:7174:429522:429496892,5</t>
  </si>
  <si>
    <t>5:131:7174:429522:429496917,6</t>
  </si>
  <si>
    <t>5:131:7174:429522:429496942,5</t>
  </si>
  <si>
    <t>5:131:7174:429522:429496967,5</t>
  </si>
  <si>
    <t>5:131:7174:429522:429496992,5</t>
  </si>
  <si>
    <t>5:131:7174:429522:429497017,5</t>
  </si>
  <si>
    <t>5:131:7174:429522:429497042,5</t>
  </si>
  <si>
    <t>5:131:7174:429522:429497067,5</t>
  </si>
  <si>
    <t>5:131:7174:429522:429497092,5</t>
  </si>
  <si>
    <t>5:131:7174:429522:429497117,6</t>
  </si>
  <si>
    <t>5:131:7174:429522:429497142,6</t>
  </si>
  <si>
    <t>5:131:7174:429522:429497167,6</t>
  </si>
  <si>
    <t>5:131:7174:429522:429497192,5</t>
  </si>
  <si>
    <t>Ed_Shoelace</t>
  </si>
  <si>
    <t>Ed_trapezio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</si>
</sst>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39304461942257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Planilha1!$O$4:$O$23</c:f>
              <c:numCache>
                <c:formatCode>General</c:formatCode>
                <c:ptCount val="20"/>
                <c:pt idx="0">
                  <c:v>7.4261745769230777E-3</c:v>
                </c:pt>
                <c:pt idx="1">
                  <c:v>7.5626132307692311E-3</c:v>
                </c:pt>
                <c:pt idx="2">
                  <c:v>7.714413576923076E-3</c:v>
                </c:pt>
                <c:pt idx="3">
                  <c:v>7.8605580769230757E-3</c:v>
                </c:pt>
                <c:pt idx="4">
                  <c:v>7.9882272692307701E-3</c:v>
                </c:pt>
                <c:pt idx="5">
                  <c:v>8.0520334999999998E-3</c:v>
                </c:pt>
                <c:pt idx="6">
                  <c:v>8.0708566153846143E-3</c:v>
                </c:pt>
                <c:pt idx="7">
                  <c:v>8.0759929230769228E-3</c:v>
                </c:pt>
                <c:pt idx="8">
                  <c:v>8.0754923846153848E-3</c:v>
                </c:pt>
                <c:pt idx="9">
                  <c:v>8.0513016923076924E-3</c:v>
                </c:pt>
                <c:pt idx="10">
                  <c:v>8.0212238846153854E-3</c:v>
                </c:pt>
                <c:pt idx="11">
                  <c:v>7.9806216538461528E-3</c:v>
                </c:pt>
                <c:pt idx="12">
                  <c:v>7.9066090384615397E-3</c:v>
                </c:pt>
                <c:pt idx="13">
                  <c:v>7.8023610000000007E-3</c:v>
                </c:pt>
                <c:pt idx="14">
                  <c:v>7.6787608076923078E-3</c:v>
                </c:pt>
                <c:pt idx="15">
                  <c:v>7.5457599615384617E-3</c:v>
                </c:pt>
                <c:pt idx="16">
                  <c:v>7.4136421153846157E-3</c:v>
                </c:pt>
                <c:pt idx="17">
                  <c:v>7.3200820000000003E-3</c:v>
                </c:pt>
                <c:pt idx="18">
                  <c:v>7.2935205384615379E-3</c:v>
                </c:pt>
                <c:pt idx="19">
                  <c:v>7.3308076538461534E-3</c:v>
                </c:pt>
              </c:numCache>
            </c:numRef>
          </c:xVal>
          <c:yVal>
            <c:numRef>
              <c:f>Planilha1!$P$4:$P$23</c:f>
              <c:numCache>
                <c:formatCode>General</c:formatCode>
                <c:ptCount val="20"/>
                <c:pt idx="0">
                  <c:v>10.601873531229922</c:v>
                </c:pt>
                <c:pt idx="1">
                  <c:v>15.981259678154196</c:v>
                </c:pt>
                <c:pt idx="2">
                  <c:v>22.257210182899179</c:v>
                </c:pt>
                <c:pt idx="3">
                  <c:v>29.825707636835691</c:v>
                </c:pt>
                <c:pt idx="4">
                  <c:v>39.994241728452266</c:v>
                </c:pt>
                <c:pt idx="5">
                  <c:v>46.673646194216573</c:v>
                </c:pt>
                <c:pt idx="6">
                  <c:v>48.250105190051329</c:v>
                </c:pt>
                <c:pt idx="7">
                  <c:v>48.294933407942359</c:v>
                </c:pt>
                <c:pt idx="8">
                  <c:v>46.397205517221856</c:v>
                </c:pt>
                <c:pt idx="9">
                  <c:v>39.994241728452266</c:v>
                </c:pt>
                <c:pt idx="10">
                  <c:v>34.472899558206386</c:v>
                </c:pt>
                <c:pt idx="11">
                  <c:v>29.39236819722235</c:v>
                </c:pt>
                <c:pt idx="12">
                  <c:v>23.714127264357838</c:v>
                </c:pt>
                <c:pt idx="13">
                  <c:v>18.469225771106668</c:v>
                </c:pt>
                <c:pt idx="14">
                  <c:v>13.680077826414367</c:v>
                </c:pt>
                <c:pt idx="15">
                  <c:v>9.413925757117477</c:v>
                </c:pt>
                <c:pt idx="16">
                  <c:v>5.6782409328645098</c:v>
                </c:pt>
                <c:pt idx="17">
                  <c:v>3.0109619683478916</c:v>
                </c:pt>
                <c:pt idx="18">
                  <c:v>2.8465918360807612</c:v>
                </c:pt>
                <c:pt idx="19">
                  <c:v>6.0443380456413012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08-114E-869D-300A42343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106112"/>
        <c:axId val="1953117312"/>
      </c:scatterChart>
      <c:valAx>
        <c:axId val="195310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117312"/>
        <c:crosses val="autoZero"/>
        <c:crossBetween val="midCat"/>
      </c:valAx>
      <c:valAx>
        <c:axId val="195311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10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50415573053368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Planilha1!$K$3:$K$506</c:f>
              <c:numCache>
                <c:formatCode>General</c:formatCode>
                <c:ptCount val="504"/>
                <c:pt idx="0">
                  <c:v>949996</c:v>
                </c:pt>
                <c:pt idx="1">
                  <c:v>949997</c:v>
                </c:pt>
                <c:pt idx="2">
                  <c:v>949997</c:v>
                </c:pt>
                <c:pt idx="3">
                  <c:v>949997</c:v>
                </c:pt>
                <c:pt idx="4">
                  <c:v>949997</c:v>
                </c:pt>
                <c:pt idx="5">
                  <c:v>949997</c:v>
                </c:pt>
                <c:pt idx="6">
                  <c:v>949997</c:v>
                </c:pt>
                <c:pt idx="7">
                  <c:v>949997</c:v>
                </c:pt>
                <c:pt idx="8">
                  <c:v>949997</c:v>
                </c:pt>
                <c:pt idx="9">
                  <c:v>949997</c:v>
                </c:pt>
                <c:pt idx="10">
                  <c:v>949997</c:v>
                </c:pt>
                <c:pt idx="11">
                  <c:v>949997</c:v>
                </c:pt>
                <c:pt idx="12">
                  <c:v>949997</c:v>
                </c:pt>
                <c:pt idx="13">
                  <c:v>949997</c:v>
                </c:pt>
                <c:pt idx="14">
                  <c:v>949997</c:v>
                </c:pt>
                <c:pt idx="15">
                  <c:v>949997</c:v>
                </c:pt>
                <c:pt idx="16">
                  <c:v>949997</c:v>
                </c:pt>
                <c:pt idx="17">
                  <c:v>949997</c:v>
                </c:pt>
                <c:pt idx="18">
                  <c:v>949997</c:v>
                </c:pt>
                <c:pt idx="19">
                  <c:v>949997</c:v>
                </c:pt>
                <c:pt idx="20">
                  <c:v>949997</c:v>
                </c:pt>
                <c:pt idx="21">
                  <c:v>949998</c:v>
                </c:pt>
                <c:pt idx="22">
                  <c:v>949998</c:v>
                </c:pt>
                <c:pt idx="23">
                  <c:v>949998</c:v>
                </c:pt>
                <c:pt idx="24">
                  <c:v>949998</c:v>
                </c:pt>
                <c:pt idx="25">
                  <c:v>949998</c:v>
                </c:pt>
                <c:pt idx="26">
                  <c:v>949998</c:v>
                </c:pt>
                <c:pt idx="27">
                  <c:v>949998</c:v>
                </c:pt>
                <c:pt idx="28">
                  <c:v>949998</c:v>
                </c:pt>
                <c:pt idx="29">
                  <c:v>949998</c:v>
                </c:pt>
                <c:pt idx="30">
                  <c:v>949998</c:v>
                </c:pt>
                <c:pt idx="31">
                  <c:v>949998</c:v>
                </c:pt>
                <c:pt idx="32">
                  <c:v>949998</c:v>
                </c:pt>
                <c:pt idx="33">
                  <c:v>949998</c:v>
                </c:pt>
                <c:pt idx="34">
                  <c:v>949998</c:v>
                </c:pt>
                <c:pt idx="35">
                  <c:v>949998</c:v>
                </c:pt>
                <c:pt idx="36">
                  <c:v>949998</c:v>
                </c:pt>
                <c:pt idx="37">
                  <c:v>949998</c:v>
                </c:pt>
                <c:pt idx="38">
                  <c:v>949998</c:v>
                </c:pt>
                <c:pt idx="39">
                  <c:v>949998</c:v>
                </c:pt>
                <c:pt idx="40">
                  <c:v>949998</c:v>
                </c:pt>
                <c:pt idx="41">
                  <c:v>949999</c:v>
                </c:pt>
                <c:pt idx="42">
                  <c:v>949999</c:v>
                </c:pt>
                <c:pt idx="43">
                  <c:v>949999</c:v>
                </c:pt>
                <c:pt idx="44">
                  <c:v>949999</c:v>
                </c:pt>
                <c:pt idx="45">
                  <c:v>949999</c:v>
                </c:pt>
                <c:pt idx="46">
                  <c:v>949999</c:v>
                </c:pt>
                <c:pt idx="47">
                  <c:v>949999</c:v>
                </c:pt>
                <c:pt idx="48">
                  <c:v>949999</c:v>
                </c:pt>
                <c:pt idx="49">
                  <c:v>949999</c:v>
                </c:pt>
                <c:pt idx="50">
                  <c:v>949999</c:v>
                </c:pt>
                <c:pt idx="51">
                  <c:v>949999</c:v>
                </c:pt>
                <c:pt idx="52">
                  <c:v>949999</c:v>
                </c:pt>
                <c:pt idx="53">
                  <c:v>949999</c:v>
                </c:pt>
                <c:pt idx="54">
                  <c:v>949999</c:v>
                </c:pt>
                <c:pt idx="55">
                  <c:v>949999</c:v>
                </c:pt>
                <c:pt idx="56">
                  <c:v>949999</c:v>
                </c:pt>
                <c:pt idx="57">
                  <c:v>949999</c:v>
                </c:pt>
                <c:pt idx="58">
                  <c:v>949999</c:v>
                </c:pt>
                <c:pt idx="59">
                  <c:v>949999</c:v>
                </c:pt>
                <c:pt idx="60">
                  <c:v>949999</c:v>
                </c:pt>
                <c:pt idx="61">
                  <c:v>950000</c:v>
                </c:pt>
                <c:pt idx="62">
                  <c:v>950000</c:v>
                </c:pt>
                <c:pt idx="63">
                  <c:v>950000</c:v>
                </c:pt>
                <c:pt idx="64">
                  <c:v>950000</c:v>
                </c:pt>
                <c:pt idx="65">
                  <c:v>950000</c:v>
                </c:pt>
                <c:pt idx="66">
                  <c:v>950000</c:v>
                </c:pt>
                <c:pt idx="67">
                  <c:v>950000</c:v>
                </c:pt>
                <c:pt idx="68">
                  <c:v>950000</c:v>
                </c:pt>
                <c:pt idx="69">
                  <c:v>950000</c:v>
                </c:pt>
                <c:pt idx="70">
                  <c:v>950000</c:v>
                </c:pt>
                <c:pt idx="71">
                  <c:v>950000</c:v>
                </c:pt>
                <c:pt idx="72">
                  <c:v>950000</c:v>
                </c:pt>
                <c:pt idx="73">
                  <c:v>950000</c:v>
                </c:pt>
                <c:pt idx="74">
                  <c:v>950000</c:v>
                </c:pt>
                <c:pt idx="75">
                  <c:v>950000</c:v>
                </c:pt>
                <c:pt idx="76">
                  <c:v>950000</c:v>
                </c:pt>
                <c:pt idx="77">
                  <c:v>950000</c:v>
                </c:pt>
                <c:pt idx="78">
                  <c:v>950000</c:v>
                </c:pt>
                <c:pt idx="79">
                  <c:v>950000</c:v>
                </c:pt>
                <c:pt idx="80">
                  <c:v>950000</c:v>
                </c:pt>
                <c:pt idx="81">
                  <c:v>950001</c:v>
                </c:pt>
                <c:pt idx="82">
                  <c:v>950001</c:v>
                </c:pt>
                <c:pt idx="83">
                  <c:v>950001</c:v>
                </c:pt>
                <c:pt idx="84">
                  <c:v>950001</c:v>
                </c:pt>
                <c:pt idx="85">
                  <c:v>950001</c:v>
                </c:pt>
                <c:pt idx="86">
                  <c:v>950001</c:v>
                </c:pt>
                <c:pt idx="87">
                  <c:v>950001</c:v>
                </c:pt>
                <c:pt idx="88">
                  <c:v>950001</c:v>
                </c:pt>
                <c:pt idx="89">
                  <c:v>950001</c:v>
                </c:pt>
                <c:pt idx="90">
                  <c:v>950001</c:v>
                </c:pt>
                <c:pt idx="91">
                  <c:v>950001</c:v>
                </c:pt>
                <c:pt idx="92">
                  <c:v>950001</c:v>
                </c:pt>
                <c:pt idx="93">
                  <c:v>950001</c:v>
                </c:pt>
                <c:pt idx="94">
                  <c:v>950001</c:v>
                </c:pt>
                <c:pt idx="95">
                  <c:v>950001</c:v>
                </c:pt>
                <c:pt idx="96">
                  <c:v>950001</c:v>
                </c:pt>
                <c:pt idx="97">
                  <c:v>950001</c:v>
                </c:pt>
                <c:pt idx="98">
                  <c:v>950001</c:v>
                </c:pt>
                <c:pt idx="99">
                  <c:v>950001</c:v>
                </c:pt>
                <c:pt idx="100">
                  <c:v>950001</c:v>
                </c:pt>
                <c:pt idx="101">
                  <c:v>950002</c:v>
                </c:pt>
                <c:pt idx="102">
                  <c:v>950002</c:v>
                </c:pt>
                <c:pt idx="103">
                  <c:v>950002</c:v>
                </c:pt>
                <c:pt idx="104">
                  <c:v>950002</c:v>
                </c:pt>
                <c:pt idx="105">
                  <c:v>950002</c:v>
                </c:pt>
                <c:pt idx="106">
                  <c:v>950002</c:v>
                </c:pt>
                <c:pt idx="107">
                  <c:v>950002</c:v>
                </c:pt>
                <c:pt idx="108">
                  <c:v>950002</c:v>
                </c:pt>
                <c:pt idx="109">
                  <c:v>950002</c:v>
                </c:pt>
                <c:pt idx="110">
                  <c:v>950002</c:v>
                </c:pt>
                <c:pt idx="111">
                  <c:v>950002</c:v>
                </c:pt>
                <c:pt idx="112">
                  <c:v>950002</c:v>
                </c:pt>
                <c:pt idx="113">
                  <c:v>950002</c:v>
                </c:pt>
                <c:pt idx="114">
                  <c:v>950002</c:v>
                </c:pt>
                <c:pt idx="115">
                  <c:v>950002</c:v>
                </c:pt>
                <c:pt idx="116">
                  <c:v>950002</c:v>
                </c:pt>
                <c:pt idx="117">
                  <c:v>950002</c:v>
                </c:pt>
                <c:pt idx="118">
                  <c:v>950002</c:v>
                </c:pt>
                <c:pt idx="119">
                  <c:v>950002</c:v>
                </c:pt>
                <c:pt idx="120">
                  <c:v>950002</c:v>
                </c:pt>
                <c:pt idx="121">
                  <c:v>950003</c:v>
                </c:pt>
                <c:pt idx="122">
                  <c:v>950003</c:v>
                </c:pt>
                <c:pt idx="123">
                  <c:v>950003</c:v>
                </c:pt>
                <c:pt idx="124">
                  <c:v>950003</c:v>
                </c:pt>
                <c:pt idx="125">
                  <c:v>950003</c:v>
                </c:pt>
                <c:pt idx="126">
                  <c:v>950003</c:v>
                </c:pt>
                <c:pt idx="127">
                  <c:v>950003</c:v>
                </c:pt>
                <c:pt idx="128">
                  <c:v>950003</c:v>
                </c:pt>
                <c:pt idx="129">
                  <c:v>950003</c:v>
                </c:pt>
                <c:pt idx="130">
                  <c:v>950003</c:v>
                </c:pt>
                <c:pt idx="131">
                  <c:v>950003</c:v>
                </c:pt>
                <c:pt idx="132">
                  <c:v>950003</c:v>
                </c:pt>
                <c:pt idx="133">
                  <c:v>950003</c:v>
                </c:pt>
                <c:pt idx="134">
                  <c:v>950003</c:v>
                </c:pt>
                <c:pt idx="135">
                  <c:v>950003</c:v>
                </c:pt>
                <c:pt idx="136">
                  <c:v>950003</c:v>
                </c:pt>
                <c:pt idx="137">
                  <c:v>950003</c:v>
                </c:pt>
                <c:pt idx="138">
                  <c:v>950003</c:v>
                </c:pt>
                <c:pt idx="139">
                  <c:v>950003</c:v>
                </c:pt>
                <c:pt idx="140">
                  <c:v>950003</c:v>
                </c:pt>
                <c:pt idx="141">
                  <c:v>950004</c:v>
                </c:pt>
                <c:pt idx="142">
                  <c:v>950004</c:v>
                </c:pt>
                <c:pt idx="143">
                  <c:v>950004</c:v>
                </c:pt>
                <c:pt idx="144">
                  <c:v>950004</c:v>
                </c:pt>
                <c:pt idx="145">
                  <c:v>950004</c:v>
                </c:pt>
                <c:pt idx="146">
                  <c:v>950004</c:v>
                </c:pt>
                <c:pt idx="147">
                  <c:v>950004</c:v>
                </c:pt>
                <c:pt idx="148">
                  <c:v>950004</c:v>
                </c:pt>
                <c:pt idx="149">
                  <c:v>950004</c:v>
                </c:pt>
                <c:pt idx="150">
                  <c:v>950004</c:v>
                </c:pt>
                <c:pt idx="151">
                  <c:v>950004</c:v>
                </c:pt>
                <c:pt idx="152">
                  <c:v>950004</c:v>
                </c:pt>
                <c:pt idx="153">
                  <c:v>950004</c:v>
                </c:pt>
                <c:pt idx="154">
                  <c:v>950004</c:v>
                </c:pt>
                <c:pt idx="155">
                  <c:v>950004</c:v>
                </c:pt>
                <c:pt idx="156">
                  <c:v>950004</c:v>
                </c:pt>
                <c:pt idx="157">
                  <c:v>950004</c:v>
                </c:pt>
                <c:pt idx="158">
                  <c:v>950004</c:v>
                </c:pt>
                <c:pt idx="159">
                  <c:v>950004</c:v>
                </c:pt>
                <c:pt idx="160">
                  <c:v>950004</c:v>
                </c:pt>
                <c:pt idx="161">
                  <c:v>950005</c:v>
                </c:pt>
                <c:pt idx="162">
                  <c:v>950005</c:v>
                </c:pt>
                <c:pt idx="163">
                  <c:v>950005</c:v>
                </c:pt>
                <c:pt idx="164">
                  <c:v>950005</c:v>
                </c:pt>
                <c:pt idx="165">
                  <c:v>950005</c:v>
                </c:pt>
                <c:pt idx="166">
                  <c:v>950005</c:v>
                </c:pt>
                <c:pt idx="167">
                  <c:v>950005</c:v>
                </c:pt>
                <c:pt idx="168">
                  <c:v>950005</c:v>
                </c:pt>
                <c:pt idx="169">
                  <c:v>950005</c:v>
                </c:pt>
                <c:pt idx="170">
                  <c:v>950005</c:v>
                </c:pt>
                <c:pt idx="171">
                  <c:v>950005</c:v>
                </c:pt>
                <c:pt idx="172">
                  <c:v>950005</c:v>
                </c:pt>
                <c:pt idx="173">
                  <c:v>950005</c:v>
                </c:pt>
                <c:pt idx="174">
                  <c:v>950005</c:v>
                </c:pt>
                <c:pt idx="175">
                  <c:v>950005</c:v>
                </c:pt>
                <c:pt idx="176">
                  <c:v>950005</c:v>
                </c:pt>
                <c:pt idx="177">
                  <c:v>950005</c:v>
                </c:pt>
                <c:pt idx="178">
                  <c:v>950005</c:v>
                </c:pt>
                <c:pt idx="179">
                  <c:v>950005</c:v>
                </c:pt>
                <c:pt idx="180">
                  <c:v>950005</c:v>
                </c:pt>
                <c:pt idx="181">
                  <c:v>950006</c:v>
                </c:pt>
                <c:pt idx="182">
                  <c:v>950006</c:v>
                </c:pt>
                <c:pt idx="183">
                  <c:v>950006</c:v>
                </c:pt>
                <c:pt idx="184">
                  <c:v>950006</c:v>
                </c:pt>
                <c:pt idx="185">
                  <c:v>950006</c:v>
                </c:pt>
                <c:pt idx="186">
                  <c:v>950006</c:v>
                </c:pt>
                <c:pt idx="187">
                  <c:v>950006</c:v>
                </c:pt>
                <c:pt idx="188">
                  <c:v>950006</c:v>
                </c:pt>
                <c:pt idx="189">
                  <c:v>950006</c:v>
                </c:pt>
                <c:pt idx="190">
                  <c:v>950006</c:v>
                </c:pt>
                <c:pt idx="191">
                  <c:v>950006</c:v>
                </c:pt>
                <c:pt idx="192">
                  <c:v>950006</c:v>
                </c:pt>
                <c:pt idx="193">
                  <c:v>950006</c:v>
                </c:pt>
                <c:pt idx="194">
                  <c:v>950006</c:v>
                </c:pt>
                <c:pt idx="195">
                  <c:v>950006</c:v>
                </c:pt>
                <c:pt idx="196">
                  <c:v>950006</c:v>
                </c:pt>
                <c:pt idx="197">
                  <c:v>950006</c:v>
                </c:pt>
                <c:pt idx="198">
                  <c:v>950006</c:v>
                </c:pt>
                <c:pt idx="199">
                  <c:v>950006</c:v>
                </c:pt>
                <c:pt idx="200">
                  <c:v>950006</c:v>
                </c:pt>
                <c:pt idx="201">
                  <c:v>950007</c:v>
                </c:pt>
                <c:pt idx="202">
                  <c:v>950007</c:v>
                </c:pt>
                <c:pt idx="203">
                  <c:v>950007</c:v>
                </c:pt>
                <c:pt idx="204">
                  <c:v>950007</c:v>
                </c:pt>
                <c:pt idx="205">
                  <c:v>950007</c:v>
                </c:pt>
                <c:pt idx="206">
                  <c:v>950007</c:v>
                </c:pt>
                <c:pt idx="207">
                  <c:v>950007</c:v>
                </c:pt>
                <c:pt idx="208">
                  <c:v>950007</c:v>
                </c:pt>
                <c:pt idx="209">
                  <c:v>950007</c:v>
                </c:pt>
                <c:pt idx="210">
                  <c:v>950007</c:v>
                </c:pt>
                <c:pt idx="211">
                  <c:v>950007</c:v>
                </c:pt>
                <c:pt idx="212">
                  <c:v>950007</c:v>
                </c:pt>
                <c:pt idx="213">
                  <c:v>950007</c:v>
                </c:pt>
                <c:pt idx="214">
                  <c:v>950007</c:v>
                </c:pt>
                <c:pt idx="215">
                  <c:v>950007</c:v>
                </c:pt>
                <c:pt idx="216">
                  <c:v>950007</c:v>
                </c:pt>
                <c:pt idx="217">
                  <c:v>950007</c:v>
                </c:pt>
                <c:pt idx="218">
                  <c:v>950007</c:v>
                </c:pt>
                <c:pt idx="219">
                  <c:v>950007</c:v>
                </c:pt>
                <c:pt idx="220">
                  <c:v>950007</c:v>
                </c:pt>
                <c:pt idx="221">
                  <c:v>950008</c:v>
                </c:pt>
                <c:pt idx="222">
                  <c:v>950008</c:v>
                </c:pt>
                <c:pt idx="223">
                  <c:v>950008</c:v>
                </c:pt>
                <c:pt idx="224">
                  <c:v>950008</c:v>
                </c:pt>
                <c:pt idx="225">
                  <c:v>950008</c:v>
                </c:pt>
                <c:pt idx="226">
                  <c:v>950008</c:v>
                </c:pt>
                <c:pt idx="227">
                  <c:v>950008</c:v>
                </c:pt>
                <c:pt idx="228">
                  <c:v>950008</c:v>
                </c:pt>
                <c:pt idx="229">
                  <c:v>950008</c:v>
                </c:pt>
                <c:pt idx="230">
                  <c:v>950008</c:v>
                </c:pt>
                <c:pt idx="231">
                  <c:v>950008</c:v>
                </c:pt>
                <c:pt idx="232">
                  <c:v>950008</c:v>
                </c:pt>
                <c:pt idx="233">
                  <c:v>950008</c:v>
                </c:pt>
                <c:pt idx="234">
                  <c:v>950008</c:v>
                </c:pt>
                <c:pt idx="235">
                  <c:v>950008</c:v>
                </c:pt>
                <c:pt idx="236">
                  <c:v>950008</c:v>
                </c:pt>
                <c:pt idx="237">
                  <c:v>950008</c:v>
                </c:pt>
                <c:pt idx="238">
                  <c:v>950008</c:v>
                </c:pt>
                <c:pt idx="239">
                  <c:v>950008</c:v>
                </c:pt>
                <c:pt idx="240">
                  <c:v>950008</c:v>
                </c:pt>
                <c:pt idx="241">
                  <c:v>950009</c:v>
                </c:pt>
                <c:pt idx="242">
                  <c:v>950009</c:v>
                </c:pt>
                <c:pt idx="243">
                  <c:v>950009</c:v>
                </c:pt>
                <c:pt idx="244">
                  <c:v>950009</c:v>
                </c:pt>
                <c:pt idx="245">
                  <c:v>950009</c:v>
                </c:pt>
                <c:pt idx="246">
                  <c:v>950009</c:v>
                </c:pt>
                <c:pt idx="247">
                  <c:v>950009</c:v>
                </c:pt>
                <c:pt idx="248">
                  <c:v>950009</c:v>
                </c:pt>
                <c:pt idx="249">
                  <c:v>950009</c:v>
                </c:pt>
                <c:pt idx="250">
                  <c:v>950009</c:v>
                </c:pt>
                <c:pt idx="251">
                  <c:v>950009</c:v>
                </c:pt>
                <c:pt idx="252">
                  <c:v>950009</c:v>
                </c:pt>
                <c:pt idx="253">
                  <c:v>950009</c:v>
                </c:pt>
                <c:pt idx="254">
                  <c:v>950009</c:v>
                </c:pt>
                <c:pt idx="255">
                  <c:v>950009</c:v>
                </c:pt>
                <c:pt idx="256">
                  <c:v>950009</c:v>
                </c:pt>
                <c:pt idx="257">
                  <c:v>950009</c:v>
                </c:pt>
                <c:pt idx="258">
                  <c:v>950009</c:v>
                </c:pt>
                <c:pt idx="259">
                  <c:v>950009</c:v>
                </c:pt>
                <c:pt idx="260">
                  <c:v>950009</c:v>
                </c:pt>
                <c:pt idx="261">
                  <c:v>950010</c:v>
                </c:pt>
                <c:pt idx="262">
                  <c:v>950010</c:v>
                </c:pt>
                <c:pt idx="263">
                  <c:v>950010</c:v>
                </c:pt>
                <c:pt idx="264">
                  <c:v>950010</c:v>
                </c:pt>
                <c:pt idx="265">
                  <c:v>950010</c:v>
                </c:pt>
                <c:pt idx="266">
                  <c:v>950010</c:v>
                </c:pt>
                <c:pt idx="267">
                  <c:v>950010</c:v>
                </c:pt>
                <c:pt idx="268">
                  <c:v>950010</c:v>
                </c:pt>
                <c:pt idx="269">
                  <c:v>950010</c:v>
                </c:pt>
                <c:pt idx="270">
                  <c:v>950010</c:v>
                </c:pt>
                <c:pt idx="271">
                  <c:v>950010</c:v>
                </c:pt>
                <c:pt idx="272">
                  <c:v>950010</c:v>
                </c:pt>
                <c:pt idx="273">
                  <c:v>950010</c:v>
                </c:pt>
                <c:pt idx="274">
                  <c:v>950010</c:v>
                </c:pt>
                <c:pt idx="275">
                  <c:v>950010</c:v>
                </c:pt>
                <c:pt idx="276">
                  <c:v>950010</c:v>
                </c:pt>
                <c:pt idx="277">
                  <c:v>950010</c:v>
                </c:pt>
                <c:pt idx="278">
                  <c:v>950010</c:v>
                </c:pt>
                <c:pt idx="279">
                  <c:v>950010</c:v>
                </c:pt>
                <c:pt idx="280">
                  <c:v>950010</c:v>
                </c:pt>
                <c:pt idx="281">
                  <c:v>950011</c:v>
                </c:pt>
                <c:pt idx="282">
                  <c:v>950011</c:v>
                </c:pt>
                <c:pt idx="283">
                  <c:v>950011</c:v>
                </c:pt>
                <c:pt idx="284">
                  <c:v>950011</c:v>
                </c:pt>
                <c:pt idx="285">
                  <c:v>950011</c:v>
                </c:pt>
                <c:pt idx="286">
                  <c:v>950011</c:v>
                </c:pt>
                <c:pt idx="287">
                  <c:v>950011</c:v>
                </c:pt>
                <c:pt idx="288">
                  <c:v>950011</c:v>
                </c:pt>
                <c:pt idx="289">
                  <c:v>950011</c:v>
                </c:pt>
                <c:pt idx="290">
                  <c:v>950011</c:v>
                </c:pt>
                <c:pt idx="291">
                  <c:v>950011</c:v>
                </c:pt>
                <c:pt idx="292">
                  <c:v>950011</c:v>
                </c:pt>
                <c:pt idx="293">
                  <c:v>950011</c:v>
                </c:pt>
                <c:pt idx="294">
                  <c:v>950011</c:v>
                </c:pt>
                <c:pt idx="295">
                  <c:v>950011</c:v>
                </c:pt>
                <c:pt idx="296">
                  <c:v>950011</c:v>
                </c:pt>
                <c:pt idx="297">
                  <c:v>950011</c:v>
                </c:pt>
                <c:pt idx="298">
                  <c:v>950011</c:v>
                </c:pt>
                <c:pt idx="299">
                  <c:v>950011</c:v>
                </c:pt>
                <c:pt idx="300">
                  <c:v>950011</c:v>
                </c:pt>
                <c:pt idx="301">
                  <c:v>950012</c:v>
                </c:pt>
                <c:pt idx="302">
                  <c:v>950012</c:v>
                </c:pt>
                <c:pt idx="303">
                  <c:v>950012</c:v>
                </c:pt>
                <c:pt idx="304">
                  <c:v>950012</c:v>
                </c:pt>
                <c:pt idx="305">
                  <c:v>950012</c:v>
                </c:pt>
                <c:pt idx="306">
                  <c:v>950012</c:v>
                </c:pt>
                <c:pt idx="307">
                  <c:v>950012</c:v>
                </c:pt>
                <c:pt idx="308">
                  <c:v>950012</c:v>
                </c:pt>
                <c:pt idx="309">
                  <c:v>950012</c:v>
                </c:pt>
                <c:pt idx="310">
                  <c:v>950012</c:v>
                </c:pt>
                <c:pt idx="311">
                  <c:v>950012</c:v>
                </c:pt>
                <c:pt idx="312">
                  <c:v>950012</c:v>
                </c:pt>
                <c:pt idx="313">
                  <c:v>950012</c:v>
                </c:pt>
                <c:pt idx="314">
                  <c:v>950012</c:v>
                </c:pt>
                <c:pt idx="315">
                  <c:v>950012</c:v>
                </c:pt>
                <c:pt idx="316">
                  <c:v>950012</c:v>
                </c:pt>
                <c:pt idx="317">
                  <c:v>950012</c:v>
                </c:pt>
                <c:pt idx="318">
                  <c:v>950012</c:v>
                </c:pt>
                <c:pt idx="319">
                  <c:v>950012</c:v>
                </c:pt>
                <c:pt idx="320">
                  <c:v>950012</c:v>
                </c:pt>
                <c:pt idx="321">
                  <c:v>950013</c:v>
                </c:pt>
                <c:pt idx="322">
                  <c:v>950013</c:v>
                </c:pt>
                <c:pt idx="323">
                  <c:v>950013</c:v>
                </c:pt>
                <c:pt idx="324">
                  <c:v>950013</c:v>
                </c:pt>
                <c:pt idx="325">
                  <c:v>950013</c:v>
                </c:pt>
                <c:pt idx="326">
                  <c:v>950013</c:v>
                </c:pt>
                <c:pt idx="327">
                  <c:v>950013</c:v>
                </c:pt>
                <c:pt idx="328">
                  <c:v>950013</c:v>
                </c:pt>
                <c:pt idx="329">
                  <c:v>950013</c:v>
                </c:pt>
                <c:pt idx="330">
                  <c:v>950013</c:v>
                </c:pt>
                <c:pt idx="331">
                  <c:v>950013</c:v>
                </c:pt>
                <c:pt idx="332">
                  <c:v>950013</c:v>
                </c:pt>
                <c:pt idx="333">
                  <c:v>950013</c:v>
                </c:pt>
                <c:pt idx="334">
                  <c:v>950013</c:v>
                </c:pt>
                <c:pt idx="335">
                  <c:v>950013</c:v>
                </c:pt>
                <c:pt idx="336">
                  <c:v>950013</c:v>
                </c:pt>
                <c:pt idx="337">
                  <c:v>950013</c:v>
                </c:pt>
                <c:pt idx="338">
                  <c:v>950013</c:v>
                </c:pt>
                <c:pt idx="339">
                  <c:v>950013</c:v>
                </c:pt>
                <c:pt idx="340">
                  <c:v>950013</c:v>
                </c:pt>
                <c:pt idx="341">
                  <c:v>950014</c:v>
                </c:pt>
                <c:pt idx="342">
                  <c:v>950014</c:v>
                </c:pt>
                <c:pt idx="343">
                  <c:v>950014</c:v>
                </c:pt>
                <c:pt idx="344">
                  <c:v>950014</c:v>
                </c:pt>
                <c:pt idx="345">
                  <c:v>950014</c:v>
                </c:pt>
                <c:pt idx="346">
                  <c:v>950014</c:v>
                </c:pt>
                <c:pt idx="347">
                  <c:v>950014</c:v>
                </c:pt>
                <c:pt idx="348">
                  <c:v>950014</c:v>
                </c:pt>
                <c:pt idx="349">
                  <c:v>950014</c:v>
                </c:pt>
                <c:pt idx="350">
                  <c:v>950014</c:v>
                </c:pt>
                <c:pt idx="351">
                  <c:v>950014</c:v>
                </c:pt>
                <c:pt idx="352">
                  <c:v>950014</c:v>
                </c:pt>
                <c:pt idx="353">
                  <c:v>950014</c:v>
                </c:pt>
                <c:pt idx="354">
                  <c:v>950014</c:v>
                </c:pt>
                <c:pt idx="355">
                  <c:v>950014</c:v>
                </c:pt>
                <c:pt idx="356">
                  <c:v>950014</c:v>
                </c:pt>
                <c:pt idx="357">
                  <c:v>950014</c:v>
                </c:pt>
                <c:pt idx="358">
                  <c:v>950014</c:v>
                </c:pt>
                <c:pt idx="359">
                  <c:v>950014</c:v>
                </c:pt>
                <c:pt idx="360">
                  <c:v>950014</c:v>
                </c:pt>
                <c:pt idx="361">
                  <c:v>950015</c:v>
                </c:pt>
                <c:pt idx="362">
                  <c:v>950015</c:v>
                </c:pt>
                <c:pt idx="363">
                  <c:v>950015</c:v>
                </c:pt>
                <c:pt idx="364">
                  <c:v>950015</c:v>
                </c:pt>
                <c:pt idx="365">
                  <c:v>950015</c:v>
                </c:pt>
                <c:pt idx="366">
                  <c:v>950015</c:v>
                </c:pt>
                <c:pt idx="367">
                  <c:v>950015</c:v>
                </c:pt>
                <c:pt idx="368">
                  <c:v>950015</c:v>
                </c:pt>
                <c:pt idx="369">
                  <c:v>950015</c:v>
                </c:pt>
                <c:pt idx="370">
                  <c:v>950015</c:v>
                </c:pt>
                <c:pt idx="371">
                  <c:v>950015</c:v>
                </c:pt>
                <c:pt idx="372">
                  <c:v>950015</c:v>
                </c:pt>
                <c:pt idx="373">
                  <c:v>950015</c:v>
                </c:pt>
                <c:pt idx="374">
                  <c:v>950015</c:v>
                </c:pt>
                <c:pt idx="375">
                  <c:v>950015</c:v>
                </c:pt>
                <c:pt idx="376">
                  <c:v>950015</c:v>
                </c:pt>
                <c:pt idx="377">
                  <c:v>950015</c:v>
                </c:pt>
                <c:pt idx="378">
                  <c:v>950015</c:v>
                </c:pt>
                <c:pt idx="379">
                  <c:v>950015</c:v>
                </c:pt>
                <c:pt idx="380">
                  <c:v>950015</c:v>
                </c:pt>
                <c:pt idx="381">
                  <c:v>950016</c:v>
                </c:pt>
                <c:pt idx="382">
                  <c:v>950016</c:v>
                </c:pt>
                <c:pt idx="383">
                  <c:v>950016</c:v>
                </c:pt>
                <c:pt idx="384">
                  <c:v>950016</c:v>
                </c:pt>
                <c:pt idx="385">
                  <c:v>950016</c:v>
                </c:pt>
                <c:pt idx="386">
                  <c:v>950016</c:v>
                </c:pt>
                <c:pt idx="387">
                  <c:v>950016</c:v>
                </c:pt>
                <c:pt idx="388">
                  <c:v>950016</c:v>
                </c:pt>
                <c:pt idx="389">
                  <c:v>950016</c:v>
                </c:pt>
                <c:pt idx="390">
                  <c:v>950016</c:v>
                </c:pt>
                <c:pt idx="391">
                  <c:v>950016</c:v>
                </c:pt>
                <c:pt idx="392">
                  <c:v>950016</c:v>
                </c:pt>
                <c:pt idx="393">
                  <c:v>950016</c:v>
                </c:pt>
                <c:pt idx="394">
                  <c:v>950016</c:v>
                </c:pt>
                <c:pt idx="395">
                  <c:v>950016</c:v>
                </c:pt>
                <c:pt idx="396">
                  <c:v>950016</c:v>
                </c:pt>
                <c:pt idx="397">
                  <c:v>950016</c:v>
                </c:pt>
                <c:pt idx="398">
                  <c:v>950016</c:v>
                </c:pt>
                <c:pt idx="399">
                  <c:v>950016</c:v>
                </c:pt>
                <c:pt idx="400">
                  <c:v>950016</c:v>
                </c:pt>
                <c:pt idx="401">
                  <c:v>950017</c:v>
                </c:pt>
                <c:pt idx="402">
                  <c:v>950017</c:v>
                </c:pt>
                <c:pt idx="403">
                  <c:v>950017</c:v>
                </c:pt>
                <c:pt idx="404">
                  <c:v>950017</c:v>
                </c:pt>
                <c:pt idx="405">
                  <c:v>950017</c:v>
                </c:pt>
                <c:pt idx="406">
                  <c:v>950017</c:v>
                </c:pt>
                <c:pt idx="407">
                  <c:v>950017</c:v>
                </c:pt>
                <c:pt idx="408">
                  <c:v>950017</c:v>
                </c:pt>
                <c:pt idx="409">
                  <c:v>950017</c:v>
                </c:pt>
                <c:pt idx="410">
                  <c:v>950017</c:v>
                </c:pt>
                <c:pt idx="411">
                  <c:v>950017</c:v>
                </c:pt>
                <c:pt idx="412">
                  <c:v>950017</c:v>
                </c:pt>
                <c:pt idx="413">
                  <c:v>950017</c:v>
                </c:pt>
                <c:pt idx="414">
                  <c:v>950017</c:v>
                </c:pt>
                <c:pt idx="415">
                  <c:v>950017</c:v>
                </c:pt>
                <c:pt idx="416">
                  <c:v>950017</c:v>
                </c:pt>
                <c:pt idx="417">
                  <c:v>950017</c:v>
                </c:pt>
                <c:pt idx="418">
                  <c:v>950017</c:v>
                </c:pt>
                <c:pt idx="419">
                  <c:v>950017</c:v>
                </c:pt>
                <c:pt idx="420">
                  <c:v>950017</c:v>
                </c:pt>
                <c:pt idx="421">
                  <c:v>950018</c:v>
                </c:pt>
                <c:pt idx="422">
                  <c:v>950018</c:v>
                </c:pt>
                <c:pt idx="423">
                  <c:v>950018</c:v>
                </c:pt>
                <c:pt idx="424">
                  <c:v>950018</c:v>
                </c:pt>
                <c:pt idx="425">
                  <c:v>950018</c:v>
                </c:pt>
                <c:pt idx="426">
                  <c:v>950018</c:v>
                </c:pt>
                <c:pt idx="427">
                  <c:v>950018</c:v>
                </c:pt>
                <c:pt idx="428">
                  <c:v>950018</c:v>
                </c:pt>
                <c:pt idx="429">
                  <c:v>950018</c:v>
                </c:pt>
                <c:pt idx="430">
                  <c:v>950018</c:v>
                </c:pt>
                <c:pt idx="431">
                  <c:v>950018</c:v>
                </c:pt>
                <c:pt idx="432">
                  <c:v>950018</c:v>
                </c:pt>
                <c:pt idx="433">
                  <c:v>950018</c:v>
                </c:pt>
                <c:pt idx="434">
                  <c:v>950018</c:v>
                </c:pt>
                <c:pt idx="435">
                  <c:v>950018</c:v>
                </c:pt>
                <c:pt idx="436">
                  <c:v>950018</c:v>
                </c:pt>
                <c:pt idx="437">
                  <c:v>950018</c:v>
                </c:pt>
                <c:pt idx="438">
                  <c:v>950018</c:v>
                </c:pt>
                <c:pt idx="439">
                  <c:v>950018</c:v>
                </c:pt>
                <c:pt idx="440">
                  <c:v>950018</c:v>
                </c:pt>
                <c:pt idx="441">
                  <c:v>950019</c:v>
                </c:pt>
                <c:pt idx="442">
                  <c:v>950019</c:v>
                </c:pt>
                <c:pt idx="443">
                  <c:v>950019</c:v>
                </c:pt>
                <c:pt idx="444">
                  <c:v>950019</c:v>
                </c:pt>
                <c:pt idx="445">
                  <c:v>950019</c:v>
                </c:pt>
                <c:pt idx="446">
                  <c:v>950019</c:v>
                </c:pt>
                <c:pt idx="447">
                  <c:v>950019</c:v>
                </c:pt>
                <c:pt idx="448">
                  <c:v>950019</c:v>
                </c:pt>
                <c:pt idx="449">
                  <c:v>950019</c:v>
                </c:pt>
                <c:pt idx="450">
                  <c:v>950019</c:v>
                </c:pt>
                <c:pt idx="451">
                  <c:v>950019</c:v>
                </c:pt>
                <c:pt idx="452">
                  <c:v>950019</c:v>
                </c:pt>
                <c:pt idx="453">
                  <c:v>950019</c:v>
                </c:pt>
                <c:pt idx="454">
                  <c:v>950019</c:v>
                </c:pt>
                <c:pt idx="455">
                  <c:v>950019</c:v>
                </c:pt>
                <c:pt idx="456">
                  <c:v>950019</c:v>
                </c:pt>
                <c:pt idx="457">
                  <c:v>950019</c:v>
                </c:pt>
                <c:pt idx="458">
                  <c:v>950019</c:v>
                </c:pt>
                <c:pt idx="459">
                  <c:v>950019</c:v>
                </c:pt>
                <c:pt idx="460">
                  <c:v>950019</c:v>
                </c:pt>
                <c:pt idx="461">
                  <c:v>950020</c:v>
                </c:pt>
                <c:pt idx="462">
                  <c:v>950020</c:v>
                </c:pt>
                <c:pt idx="463">
                  <c:v>950020</c:v>
                </c:pt>
                <c:pt idx="464">
                  <c:v>950020</c:v>
                </c:pt>
                <c:pt idx="465">
                  <c:v>950020</c:v>
                </c:pt>
                <c:pt idx="466">
                  <c:v>950020</c:v>
                </c:pt>
                <c:pt idx="467">
                  <c:v>950020</c:v>
                </c:pt>
                <c:pt idx="468">
                  <c:v>950020</c:v>
                </c:pt>
                <c:pt idx="469">
                  <c:v>950020</c:v>
                </c:pt>
                <c:pt idx="470">
                  <c:v>950020</c:v>
                </c:pt>
                <c:pt idx="471">
                  <c:v>950020</c:v>
                </c:pt>
                <c:pt idx="472">
                  <c:v>950020</c:v>
                </c:pt>
                <c:pt idx="473">
                  <c:v>950020</c:v>
                </c:pt>
                <c:pt idx="474">
                  <c:v>950020</c:v>
                </c:pt>
                <c:pt idx="475">
                  <c:v>950020</c:v>
                </c:pt>
                <c:pt idx="476">
                  <c:v>950020</c:v>
                </c:pt>
                <c:pt idx="477">
                  <c:v>950020</c:v>
                </c:pt>
                <c:pt idx="478">
                  <c:v>950020</c:v>
                </c:pt>
                <c:pt idx="479">
                  <c:v>950020</c:v>
                </c:pt>
                <c:pt idx="480">
                  <c:v>950020</c:v>
                </c:pt>
                <c:pt idx="481">
                  <c:v>950021</c:v>
                </c:pt>
                <c:pt idx="482">
                  <c:v>950021</c:v>
                </c:pt>
                <c:pt idx="483">
                  <c:v>950021</c:v>
                </c:pt>
                <c:pt idx="484">
                  <c:v>950021</c:v>
                </c:pt>
                <c:pt idx="485">
                  <c:v>950021</c:v>
                </c:pt>
                <c:pt idx="486">
                  <c:v>950021</c:v>
                </c:pt>
                <c:pt idx="487">
                  <c:v>950021</c:v>
                </c:pt>
                <c:pt idx="488">
                  <c:v>950021</c:v>
                </c:pt>
                <c:pt idx="489">
                  <c:v>950021</c:v>
                </c:pt>
                <c:pt idx="490">
                  <c:v>950021</c:v>
                </c:pt>
                <c:pt idx="491">
                  <c:v>950021</c:v>
                </c:pt>
                <c:pt idx="492">
                  <c:v>950021</c:v>
                </c:pt>
                <c:pt idx="493">
                  <c:v>950021</c:v>
                </c:pt>
                <c:pt idx="494">
                  <c:v>950021</c:v>
                </c:pt>
                <c:pt idx="495">
                  <c:v>950021</c:v>
                </c:pt>
                <c:pt idx="496">
                  <c:v>950021</c:v>
                </c:pt>
                <c:pt idx="497">
                  <c:v>950021</c:v>
                </c:pt>
                <c:pt idx="498">
                  <c:v>950021</c:v>
                </c:pt>
                <c:pt idx="499">
                  <c:v>950021</c:v>
                </c:pt>
                <c:pt idx="500">
                  <c:v>950021</c:v>
                </c:pt>
                <c:pt idx="501">
                  <c:v>950022</c:v>
                </c:pt>
                <c:pt idx="502">
                  <c:v>950022</c:v>
                </c:pt>
                <c:pt idx="503">
                  <c:v>950022</c:v>
                </c:pt>
              </c:numCache>
            </c:numRef>
          </c:xVal>
          <c:yVal>
            <c:numRef>
              <c:f>Planilha1!$S$3:$S$506</c:f>
              <c:numCache>
                <c:formatCode>General</c:formatCode>
                <c:ptCount val="504"/>
                <c:pt idx="1">
                  <c:v>5.1796432584533579E-3</c:v>
                </c:pt>
                <c:pt idx="26">
                  <c:v>5.153783940759488E-3</c:v>
                </c:pt>
                <c:pt idx="46">
                  <c:v>5.1932198420052804E-3</c:v>
                </c:pt>
                <c:pt idx="72">
                  <c:v>5.1755251248491183E-3</c:v>
                </c:pt>
                <c:pt idx="85">
                  <c:v>5.1844974146416888E-3</c:v>
                </c:pt>
                <c:pt idx="106">
                  <c:v>5.1873874260551086E-3</c:v>
                </c:pt>
                <c:pt idx="125">
                  <c:v>5.1434618157104959E-3</c:v>
                </c:pt>
                <c:pt idx="146">
                  <c:v>5.1578466932672385E-3</c:v>
                </c:pt>
                <c:pt idx="167">
                  <c:v>5.2298155879999982E-3</c:v>
                </c:pt>
                <c:pt idx="188">
                  <c:v>5.1869010123044099E-3</c:v>
                </c:pt>
                <c:pt idx="209">
                  <c:v>5.149469155246271E-3</c:v>
                </c:pt>
                <c:pt idx="230">
                  <c:v>5.1499851648163092E-3</c:v>
                </c:pt>
                <c:pt idx="251">
                  <c:v>5.1755338547135208E-3</c:v>
                </c:pt>
                <c:pt idx="272">
                  <c:v>5.1695393132029002E-3</c:v>
                </c:pt>
                <c:pt idx="293">
                  <c:v>5.1856472423384113E-3</c:v>
                </c:pt>
                <c:pt idx="314">
                  <c:v>5.24490762753301E-3</c:v>
                </c:pt>
                <c:pt idx="335">
                  <c:v>5.1669548411523818E-3</c:v>
                </c:pt>
                <c:pt idx="356">
                  <c:v>5.1806878088045284E-3</c:v>
                </c:pt>
                <c:pt idx="377">
                  <c:v>5.1750124334293034E-3</c:v>
                </c:pt>
                <c:pt idx="398">
                  <c:v>5.2601004067039867E-3</c:v>
                </c:pt>
                <c:pt idx="419">
                  <c:v>5.1716072516817561E-3</c:v>
                </c:pt>
                <c:pt idx="440">
                  <c:v>5.1908262874438725E-3</c:v>
                </c:pt>
                <c:pt idx="461">
                  <c:v>5.1991002115047832E-3</c:v>
                </c:pt>
                <c:pt idx="482">
                  <c:v>5.2567830595274647E-3</c:v>
                </c:pt>
                <c:pt idx="503">
                  <c:v>5.150805095048297E-3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23-1448-B24E-52E33D160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082304"/>
        <c:axId val="75889535"/>
      </c:scatterChart>
      <c:valAx>
        <c:axId val="196008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889535"/>
        <c:crosses val="autoZero"/>
        <c:crossBetween val="midCat"/>
      </c:valAx>
      <c:valAx>
        <c:axId val="75889535"/>
        <c:scaling>
          <c:orientation val="minMax"/>
          <c:max val="5.4999999999999997E-3"/>
          <c:min val="5.0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008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527050</xdr:colOff>
      <xdr:row>8</xdr:row>
      <xdr:rowOff>69850</xdr:rowOff>
    </xdr:from>
    <xdr:to>
      <xdr:col>17</xdr:col>
      <xdr:colOff>44450</xdr:colOff>
      <xdr:row>21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DE6ABD-9ED7-29C2-457D-E4167D292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196850</xdr:colOff>
      <xdr:row>8</xdr:row>
      <xdr:rowOff>63500</xdr:rowOff>
    </xdr:from>
    <xdr:to>
      <xdr:col>22</xdr:col>
      <xdr:colOff>641350</xdr:colOff>
      <xdr:row>21</xdr:row>
      <xdr:rowOff>165100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927348-1727-083D-C032-9CBA1E0EB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B374-AB39-C649-B3B4-600F83648F4B}">
  <dimension ref="A1:U2026"/>
  <sheetViews>
    <sheetView tabSelected="1" workbookViewId="0">
      <selection activeCell="U26" sqref="U26"/>
    </sheetView>
  </sheetViews>
  <sheetFormatPr baseColWidth="10" defaultRowHeight="16" x14ac:dyDescent="0.2"/>
  <cols>
    <col min="15" max="15" width="12.1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>
        <v>2</v>
      </c>
      <c r="H1">
        <v>3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2037</v>
      </c>
      <c r="R1" t="s">
        <v>2038</v>
      </c>
    </row>
    <row r="2" spans="1:19" x14ac:dyDescent="0.2">
      <c r="A2" t="s">
        <v>13</v>
      </c>
      <c r="B2">
        <v>5.53884314</v>
      </c>
      <c r="C2">
        <v>5.1227639999999998E-2</v>
      </c>
      <c r="D2">
        <v>5.6805791899999996</v>
      </c>
      <c r="E2">
        <v>1.20502511</v>
      </c>
      <c r="F2">
        <v>3.2645105700000001</v>
      </c>
      <c r="G2">
        <v>1.26973066</v>
      </c>
      <c r="H2">
        <v>2.5227895</v>
      </c>
      <c r="I2">
        <v>9.8609400000000003E-3</v>
      </c>
      <c r="J2">
        <v>1</v>
      </c>
      <c r="K2">
        <v>949996</v>
      </c>
      <c r="P2">
        <f>+C2*4/(PI()*0.15^2)</f>
        <v>2.8988914236203027</v>
      </c>
    </row>
    <row r="3" spans="1:19" x14ac:dyDescent="0.2">
      <c r="A3" t="s">
        <v>14</v>
      </c>
      <c r="B3">
        <v>5.5570109399999996</v>
      </c>
      <c r="C3">
        <v>0.10720836</v>
      </c>
      <c r="D3">
        <v>5.7025870200000002</v>
      </c>
      <c r="E3">
        <v>1.1457615800000001</v>
      </c>
      <c r="F3">
        <v>3.2495509199999999</v>
      </c>
      <c r="G3">
        <v>1.2695268399999999</v>
      </c>
      <c r="H3">
        <v>2.5431610600000001</v>
      </c>
      <c r="I3">
        <v>9.8609400000000003E-3</v>
      </c>
      <c r="J3">
        <v>1</v>
      </c>
      <c r="K3">
        <v>949996</v>
      </c>
      <c r="L3">
        <f>+F3/260</f>
        <v>1.2498272769230769E-2</v>
      </c>
      <c r="M3">
        <f t="shared" ref="M3:N3" si="0">+G3/260</f>
        <v>4.882795538461538E-3</v>
      </c>
      <c r="N3">
        <f t="shared" si="0"/>
        <v>9.7813886923076923E-3</v>
      </c>
      <c r="O3">
        <f>(+G3+H3)/520</f>
        <v>7.332092115384616E-3</v>
      </c>
      <c r="P3">
        <f t="shared" ref="P3:P66" si="1">+C3*4/(PI()*0.15^2)</f>
        <v>6.066752154586819</v>
      </c>
      <c r="R3">
        <f>+(P3+P4)/2*(O4-O3)</f>
        <v>7.8411266749243373E-4</v>
      </c>
    </row>
    <row r="4" spans="1:19" x14ac:dyDescent="0.2">
      <c r="A4" t="s">
        <v>15</v>
      </c>
      <c r="B4">
        <v>5.5967205599999996</v>
      </c>
      <c r="C4">
        <v>0.18735056999999999</v>
      </c>
      <c r="D4">
        <v>5.7414845799999998</v>
      </c>
      <c r="E4">
        <v>0.96797098999999998</v>
      </c>
      <c r="F4">
        <v>3.2350636800000001</v>
      </c>
      <c r="G4">
        <v>1.2759811400000001</v>
      </c>
      <c r="H4">
        <v>2.5856296400000001</v>
      </c>
      <c r="I4">
        <v>9.8609400000000003E-3</v>
      </c>
      <c r="J4">
        <v>1</v>
      </c>
      <c r="K4">
        <v>949997</v>
      </c>
      <c r="L4">
        <f t="shared" ref="L4:L67" si="2">+F4/260</f>
        <v>1.2442552615384616E-2</v>
      </c>
      <c r="M4">
        <f t="shared" ref="M4:M67" si="3">+G4/260</f>
        <v>4.9076197692307696E-3</v>
      </c>
      <c r="N4">
        <f t="shared" ref="N4:N67" si="4">+H4/260</f>
        <v>9.9447293846153841E-3</v>
      </c>
      <c r="O4">
        <f t="shared" ref="O4:O67" si="5">(+G4+H4)/520</f>
        <v>7.4261745769230777E-3</v>
      </c>
      <c r="P4">
        <f t="shared" si="1"/>
        <v>10.601873531229922</v>
      </c>
      <c r="Q4">
        <f>ABS(0.5*(SUMPRODUCT(O4:O22,P5:P23)+O23*P4-(SUMPRODUCT(O5:O23,P4:P22)+O4*P23)))</f>
        <v>5.191388354990778E-3</v>
      </c>
      <c r="R4">
        <f t="shared" ref="R4:R67" si="6">+(P4+P5)/2*(O5-O4)</f>
        <v>1.8134834550506728E-3</v>
      </c>
      <c r="S4">
        <f>ABS(SUMIFS($R:$R,$K:$K,K4))</f>
        <v>5.1796432584533579E-3</v>
      </c>
    </row>
    <row r="5" spans="1:19" x14ac:dyDescent="0.2">
      <c r="A5" t="s">
        <v>16</v>
      </c>
      <c r="B5">
        <v>5.6488880999999997</v>
      </c>
      <c r="C5">
        <v>0.28241217000000002</v>
      </c>
      <c r="D5">
        <v>5.8023899700000001</v>
      </c>
      <c r="E5">
        <v>0.79018040000000001</v>
      </c>
      <c r="F5">
        <v>3.2245131900000001</v>
      </c>
      <c r="G5">
        <v>1.29004472</v>
      </c>
      <c r="H5">
        <v>2.6425141600000002</v>
      </c>
      <c r="I5">
        <v>1.004355E-2</v>
      </c>
      <c r="J5">
        <v>1</v>
      </c>
      <c r="K5">
        <v>949997</v>
      </c>
      <c r="L5">
        <f t="shared" si="2"/>
        <v>1.2401973807692309E-2</v>
      </c>
      <c r="M5">
        <f t="shared" si="3"/>
        <v>4.9617104615384613E-3</v>
      </c>
      <c r="N5">
        <f t="shared" si="4"/>
        <v>1.0163516000000001E-2</v>
      </c>
      <c r="O5">
        <f t="shared" si="5"/>
        <v>7.5626132307692311E-3</v>
      </c>
      <c r="P5">
        <f t="shared" si="1"/>
        <v>15.981259678154196</v>
      </c>
      <c r="R5">
        <f t="shared" si="6"/>
        <v>2.9023064806506329E-3</v>
      </c>
    </row>
    <row r="6" spans="1:19" x14ac:dyDescent="0.2">
      <c r="A6" t="s">
        <v>17</v>
      </c>
      <c r="B6">
        <v>5.7114372400000004</v>
      </c>
      <c r="C6">
        <v>0.39331737</v>
      </c>
      <c r="D6">
        <v>5.8714843200000004</v>
      </c>
      <c r="E6">
        <v>0.67165333999999999</v>
      </c>
      <c r="F6">
        <v>3.2289223499999999</v>
      </c>
      <c r="G6">
        <v>1.3058068</v>
      </c>
      <c r="H6">
        <v>2.7056882600000001</v>
      </c>
      <c r="I6">
        <v>1.004355E-2</v>
      </c>
      <c r="J6">
        <v>1</v>
      </c>
      <c r="K6">
        <v>949997</v>
      </c>
      <c r="L6">
        <f t="shared" si="2"/>
        <v>1.2418932115384616E-2</v>
      </c>
      <c r="M6">
        <f t="shared" si="3"/>
        <v>5.0223338461538461E-3</v>
      </c>
      <c r="N6">
        <f t="shared" si="4"/>
        <v>1.0406493307692308E-2</v>
      </c>
      <c r="O6">
        <f t="shared" si="5"/>
        <v>7.714413576923076E-3</v>
      </c>
      <c r="P6">
        <f t="shared" si="1"/>
        <v>22.257210182899179</v>
      </c>
      <c r="R6">
        <f t="shared" si="6"/>
        <v>3.8058159916531139E-3</v>
      </c>
    </row>
    <row r="7" spans="1:19" x14ac:dyDescent="0.2">
      <c r="A7" t="s">
        <v>18</v>
      </c>
      <c r="B7">
        <v>5.77320776</v>
      </c>
      <c r="C7">
        <v>0.52706375999999999</v>
      </c>
      <c r="D7">
        <v>5.9400668599999999</v>
      </c>
      <c r="E7">
        <v>0.67165333999999999</v>
      </c>
      <c r="F7">
        <v>3.2350636800000001</v>
      </c>
      <c r="G7">
        <v>1.3194627400000001</v>
      </c>
      <c r="H7">
        <v>2.7680274599999999</v>
      </c>
      <c r="I7">
        <v>9.8609400000000003E-3</v>
      </c>
      <c r="J7">
        <v>1</v>
      </c>
      <c r="K7">
        <v>949997</v>
      </c>
      <c r="L7">
        <f t="shared" si="2"/>
        <v>1.2442552615384616E-2</v>
      </c>
      <c r="M7">
        <f t="shared" si="3"/>
        <v>5.0748566923076929E-3</v>
      </c>
      <c r="N7">
        <f t="shared" si="4"/>
        <v>1.0646259461538462E-2</v>
      </c>
      <c r="O7">
        <f t="shared" si="5"/>
        <v>7.8605580769230757E-3</v>
      </c>
      <c r="P7">
        <f t="shared" si="1"/>
        <v>29.825707636835691</v>
      </c>
      <c r="R7">
        <f t="shared" si="6"/>
        <v>4.4569282712152193E-3</v>
      </c>
    </row>
    <row r="8" spans="1:19" x14ac:dyDescent="0.2">
      <c r="A8" t="s">
        <v>19</v>
      </c>
      <c r="B8">
        <v>5.8318637999999998</v>
      </c>
      <c r="C8">
        <v>0.70675659000000002</v>
      </c>
      <c r="D8">
        <v>6.0055785400000001</v>
      </c>
      <c r="E8">
        <v>0.61238981000000003</v>
      </c>
      <c r="F8">
        <v>3.2452992300000001</v>
      </c>
      <c r="G8">
        <v>1.33046902</v>
      </c>
      <c r="H8">
        <v>2.8234091600000002</v>
      </c>
      <c r="I8">
        <v>9.8609400000000003E-3</v>
      </c>
      <c r="J8">
        <v>1</v>
      </c>
      <c r="K8">
        <v>949997</v>
      </c>
      <c r="L8">
        <f t="shared" si="2"/>
        <v>1.2481920115384616E-2</v>
      </c>
      <c r="M8">
        <f t="shared" si="3"/>
        <v>5.1171885384615383E-3</v>
      </c>
      <c r="N8">
        <f t="shared" si="4"/>
        <v>1.0859266000000001E-2</v>
      </c>
      <c r="O8">
        <f t="shared" si="5"/>
        <v>7.9882272692307701E-3</v>
      </c>
      <c r="P8">
        <f t="shared" si="1"/>
        <v>39.994241728452266</v>
      </c>
      <c r="R8">
        <f t="shared" si="6"/>
        <v>2.764975628537772E-3</v>
      </c>
    </row>
    <row r="9" spans="1:19" x14ac:dyDescent="0.2">
      <c r="A9" t="s">
        <v>20</v>
      </c>
      <c r="B9">
        <v>5.8715734199999998</v>
      </c>
      <c r="C9">
        <v>0.82479141</v>
      </c>
      <c r="D9">
        <v>6.0367989499999997</v>
      </c>
      <c r="E9">
        <v>0.61238981000000003</v>
      </c>
      <c r="F9">
        <v>3.2610462299999998</v>
      </c>
      <c r="G9">
        <v>1.3354286399999999</v>
      </c>
      <c r="H9">
        <v>2.85162878</v>
      </c>
      <c r="I9">
        <v>9.8609400000000003E-3</v>
      </c>
      <c r="J9">
        <v>1</v>
      </c>
      <c r="K9">
        <v>949997</v>
      </c>
      <c r="L9">
        <f t="shared" si="2"/>
        <v>1.2542485499999999E-2</v>
      </c>
      <c r="M9">
        <f t="shared" si="3"/>
        <v>5.1362639999999998E-3</v>
      </c>
      <c r="N9">
        <f t="shared" si="4"/>
        <v>1.0967803E-2</v>
      </c>
      <c r="O9">
        <f t="shared" si="5"/>
        <v>8.0520334999999998E-3</v>
      </c>
      <c r="P9">
        <f t="shared" si="1"/>
        <v>46.673646194216573</v>
      </c>
      <c r="R9">
        <f t="shared" si="6"/>
        <v>8.9338036252326601E-4</v>
      </c>
    </row>
    <row r="10" spans="1:19" x14ac:dyDescent="0.2">
      <c r="A10" t="s">
        <v>21</v>
      </c>
      <c r="B10">
        <v>5.88013824</v>
      </c>
      <c r="C10">
        <v>0.85264974000000004</v>
      </c>
      <c r="D10">
        <v>6.04754696</v>
      </c>
      <c r="E10">
        <v>0.61238981000000003</v>
      </c>
      <c r="F10">
        <v>3.2783679299999999</v>
      </c>
      <c r="G10">
        <v>1.3369233199999999</v>
      </c>
      <c r="H10">
        <v>2.8599221199999998</v>
      </c>
      <c r="I10">
        <v>1.004355E-2</v>
      </c>
      <c r="J10">
        <v>1</v>
      </c>
      <c r="K10">
        <v>949997</v>
      </c>
      <c r="L10">
        <f t="shared" si="2"/>
        <v>1.2609107423076922E-2</v>
      </c>
      <c r="M10">
        <f t="shared" si="3"/>
        <v>5.142012769230769E-3</v>
      </c>
      <c r="N10">
        <f t="shared" si="4"/>
        <v>1.0999700461538461E-2</v>
      </c>
      <c r="O10">
        <f t="shared" si="5"/>
        <v>8.0708566153846143E-3</v>
      </c>
      <c r="P10">
        <f t="shared" si="1"/>
        <v>48.250105190051329</v>
      </c>
      <c r="R10">
        <f t="shared" si="6"/>
        <v>2.479425122025464E-4</v>
      </c>
    </row>
    <row r="11" spans="1:19" x14ac:dyDescent="0.2">
      <c r="A11" t="s">
        <v>22</v>
      </c>
      <c r="B11">
        <v>5.8832527199999998</v>
      </c>
      <c r="C11">
        <v>0.85344191999999997</v>
      </c>
      <c r="D11">
        <v>6.0511296300000001</v>
      </c>
      <c r="E11">
        <v>0.53337177000000002</v>
      </c>
      <c r="F11" s="1">
        <v>3.2912804699999998</v>
      </c>
      <c r="G11" s="1">
        <v>1.3375347799999999</v>
      </c>
      <c r="H11" s="1">
        <v>2.8619815399999999</v>
      </c>
      <c r="I11" s="1">
        <v>1.004355E-2</v>
      </c>
      <c r="J11" s="1">
        <v>1</v>
      </c>
      <c r="K11" s="1">
        <v>949997</v>
      </c>
      <c r="L11">
        <f t="shared" si="2"/>
        <v>1.2658771038461537E-2</v>
      </c>
      <c r="M11">
        <f t="shared" si="3"/>
        <v>5.1443645384615377E-3</v>
      </c>
      <c r="N11">
        <f t="shared" si="4"/>
        <v>1.1007621307692308E-2</v>
      </c>
      <c r="O11">
        <f t="shared" si="5"/>
        <v>8.0759929230769228E-3</v>
      </c>
      <c r="P11" s="1">
        <f t="shared" si="1"/>
        <v>48.294933407942359</v>
      </c>
      <c r="Q11" s="1"/>
      <c r="R11">
        <f t="shared" si="6"/>
        <v>-2.3698528768672649E-5</v>
      </c>
    </row>
    <row r="12" spans="1:19" x14ac:dyDescent="0.2">
      <c r="A12" t="s">
        <v>23</v>
      </c>
      <c r="B12">
        <v>5.88013824</v>
      </c>
      <c r="C12">
        <v>0.81990629999999998</v>
      </c>
      <c r="D12">
        <v>6.0460115300000004</v>
      </c>
      <c r="E12">
        <v>0.47410824000000001</v>
      </c>
      <c r="F12">
        <v>3.3043504800000001</v>
      </c>
      <c r="G12">
        <v>1.3379424200000001</v>
      </c>
      <c r="H12">
        <v>2.8613136199999998</v>
      </c>
      <c r="I12">
        <v>9.6783300000000006E-3</v>
      </c>
      <c r="J12">
        <v>1</v>
      </c>
      <c r="K12">
        <v>949997</v>
      </c>
      <c r="L12">
        <f t="shared" si="2"/>
        <v>1.2709040307692309E-2</v>
      </c>
      <c r="M12">
        <f t="shared" si="3"/>
        <v>5.1459323846153853E-3</v>
      </c>
      <c r="N12">
        <f t="shared" si="4"/>
        <v>1.1005052384615384E-2</v>
      </c>
      <c r="O12">
        <f t="shared" si="5"/>
        <v>8.0754923846153848E-3</v>
      </c>
      <c r="P12">
        <f t="shared" si="1"/>
        <v>46.397205517221856</v>
      </c>
      <c r="R12">
        <f t="shared" si="6"/>
        <v>-1.0449344591681713E-3</v>
      </c>
    </row>
    <row r="13" spans="1:19" x14ac:dyDescent="0.2">
      <c r="A13" t="s">
        <v>24</v>
      </c>
      <c r="B13">
        <v>5.8627490599999996</v>
      </c>
      <c r="C13">
        <v>0.70675659000000002</v>
      </c>
      <c r="D13">
        <v>6.0337280900000003</v>
      </c>
      <c r="E13">
        <v>0.47410824000000001</v>
      </c>
      <c r="F13">
        <v>3.3197825399999998</v>
      </c>
      <c r="G13">
        <v>1.3379424200000001</v>
      </c>
      <c r="H13">
        <v>2.8487344600000002</v>
      </c>
      <c r="I13">
        <v>9.6783300000000006E-3</v>
      </c>
      <c r="J13">
        <v>1</v>
      </c>
      <c r="K13">
        <v>949997</v>
      </c>
      <c r="L13">
        <f t="shared" si="2"/>
        <v>1.2768394384615384E-2</v>
      </c>
      <c r="M13">
        <f t="shared" si="3"/>
        <v>5.1459323846153853E-3</v>
      </c>
      <c r="N13">
        <f t="shared" si="4"/>
        <v>1.0956671000000001E-2</v>
      </c>
      <c r="O13">
        <f t="shared" si="5"/>
        <v>8.0513016923076924E-3</v>
      </c>
      <c r="P13">
        <f t="shared" si="1"/>
        <v>39.994241728452266</v>
      </c>
      <c r="R13">
        <f t="shared" si="6"/>
        <v>-1.1199041775079876E-3</v>
      </c>
    </row>
    <row r="14" spans="1:19" x14ac:dyDescent="0.2">
      <c r="A14" t="s">
        <v>25</v>
      </c>
      <c r="B14">
        <v>5.8453598800000002</v>
      </c>
      <c r="C14">
        <v>0.60918642000000001</v>
      </c>
      <c r="D14">
        <v>6.0147911199999999</v>
      </c>
      <c r="E14">
        <v>0.47410824000000001</v>
      </c>
      <c r="F14">
        <v>3.3289157999999999</v>
      </c>
      <c r="G14">
        <v>1.3379424200000001</v>
      </c>
      <c r="H14">
        <v>2.833094</v>
      </c>
      <c r="I14">
        <v>9.6783300000000006E-3</v>
      </c>
      <c r="J14">
        <v>1</v>
      </c>
      <c r="K14">
        <v>949997</v>
      </c>
      <c r="L14">
        <f t="shared" si="2"/>
        <v>1.2803522307692307E-2</v>
      </c>
      <c r="M14">
        <f t="shared" si="3"/>
        <v>5.1459323846153853E-3</v>
      </c>
      <c r="N14">
        <f t="shared" si="4"/>
        <v>1.0896515384615385E-2</v>
      </c>
      <c r="O14">
        <f t="shared" si="5"/>
        <v>8.0212238846153854E-3</v>
      </c>
      <c r="P14">
        <f t="shared" si="1"/>
        <v>34.472899558206386</v>
      </c>
      <c r="R14">
        <f t="shared" si="6"/>
        <v>-1.2965361697723718E-3</v>
      </c>
    </row>
    <row r="15" spans="1:19" x14ac:dyDescent="0.2">
      <c r="A15" t="s">
        <v>26</v>
      </c>
      <c r="B15">
        <v>5.8240775999999999</v>
      </c>
      <c r="C15">
        <v>0.51940602000000002</v>
      </c>
      <c r="D15">
        <v>5.9917596700000004</v>
      </c>
      <c r="E15">
        <v>0.47410824000000001</v>
      </c>
      <c r="F15">
        <v>3.3331674900000001</v>
      </c>
      <c r="G15">
        <v>1.3375347799999999</v>
      </c>
      <c r="H15">
        <v>2.8123884800000001</v>
      </c>
      <c r="I15">
        <v>9.6783300000000006E-3</v>
      </c>
      <c r="J15">
        <v>1</v>
      </c>
      <c r="K15">
        <v>949997</v>
      </c>
      <c r="L15">
        <f t="shared" si="2"/>
        <v>1.2819874961538462E-2</v>
      </c>
      <c r="M15">
        <f t="shared" si="3"/>
        <v>5.1443645384615377E-3</v>
      </c>
      <c r="N15">
        <f t="shared" si="4"/>
        <v>1.081687876923077E-2</v>
      </c>
      <c r="O15">
        <f t="shared" si="5"/>
        <v>7.9806216538461528E-3</v>
      </c>
      <c r="P15">
        <f t="shared" si="1"/>
        <v>29.39236819722235</v>
      </c>
      <c r="R15">
        <f t="shared" si="6"/>
        <v>-1.9652753115113179E-3</v>
      </c>
    </row>
    <row r="16" spans="1:19" x14ac:dyDescent="0.2">
      <c r="A16" t="s">
        <v>27</v>
      </c>
      <c r="B16">
        <v>5.7955281999999997</v>
      </c>
      <c r="C16">
        <v>0.41906322000000001</v>
      </c>
      <c r="D16">
        <v>5.9477440100000001</v>
      </c>
      <c r="E16">
        <v>0.47410824000000001</v>
      </c>
      <c r="F16">
        <v>3.3374191799999999</v>
      </c>
      <c r="G16">
        <v>1.3333904400000001</v>
      </c>
      <c r="H16">
        <v>2.77804626</v>
      </c>
      <c r="I16">
        <v>9.6783300000000006E-3</v>
      </c>
      <c r="J16">
        <v>1</v>
      </c>
      <c r="K16">
        <v>949997</v>
      </c>
      <c r="L16">
        <f t="shared" si="2"/>
        <v>1.2836227615384615E-2</v>
      </c>
      <c r="M16">
        <f t="shared" si="3"/>
        <v>5.1284247692307697E-3</v>
      </c>
      <c r="N16">
        <f t="shared" si="4"/>
        <v>1.0684793307692307E-2</v>
      </c>
      <c r="O16">
        <f t="shared" si="5"/>
        <v>7.9066090384615397E-3</v>
      </c>
      <c r="P16">
        <f t="shared" si="1"/>
        <v>23.714127264357838</v>
      </c>
      <c r="R16">
        <f t="shared" si="6"/>
        <v>-2.198765904838891E-3</v>
      </c>
    </row>
    <row r="17" spans="1:19" x14ac:dyDescent="0.2">
      <c r="A17" t="s">
        <v>28</v>
      </c>
      <c r="B17">
        <v>5.7503682400000002</v>
      </c>
      <c r="C17">
        <v>0.32637815999999997</v>
      </c>
      <c r="D17">
        <v>5.8991220599999998</v>
      </c>
      <c r="E17">
        <v>0.47410824000000001</v>
      </c>
      <c r="F17">
        <v>3.3389938799999999</v>
      </c>
      <c r="G17">
        <v>1.3257132199999999</v>
      </c>
      <c r="H17">
        <v>2.7315144999999998</v>
      </c>
      <c r="I17">
        <v>1.004355E-2</v>
      </c>
      <c r="J17">
        <v>1</v>
      </c>
      <c r="K17">
        <v>949997</v>
      </c>
      <c r="L17">
        <f t="shared" si="2"/>
        <v>1.2842284153846154E-2</v>
      </c>
      <c r="M17">
        <f t="shared" si="3"/>
        <v>5.0988969999999998E-3</v>
      </c>
      <c r="N17">
        <f t="shared" si="4"/>
        <v>1.0505825E-2</v>
      </c>
      <c r="O17">
        <f t="shared" si="5"/>
        <v>7.8023610000000007E-3</v>
      </c>
      <c r="P17">
        <f t="shared" si="1"/>
        <v>18.469225771106668</v>
      </c>
      <c r="R17">
        <f t="shared" si="6"/>
        <v>-1.9868300536060022E-3</v>
      </c>
    </row>
    <row r="18" spans="1:19" x14ac:dyDescent="0.2">
      <c r="A18" t="s">
        <v>29</v>
      </c>
      <c r="B18">
        <v>5.6994984000000004</v>
      </c>
      <c r="C18">
        <v>0.24174693</v>
      </c>
      <c r="D18">
        <v>5.84026391</v>
      </c>
      <c r="E18">
        <v>0.47410824000000001</v>
      </c>
      <c r="F18">
        <v>3.3308054399999998</v>
      </c>
      <c r="G18">
        <v>1.31409548</v>
      </c>
      <c r="H18">
        <v>2.6788601399999998</v>
      </c>
      <c r="I18">
        <v>1.004355E-2</v>
      </c>
      <c r="J18">
        <v>1</v>
      </c>
      <c r="K18">
        <v>949997</v>
      </c>
      <c r="L18">
        <f t="shared" si="2"/>
        <v>1.2810790153846154E-2</v>
      </c>
      <c r="M18">
        <f t="shared" si="3"/>
        <v>5.0542133846153848E-3</v>
      </c>
      <c r="N18">
        <f t="shared" si="4"/>
        <v>1.0303308230769231E-2</v>
      </c>
      <c r="O18">
        <f t="shared" si="5"/>
        <v>7.6787608076923078E-3</v>
      </c>
      <c r="P18">
        <f t="shared" si="1"/>
        <v>13.680077826414367</v>
      </c>
      <c r="R18">
        <f t="shared" si="6"/>
        <v>-1.5357610088448444E-3</v>
      </c>
    </row>
    <row r="19" spans="1:19" x14ac:dyDescent="0.2">
      <c r="A19" t="s">
        <v>30</v>
      </c>
      <c r="B19">
        <v>5.6481094799999996</v>
      </c>
      <c r="C19">
        <v>0.1663578</v>
      </c>
      <c r="D19">
        <v>5.7855002400000002</v>
      </c>
      <c r="E19">
        <v>0.47410824000000001</v>
      </c>
      <c r="F19">
        <v>3.3186802499999999</v>
      </c>
      <c r="G19">
        <v>1.2997601400000001</v>
      </c>
      <c r="H19">
        <v>2.6240350399999999</v>
      </c>
      <c r="I19">
        <v>1.004355E-2</v>
      </c>
      <c r="J19">
        <v>1</v>
      </c>
      <c r="K19">
        <v>949997</v>
      </c>
      <c r="L19">
        <f t="shared" si="2"/>
        <v>1.2764154807692307E-2</v>
      </c>
      <c r="M19">
        <f t="shared" si="3"/>
        <v>4.9990774615384622E-3</v>
      </c>
      <c r="N19">
        <f t="shared" si="4"/>
        <v>1.009244246153846E-2</v>
      </c>
      <c r="O19">
        <f t="shared" si="5"/>
        <v>7.5457599615384617E-3</v>
      </c>
      <c r="P19">
        <f t="shared" si="1"/>
        <v>9.413925757117477</v>
      </c>
      <c r="R19">
        <f t="shared" si="6"/>
        <v>-9.9697227843761936E-4</v>
      </c>
    </row>
    <row r="20" spans="1:19" x14ac:dyDescent="0.2">
      <c r="A20" t="s">
        <v>31</v>
      </c>
      <c r="B20">
        <v>5.5943847</v>
      </c>
      <c r="C20">
        <v>0.1003428</v>
      </c>
      <c r="D20">
        <v>5.7338074299999997</v>
      </c>
      <c r="E20">
        <v>0.67165333999999999</v>
      </c>
      <c r="F20">
        <v>3.3048228900000001</v>
      </c>
      <c r="G20">
        <v>1.28426982</v>
      </c>
      <c r="H20">
        <v>2.57082408</v>
      </c>
      <c r="I20">
        <v>1.004355E-2</v>
      </c>
      <c r="J20">
        <v>1</v>
      </c>
      <c r="K20">
        <v>949997</v>
      </c>
      <c r="L20">
        <f t="shared" si="2"/>
        <v>1.2710857269230769E-2</v>
      </c>
      <c r="M20">
        <f t="shared" si="3"/>
        <v>4.9394993076923074E-3</v>
      </c>
      <c r="N20">
        <f t="shared" si="4"/>
        <v>9.8877849230769223E-3</v>
      </c>
      <c r="O20">
        <f t="shared" si="5"/>
        <v>7.4136421153846157E-3</v>
      </c>
      <c r="P20">
        <f t="shared" si="1"/>
        <v>5.6782409328645098</v>
      </c>
      <c r="R20">
        <f t="shared" si="6"/>
        <v>-4.0648141301888357E-4</v>
      </c>
    </row>
    <row r="21" spans="1:19" x14ac:dyDescent="0.2">
      <c r="A21" t="s">
        <v>32</v>
      </c>
      <c r="B21">
        <v>5.55467508</v>
      </c>
      <c r="C21">
        <v>5.320809E-2</v>
      </c>
      <c r="D21">
        <v>5.6903035800000001</v>
      </c>
      <c r="E21">
        <v>1.0272345199999999</v>
      </c>
      <c r="F21">
        <v>3.2851391400000001</v>
      </c>
      <c r="G21">
        <v>1.2734673599999999</v>
      </c>
      <c r="H21">
        <v>2.5329752800000001</v>
      </c>
      <c r="I21">
        <v>1.004355E-2</v>
      </c>
      <c r="J21">
        <v>1</v>
      </c>
      <c r="K21">
        <v>949997</v>
      </c>
      <c r="L21">
        <f t="shared" si="2"/>
        <v>1.2635150538461539E-2</v>
      </c>
      <c r="M21">
        <f t="shared" si="3"/>
        <v>4.897951384615384E-3</v>
      </c>
      <c r="N21">
        <f t="shared" si="4"/>
        <v>9.7422126153846149E-3</v>
      </c>
      <c r="O21">
        <f t="shared" si="5"/>
        <v>7.3200820000000003E-3</v>
      </c>
      <c r="P21">
        <f t="shared" si="1"/>
        <v>3.0109619683478916</v>
      </c>
      <c r="R21">
        <f t="shared" si="6"/>
        <v>-7.7792595042902975E-5</v>
      </c>
    </row>
    <row r="22" spans="1:19" x14ac:dyDescent="0.2">
      <c r="A22" t="s">
        <v>33</v>
      </c>
      <c r="B22">
        <v>5.5411789999999996</v>
      </c>
      <c r="C22">
        <v>5.0303430000000003E-2</v>
      </c>
      <c r="D22">
        <v>5.6805791899999996</v>
      </c>
      <c r="E22">
        <v>1.20502511</v>
      </c>
      <c r="F22">
        <v>3.2634082800000002</v>
      </c>
      <c r="G22">
        <v>1.27034212</v>
      </c>
      <c r="H22">
        <v>2.5222885599999998</v>
      </c>
      <c r="I22">
        <v>1.004355E-2</v>
      </c>
      <c r="J22">
        <v>1</v>
      </c>
      <c r="K22">
        <v>949997</v>
      </c>
      <c r="L22">
        <f t="shared" si="2"/>
        <v>1.2551570307692309E-2</v>
      </c>
      <c r="M22">
        <f t="shared" si="3"/>
        <v>4.8859312307692306E-3</v>
      </c>
      <c r="N22">
        <f t="shared" si="4"/>
        <v>9.7011098461538461E-3</v>
      </c>
      <c r="O22">
        <f t="shared" si="5"/>
        <v>7.2935205384615379E-3</v>
      </c>
      <c r="P22">
        <f t="shared" si="1"/>
        <v>2.8465918360807612</v>
      </c>
      <c r="R22">
        <f t="shared" si="6"/>
        <v>1.6575856418814814E-4</v>
      </c>
    </row>
    <row r="23" spans="1:19" x14ac:dyDescent="0.2">
      <c r="A23" t="s">
        <v>34</v>
      </c>
      <c r="B23">
        <v>5.5570109399999996</v>
      </c>
      <c r="C23">
        <v>0.10681227</v>
      </c>
      <c r="D23">
        <v>5.6964452999999997</v>
      </c>
      <c r="E23">
        <v>1.20502511</v>
      </c>
      <c r="F23">
        <v>3.24766128</v>
      </c>
      <c r="G23">
        <v>1.2695268399999999</v>
      </c>
      <c r="H23">
        <v>2.5424931399999999</v>
      </c>
      <c r="I23">
        <v>1.004355E-2</v>
      </c>
      <c r="J23">
        <v>1</v>
      </c>
      <c r="K23">
        <v>949997</v>
      </c>
      <c r="L23">
        <f t="shared" si="2"/>
        <v>1.2491004923076922E-2</v>
      </c>
      <c r="M23">
        <f t="shared" si="3"/>
        <v>4.882795538461538E-3</v>
      </c>
      <c r="N23">
        <f t="shared" si="4"/>
        <v>9.7788197692307687E-3</v>
      </c>
      <c r="O23">
        <f t="shared" si="5"/>
        <v>7.3308076538461534E-3</v>
      </c>
      <c r="P23">
        <f t="shared" si="1"/>
        <v>6.0443380456413012</v>
      </c>
      <c r="R23">
        <f t="shared" si="6"/>
        <v>7.8200389294964801E-4</v>
      </c>
    </row>
    <row r="24" spans="1:19" x14ac:dyDescent="0.2">
      <c r="A24" t="s">
        <v>35</v>
      </c>
      <c r="B24">
        <v>5.5943847</v>
      </c>
      <c r="C24">
        <v>0.18695448000000001</v>
      </c>
      <c r="D24">
        <v>5.7384137199999996</v>
      </c>
      <c r="E24">
        <v>1.0864980500000001</v>
      </c>
      <c r="F24">
        <v>3.23663838</v>
      </c>
      <c r="G24">
        <v>1.2759811400000001</v>
      </c>
      <c r="H24">
        <v>2.5849617199999999</v>
      </c>
      <c r="I24">
        <v>9.8609400000000003E-3</v>
      </c>
      <c r="J24">
        <v>1</v>
      </c>
      <c r="K24">
        <v>949998</v>
      </c>
      <c r="L24">
        <f t="shared" si="2"/>
        <v>1.2448609153846154E-2</v>
      </c>
      <c r="M24">
        <f t="shared" si="3"/>
        <v>4.9076197692307696E-3</v>
      </c>
      <c r="N24">
        <f t="shared" si="4"/>
        <v>9.9421604615384605E-3</v>
      </c>
      <c r="O24">
        <f t="shared" si="5"/>
        <v>7.424890115384615E-3</v>
      </c>
      <c r="P24">
        <f t="shared" si="1"/>
        <v>10.579459422284403</v>
      </c>
      <c r="Q24">
        <f>ABS(0.5*(SUMPRODUCT(O24:O42,P25:P43)+O43*P24-(SUMPRODUCT(O25:O43,P24:P42)+O24*P43)))</f>
        <v>5.1603862715818849E-3</v>
      </c>
      <c r="R24">
        <f t="shared" si="6"/>
        <v>1.7942456891395708E-3</v>
      </c>
    </row>
    <row r="25" spans="1:19" x14ac:dyDescent="0.2">
      <c r="A25" t="s">
        <v>36</v>
      </c>
      <c r="B25">
        <v>5.6465522400000001</v>
      </c>
      <c r="C25">
        <v>0.28161998999999999</v>
      </c>
      <c r="D25">
        <v>5.8054608300000003</v>
      </c>
      <c r="E25">
        <v>0.96797098999999998</v>
      </c>
      <c r="F25">
        <v>3.22703271</v>
      </c>
      <c r="G25">
        <v>1.2896370800000001</v>
      </c>
      <c r="H25">
        <v>2.6416792600000001</v>
      </c>
      <c r="I25">
        <v>9.6783300000000006E-3</v>
      </c>
      <c r="J25">
        <v>1</v>
      </c>
      <c r="K25">
        <v>949998</v>
      </c>
      <c r="L25">
        <f t="shared" si="2"/>
        <v>1.2411664269230769E-2</v>
      </c>
      <c r="M25">
        <f t="shared" si="3"/>
        <v>4.9601426153846155E-3</v>
      </c>
      <c r="N25">
        <f t="shared" si="4"/>
        <v>1.0160304846153847E-2</v>
      </c>
      <c r="O25">
        <f t="shared" si="5"/>
        <v>7.5602237307692312E-3</v>
      </c>
      <c r="P25">
        <f t="shared" si="1"/>
        <v>15.936431460263158</v>
      </c>
      <c r="R25">
        <f t="shared" si="6"/>
        <v>2.9058311514382658E-3</v>
      </c>
    </row>
    <row r="26" spans="1:19" x14ac:dyDescent="0.2">
      <c r="A26" t="s">
        <v>37</v>
      </c>
      <c r="B26">
        <v>5.7083227599999997</v>
      </c>
      <c r="C26">
        <v>0.39239316000000002</v>
      </c>
      <c r="D26">
        <v>5.8714843200000004</v>
      </c>
      <c r="E26">
        <v>0.73091687000000005</v>
      </c>
      <c r="F26">
        <v>3.22797753</v>
      </c>
      <c r="G26">
        <v>1.30519534</v>
      </c>
      <c r="H26">
        <v>2.7053543000000002</v>
      </c>
      <c r="I26">
        <v>9.8609400000000003E-3</v>
      </c>
      <c r="J26">
        <v>1</v>
      </c>
      <c r="K26">
        <v>949998</v>
      </c>
      <c r="L26">
        <f t="shared" si="2"/>
        <v>1.2415298192307692E-2</v>
      </c>
      <c r="M26">
        <f t="shared" si="3"/>
        <v>5.0199820769230774E-3</v>
      </c>
      <c r="N26">
        <f t="shared" si="4"/>
        <v>1.0405208846153848E-2</v>
      </c>
      <c r="O26">
        <f t="shared" si="5"/>
        <v>7.7125954615384629E-3</v>
      </c>
      <c r="P26">
        <f t="shared" si="1"/>
        <v>22.204910595359639</v>
      </c>
      <c r="R26">
        <f t="shared" si="6"/>
        <v>3.8239508568218127E-3</v>
      </c>
    </row>
    <row r="27" spans="1:19" x14ac:dyDescent="0.2">
      <c r="A27" t="s">
        <v>38</v>
      </c>
      <c r="B27">
        <v>5.7685360399999999</v>
      </c>
      <c r="C27">
        <v>0.52587549</v>
      </c>
      <c r="D27">
        <v>5.9385314300000003</v>
      </c>
      <c r="E27">
        <v>0.73091687000000005</v>
      </c>
      <c r="F27">
        <v>3.2345912700000001</v>
      </c>
      <c r="G27">
        <v>1.3190550999999999</v>
      </c>
      <c r="H27">
        <v>2.7680274599999999</v>
      </c>
      <c r="I27">
        <v>1.022616E-2</v>
      </c>
      <c r="J27">
        <v>1</v>
      </c>
      <c r="K27">
        <v>949998</v>
      </c>
      <c r="L27">
        <f t="shared" si="2"/>
        <v>1.2440735653846154E-2</v>
      </c>
      <c r="M27">
        <f t="shared" si="3"/>
        <v>5.0732888461538462E-3</v>
      </c>
      <c r="N27">
        <f t="shared" si="4"/>
        <v>1.0646259461538462E-2</v>
      </c>
      <c r="O27">
        <f t="shared" si="5"/>
        <v>7.8597741538461528E-3</v>
      </c>
      <c r="P27">
        <f t="shared" si="1"/>
        <v>29.758465309999139</v>
      </c>
      <c r="R27">
        <f t="shared" si="6"/>
        <v>4.454712828358947E-3</v>
      </c>
    </row>
    <row r="28" spans="1:19" x14ac:dyDescent="0.2">
      <c r="A28" t="s">
        <v>39</v>
      </c>
      <c r="B28">
        <v>5.82874932</v>
      </c>
      <c r="C28">
        <v>0.70596440999999999</v>
      </c>
      <c r="D28">
        <v>6.0055785400000001</v>
      </c>
      <c r="E28">
        <v>0.61238981000000003</v>
      </c>
      <c r="F28">
        <v>3.2457716400000001</v>
      </c>
      <c r="G28">
        <v>1.33046902</v>
      </c>
      <c r="H28">
        <v>2.8230751999999999</v>
      </c>
      <c r="I28">
        <v>1.004355E-2</v>
      </c>
      <c r="J28">
        <v>1</v>
      </c>
      <c r="K28">
        <v>949998</v>
      </c>
      <c r="L28">
        <f t="shared" si="2"/>
        <v>1.2483737076923077E-2</v>
      </c>
      <c r="M28">
        <f t="shared" si="3"/>
        <v>5.1171885384615383E-3</v>
      </c>
      <c r="N28">
        <f t="shared" si="4"/>
        <v>1.0857981538461538E-2</v>
      </c>
      <c r="O28">
        <f t="shared" si="5"/>
        <v>7.9875850384615379E-3</v>
      </c>
      <c r="P28">
        <f t="shared" si="1"/>
        <v>39.949413510561229</v>
      </c>
      <c r="R28">
        <f t="shared" si="6"/>
        <v>2.812697940658413E-3</v>
      </c>
    </row>
    <row r="29" spans="1:19" x14ac:dyDescent="0.2">
      <c r="A29" t="s">
        <v>40</v>
      </c>
      <c r="B29">
        <v>5.8681994</v>
      </c>
      <c r="C29">
        <v>0.82716794999999999</v>
      </c>
      <c r="D29">
        <v>6.0383343800000002</v>
      </c>
      <c r="E29">
        <v>0.61238981000000003</v>
      </c>
      <c r="F29">
        <v>3.2596289999999999</v>
      </c>
      <c r="G29">
        <v>1.33563246</v>
      </c>
      <c r="H29">
        <v>2.85162878</v>
      </c>
      <c r="I29">
        <v>1.004355E-2</v>
      </c>
      <c r="J29">
        <v>1</v>
      </c>
      <c r="K29">
        <v>949998</v>
      </c>
      <c r="L29">
        <f t="shared" si="2"/>
        <v>1.2537034615384616E-2</v>
      </c>
      <c r="M29">
        <f t="shared" si="3"/>
        <v>5.1370479230769235E-3</v>
      </c>
      <c r="N29">
        <f t="shared" si="4"/>
        <v>1.0967803E-2</v>
      </c>
      <c r="O29">
        <f t="shared" si="5"/>
        <v>8.0524254615384604E-3</v>
      </c>
      <c r="P29">
        <f t="shared" si="1"/>
        <v>46.808130847889679</v>
      </c>
      <c r="R29">
        <f t="shared" si="6"/>
        <v>8.7684272216024823E-4</v>
      </c>
      <c r="S29">
        <f>ABS(SUMIFS($R:$R,$K:$K,K29))</f>
        <v>5.153783940759488E-3</v>
      </c>
    </row>
    <row r="30" spans="1:19" x14ac:dyDescent="0.2">
      <c r="A30" t="s">
        <v>41</v>
      </c>
      <c r="B30">
        <v>5.8816954800000003</v>
      </c>
      <c r="C30">
        <v>0.8542341</v>
      </c>
      <c r="D30">
        <v>6.0490823899999997</v>
      </c>
      <c r="E30">
        <v>0.61238981000000003</v>
      </c>
      <c r="F30">
        <v>3.2783679299999999</v>
      </c>
      <c r="G30">
        <v>1.3369233199999999</v>
      </c>
      <c r="H30">
        <v>2.8599221199999998</v>
      </c>
      <c r="I30">
        <v>1.004355E-2</v>
      </c>
      <c r="J30">
        <v>1</v>
      </c>
      <c r="K30">
        <v>949998</v>
      </c>
      <c r="L30">
        <f t="shared" si="2"/>
        <v>1.2609107423076922E-2</v>
      </c>
      <c r="M30">
        <f t="shared" si="3"/>
        <v>5.142012769230769E-3</v>
      </c>
      <c r="N30">
        <f t="shared" si="4"/>
        <v>1.0999700461538461E-2</v>
      </c>
      <c r="O30">
        <f t="shared" si="5"/>
        <v>8.0708566153846143E-3</v>
      </c>
      <c r="P30">
        <f t="shared" si="1"/>
        <v>48.339761625833397</v>
      </c>
      <c r="R30">
        <f t="shared" si="6"/>
        <v>2.7939793217181339E-4</v>
      </c>
    </row>
    <row r="31" spans="1:19" x14ac:dyDescent="0.2">
      <c r="A31" t="s">
        <v>42</v>
      </c>
      <c r="B31">
        <v>5.8850695000000002</v>
      </c>
      <c r="C31">
        <v>0.85463018999999996</v>
      </c>
      <c r="D31">
        <v>6.0490823899999997</v>
      </c>
      <c r="E31">
        <v>0.61238981000000003</v>
      </c>
      <c r="F31">
        <v>3.2928551700000002</v>
      </c>
      <c r="G31">
        <v>1.3375347799999999</v>
      </c>
      <c r="H31">
        <v>2.8623154999999998</v>
      </c>
      <c r="I31">
        <v>9.8609400000000003E-3</v>
      </c>
      <c r="J31">
        <v>1</v>
      </c>
      <c r="K31">
        <v>949998</v>
      </c>
      <c r="L31">
        <f t="shared" si="2"/>
        <v>1.2664827576923077E-2</v>
      </c>
      <c r="M31">
        <f t="shared" si="3"/>
        <v>5.1443645384615377E-3</v>
      </c>
      <c r="N31">
        <f t="shared" si="4"/>
        <v>1.1008905769230769E-2</v>
      </c>
      <c r="O31">
        <f t="shared" si="5"/>
        <v>8.0766351538461532E-3</v>
      </c>
      <c r="P31">
        <f t="shared" si="1"/>
        <v>48.362175734778916</v>
      </c>
      <c r="R31">
        <f t="shared" si="6"/>
        <v>-1.3341448514482689E-4</v>
      </c>
    </row>
    <row r="32" spans="1:19" x14ac:dyDescent="0.2">
      <c r="A32" t="s">
        <v>43</v>
      </c>
      <c r="B32">
        <v>5.8793596199999998</v>
      </c>
      <c r="C32">
        <v>0.81792584999999995</v>
      </c>
      <c r="D32">
        <v>6.0490823899999997</v>
      </c>
      <c r="E32">
        <v>0.61238981000000003</v>
      </c>
      <c r="F32">
        <v>3.3043504800000001</v>
      </c>
      <c r="G32">
        <v>1.3377386</v>
      </c>
      <c r="H32">
        <v>2.8606457000000001</v>
      </c>
      <c r="I32">
        <v>9.8609400000000003E-3</v>
      </c>
      <c r="J32">
        <v>1</v>
      </c>
      <c r="K32">
        <v>949998</v>
      </c>
      <c r="L32">
        <f t="shared" si="2"/>
        <v>1.2709040307692309E-2</v>
      </c>
      <c r="M32">
        <f t="shared" si="3"/>
        <v>5.1451484615384615E-3</v>
      </c>
      <c r="N32">
        <f t="shared" si="4"/>
        <v>1.1002483461538462E-2</v>
      </c>
      <c r="O32">
        <f t="shared" si="5"/>
        <v>8.0738159615384615E-3</v>
      </c>
      <c r="P32">
        <f t="shared" si="1"/>
        <v>46.285134972494262</v>
      </c>
      <c r="R32">
        <f t="shared" si="6"/>
        <v>-1.0020204742855481E-3</v>
      </c>
    </row>
    <row r="33" spans="1:18" x14ac:dyDescent="0.2">
      <c r="A33" t="s">
        <v>44</v>
      </c>
      <c r="B33">
        <v>5.8643063</v>
      </c>
      <c r="C33">
        <v>0.70675659000000002</v>
      </c>
      <c r="D33">
        <v>6.0321926599999998</v>
      </c>
      <c r="E33">
        <v>0.61238981000000003</v>
      </c>
      <c r="F33">
        <v>3.3182078399999999</v>
      </c>
      <c r="G33">
        <v>1.3377386</v>
      </c>
      <c r="H33">
        <v>2.8485674799999998</v>
      </c>
      <c r="I33">
        <v>9.8609400000000003E-3</v>
      </c>
      <c r="J33">
        <v>1</v>
      </c>
      <c r="K33">
        <v>949998</v>
      </c>
      <c r="L33">
        <f t="shared" si="2"/>
        <v>1.2762337846153845E-2</v>
      </c>
      <c r="M33">
        <f t="shared" si="3"/>
        <v>5.1451484615384615E-3</v>
      </c>
      <c r="N33">
        <f t="shared" si="4"/>
        <v>1.0956028769230769E-2</v>
      </c>
      <c r="O33">
        <f t="shared" si="5"/>
        <v>8.0505886153846139E-3</v>
      </c>
      <c r="P33">
        <f t="shared" si="1"/>
        <v>39.994241728452266</v>
      </c>
      <c r="R33">
        <f t="shared" si="6"/>
        <v>-9.8777047808332966E-4</v>
      </c>
    </row>
    <row r="34" spans="1:18" x14ac:dyDescent="0.2">
      <c r="A34" t="s">
        <v>45</v>
      </c>
      <c r="B34">
        <v>5.8492529800000002</v>
      </c>
      <c r="C34">
        <v>0.61724025000000005</v>
      </c>
      <c r="D34">
        <v>6.0147911199999999</v>
      </c>
      <c r="E34">
        <v>0.61238981000000003</v>
      </c>
      <c r="F34">
        <v>3.3293882099999998</v>
      </c>
      <c r="G34">
        <v>1.3379424200000001</v>
      </c>
      <c r="H34">
        <v>2.8346524799999999</v>
      </c>
      <c r="I34">
        <v>9.8609400000000003E-3</v>
      </c>
      <c r="J34">
        <v>1</v>
      </c>
      <c r="K34">
        <v>949998</v>
      </c>
      <c r="L34">
        <f t="shared" si="2"/>
        <v>1.2805339269230769E-2</v>
      </c>
      <c r="M34">
        <f t="shared" si="3"/>
        <v>5.1459323846153853E-3</v>
      </c>
      <c r="N34">
        <f t="shared" si="4"/>
        <v>1.0902509538461539E-2</v>
      </c>
      <c r="O34">
        <f t="shared" si="5"/>
        <v>8.024220961538462E-3</v>
      </c>
      <c r="P34">
        <f t="shared" si="1"/>
        <v>34.928653106765246</v>
      </c>
      <c r="R34">
        <f t="shared" si="6"/>
        <v>-1.4054332755294647E-3</v>
      </c>
    </row>
    <row r="35" spans="1:18" x14ac:dyDescent="0.2">
      <c r="A35" t="s">
        <v>46</v>
      </c>
      <c r="B35">
        <v>5.8295279400000002</v>
      </c>
      <c r="C35">
        <v>0.52019820000000005</v>
      </c>
      <c r="D35">
        <v>5.9881770000000003</v>
      </c>
      <c r="E35">
        <v>0.61238981000000003</v>
      </c>
      <c r="F35">
        <v>3.3336399000000001</v>
      </c>
      <c r="G35">
        <v>1.3373309600000001</v>
      </c>
      <c r="H35">
        <v>2.81255546</v>
      </c>
      <c r="I35">
        <v>1.004355E-2</v>
      </c>
      <c r="J35">
        <v>1</v>
      </c>
      <c r="K35">
        <v>949998</v>
      </c>
      <c r="L35">
        <f t="shared" si="2"/>
        <v>1.2821691923076924E-2</v>
      </c>
      <c r="M35">
        <f t="shared" si="3"/>
        <v>5.1435806153846157E-3</v>
      </c>
      <c r="N35">
        <f t="shared" si="4"/>
        <v>1.0817521E-2</v>
      </c>
      <c r="O35">
        <f t="shared" si="5"/>
        <v>7.9805508076923066E-3</v>
      </c>
      <c r="P35">
        <f t="shared" si="1"/>
        <v>29.437196415113387</v>
      </c>
      <c r="R35">
        <f t="shared" si="6"/>
        <v>-2.0696091058394167E-3</v>
      </c>
    </row>
    <row r="36" spans="1:18" x14ac:dyDescent="0.2">
      <c r="A36" t="s">
        <v>47</v>
      </c>
      <c r="B36">
        <v>5.7939709600000002</v>
      </c>
      <c r="C36">
        <v>0.41747886000000001</v>
      </c>
      <c r="D36">
        <v>5.9446731499999999</v>
      </c>
      <c r="E36">
        <v>0.61238981000000003</v>
      </c>
      <c r="F36">
        <v>3.33552954</v>
      </c>
      <c r="G36">
        <v>1.3327789800000001</v>
      </c>
      <c r="H36">
        <v>2.7765434400000002</v>
      </c>
      <c r="I36">
        <v>1.004355E-2</v>
      </c>
      <c r="J36">
        <v>1</v>
      </c>
      <c r="K36">
        <v>949998</v>
      </c>
      <c r="L36">
        <f t="shared" si="2"/>
        <v>1.2828959769230769E-2</v>
      </c>
      <c r="M36">
        <f t="shared" si="3"/>
        <v>5.1260730000000001E-3</v>
      </c>
      <c r="N36">
        <f t="shared" si="4"/>
        <v>1.0679013230769231E-2</v>
      </c>
      <c r="O36">
        <f t="shared" si="5"/>
        <v>7.9025431153846148E-3</v>
      </c>
      <c r="P36">
        <f t="shared" si="1"/>
        <v>23.624470828575767</v>
      </c>
      <c r="R36">
        <f t="shared" si="6"/>
        <v>-2.1899910837771689E-3</v>
      </c>
    </row>
    <row r="37" spans="1:18" x14ac:dyDescent="0.2">
      <c r="A37" t="s">
        <v>48</v>
      </c>
      <c r="B37">
        <v>5.7480323799999997</v>
      </c>
      <c r="C37">
        <v>0.32320944000000001</v>
      </c>
      <c r="D37">
        <v>5.8960511999999996</v>
      </c>
      <c r="E37">
        <v>0.61238981000000003</v>
      </c>
      <c r="F37">
        <v>3.33600195</v>
      </c>
      <c r="G37">
        <v>1.32530558</v>
      </c>
      <c r="H37">
        <v>2.7296777200000002</v>
      </c>
      <c r="I37">
        <v>1.004355E-2</v>
      </c>
      <c r="J37">
        <v>1</v>
      </c>
      <c r="K37">
        <v>949998</v>
      </c>
      <c r="L37">
        <f t="shared" si="2"/>
        <v>1.283077673076923E-2</v>
      </c>
      <c r="M37">
        <f t="shared" si="3"/>
        <v>5.097329153846154E-3</v>
      </c>
      <c r="N37">
        <f t="shared" si="4"/>
        <v>1.0498760461538463E-2</v>
      </c>
      <c r="O37">
        <f t="shared" si="5"/>
        <v>7.7980448076923076E-3</v>
      </c>
      <c r="P37">
        <f t="shared" si="1"/>
        <v>18.289912899542529</v>
      </c>
      <c r="R37">
        <f t="shared" si="6"/>
        <v>-1.9796485683583973E-3</v>
      </c>
    </row>
    <row r="38" spans="1:18" x14ac:dyDescent="0.2">
      <c r="A38" t="s">
        <v>49</v>
      </c>
      <c r="B38">
        <v>5.6979411600000001</v>
      </c>
      <c r="C38">
        <v>0.2389743</v>
      </c>
      <c r="D38">
        <v>5.84026391</v>
      </c>
      <c r="E38">
        <v>0.61238981000000003</v>
      </c>
      <c r="F38">
        <v>3.3303330299999998</v>
      </c>
      <c r="G38">
        <v>1.31307638</v>
      </c>
      <c r="H38">
        <v>2.6771903400000001</v>
      </c>
      <c r="I38">
        <v>9.8609400000000003E-3</v>
      </c>
      <c r="J38">
        <v>1</v>
      </c>
      <c r="K38">
        <v>949998</v>
      </c>
      <c r="L38">
        <f t="shared" si="2"/>
        <v>1.2808973192307692E-2</v>
      </c>
      <c r="M38">
        <f t="shared" si="3"/>
        <v>5.0502937692307693E-3</v>
      </c>
      <c r="N38">
        <f t="shared" si="4"/>
        <v>1.0296885923076924E-2</v>
      </c>
      <c r="O38">
        <f t="shared" si="5"/>
        <v>7.6735898461538464E-3</v>
      </c>
      <c r="P38">
        <f t="shared" si="1"/>
        <v>13.523179063795741</v>
      </c>
      <c r="R38">
        <f t="shared" si="6"/>
        <v>-1.5198957252262257E-3</v>
      </c>
    </row>
    <row r="39" spans="1:18" x14ac:dyDescent="0.2">
      <c r="A39" t="s">
        <v>50</v>
      </c>
      <c r="B39">
        <v>5.6442163799999996</v>
      </c>
      <c r="C39">
        <v>0.16556562</v>
      </c>
      <c r="D39">
        <v>5.7855002400000002</v>
      </c>
      <c r="E39">
        <v>0.61238981000000003</v>
      </c>
      <c r="F39">
        <v>3.31584579</v>
      </c>
      <c r="G39">
        <v>1.2987410399999999</v>
      </c>
      <c r="H39">
        <v>2.62247656</v>
      </c>
      <c r="I39">
        <v>9.8609400000000003E-3</v>
      </c>
      <c r="J39">
        <v>1</v>
      </c>
      <c r="K39">
        <v>949998</v>
      </c>
      <c r="L39">
        <f t="shared" si="2"/>
        <v>1.2753253038461539E-2</v>
      </c>
      <c r="M39">
        <f t="shared" si="3"/>
        <v>4.9951578461538458E-3</v>
      </c>
      <c r="N39">
        <f t="shared" si="4"/>
        <v>1.0086448307692307E-2</v>
      </c>
      <c r="O39">
        <f t="shared" si="5"/>
        <v>7.5408030769230769E-3</v>
      </c>
      <c r="P39">
        <f t="shared" si="1"/>
        <v>9.3690975392264413</v>
      </c>
      <c r="R39">
        <f t="shared" si="6"/>
        <v>-9.9402559754748344E-4</v>
      </c>
    </row>
    <row r="40" spans="1:18" x14ac:dyDescent="0.2">
      <c r="A40" t="s">
        <v>51</v>
      </c>
      <c r="B40">
        <v>5.5951633200000002</v>
      </c>
      <c r="C40">
        <v>9.9154530000000005E-2</v>
      </c>
      <c r="D40">
        <v>5.732272</v>
      </c>
      <c r="E40">
        <v>0.73091687000000005</v>
      </c>
      <c r="F40">
        <v>3.3004137299999998</v>
      </c>
      <c r="G40">
        <v>1.2833866</v>
      </c>
      <c r="H40">
        <v>2.5688203199999999</v>
      </c>
      <c r="I40">
        <v>9.8609400000000003E-3</v>
      </c>
      <c r="J40">
        <v>1</v>
      </c>
      <c r="K40">
        <v>949998</v>
      </c>
      <c r="L40">
        <f t="shared" si="2"/>
        <v>1.269389896153846E-2</v>
      </c>
      <c r="M40">
        <f t="shared" si="3"/>
        <v>4.9361023076923078E-3</v>
      </c>
      <c r="N40">
        <f t="shared" si="4"/>
        <v>9.8800781538461533E-3</v>
      </c>
      <c r="O40">
        <f t="shared" si="5"/>
        <v>7.408090230769231E-3</v>
      </c>
      <c r="P40">
        <f t="shared" si="1"/>
        <v>5.6109986060279571</v>
      </c>
      <c r="R40">
        <f t="shared" si="6"/>
        <v>-3.9037508879106021E-4</v>
      </c>
    </row>
    <row r="41" spans="1:18" x14ac:dyDescent="0.2">
      <c r="A41" t="s">
        <v>52</v>
      </c>
      <c r="B41">
        <v>5.5500033599999998</v>
      </c>
      <c r="C41">
        <v>5.2811999999999998E-2</v>
      </c>
      <c r="D41">
        <v>5.6918390099999998</v>
      </c>
      <c r="E41">
        <v>0.96797098999999998</v>
      </c>
      <c r="F41">
        <v>3.2841943200000001</v>
      </c>
      <c r="G41">
        <v>1.2728558999999999</v>
      </c>
      <c r="H41">
        <v>2.53214038</v>
      </c>
      <c r="I41">
        <v>9.8609400000000003E-3</v>
      </c>
      <c r="J41">
        <v>1</v>
      </c>
      <c r="K41">
        <v>949998</v>
      </c>
      <c r="L41">
        <f t="shared" si="2"/>
        <v>1.2631516615384615E-2</v>
      </c>
      <c r="M41">
        <f t="shared" si="3"/>
        <v>4.8955996153846153E-3</v>
      </c>
      <c r="N41">
        <f t="shared" si="4"/>
        <v>9.7390014615384608E-3</v>
      </c>
      <c r="O41">
        <f t="shared" si="5"/>
        <v>7.3173005384615389E-3</v>
      </c>
      <c r="P41">
        <f t="shared" si="1"/>
        <v>2.9885478594023738</v>
      </c>
      <c r="R41">
        <f t="shared" si="6"/>
        <v>-7.2793937249407837E-5</v>
      </c>
    </row>
    <row r="42" spans="1:18" x14ac:dyDescent="0.2">
      <c r="A42" t="s">
        <v>53</v>
      </c>
      <c r="B42">
        <v>5.5419576199999998</v>
      </c>
      <c r="C42">
        <v>5.162373E-2</v>
      </c>
      <c r="D42">
        <v>5.6821146200000001</v>
      </c>
      <c r="E42">
        <v>1.26428864</v>
      </c>
      <c r="F42">
        <v>3.2624634600000002</v>
      </c>
      <c r="G42">
        <v>1.26973066</v>
      </c>
      <c r="H42">
        <v>2.5224555400000002</v>
      </c>
      <c r="I42">
        <v>9.8609400000000003E-3</v>
      </c>
      <c r="J42">
        <v>1</v>
      </c>
      <c r="K42">
        <v>949998</v>
      </c>
      <c r="L42">
        <f t="shared" si="2"/>
        <v>1.2547936384615386E-2</v>
      </c>
      <c r="M42">
        <f t="shared" si="3"/>
        <v>4.8835794615384618E-3</v>
      </c>
      <c r="N42">
        <f t="shared" si="4"/>
        <v>9.7017520769230783E-3</v>
      </c>
      <c r="O42">
        <f t="shared" si="5"/>
        <v>7.2926657692307696E-3</v>
      </c>
      <c r="P42">
        <f t="shared" si="1"/>
        <v>2.9213055325658206</v>
      </c>
      <c r="R42">
        <f t="shared" si="6"/>
        <v>1.7414700221903256E-4</v>
      </c>
    </row>
    <row r="43" spans="1:18" x14ac:dyDescent="0.2">
      <c r="A43" t="s">
        <v>54</v>
      </c>
      <c r="B43">
        <v>5.5593468000000001</v>
      </c>
      <c r="C43">
        <v>0.10839662999999999</v>
      </c>
      <c r="D43">
        <v>5.7025870200000002</v>
      </c>
      <c r="E43">
        <v>1.26428864</v>
      </c>
      <c r="F43">
        <v>3.2441969400000001</v>
      </c>
      <c r="G43">
        <v>1.2695268399999999</v>
      </c>
      <c r="H43">
        <v>2.5426601199999999</v>
      </c>
      <c r="I43">
        <v>9.8609400000000003E-3</v>
      </c>
      <c r="J43">
        <v>1</v>
      </c>
      <c r="K43">
        <v>949998</v>
      </c>
      <c r="L43">
        <f t="shared" si="2"/>
        <v>1.2477680538461539E-2</v>
      </c>
      <c r="M43">
        <f t="shared" si="3"/>
        <v>4.882795538461538E-3</v>
      </c>
      <c r="N43">
        <f t="shared" si="4"/>
        <v>9.7794619999999992E-3</v>
      </c>
      <c r="O43">
        <f t="shared" si="5"/>
        <v>7.3311287692307695E-3</v>
      </c>
      <c r="P43">
        <f t="shared" si="1"/>
        <v>6.1339944814233718</v>
      </c>
      <c r="R43">
        <f t="shared" si="6"/>
        <v>7.7693563762371509E-4</v>
      </c>
    </row>
    <row r="44" spans="1:18" x14ac:dyDescent="0.2">
      <c r="A44" t="s">
        <v>55</v>
      </c>
      <c r="B44">
        <v>5.5959419400000003</v>
      </c>
      <c r="C44">
        <v>0.18735056999999999</v>
      </c>
      <c r="D44">
        <v>5.7430200100000004</v>
      </c>
      <c r="E44">
        <v>1.1457615800000001</v>
      </c>
      <c r="F44">
        <v>3.2327016300000002</v>
      </c>
      <c r="G44">
        <v>1.27550556</v>
      </c>
      <c r="H44">
        <v>2.5849617199999999</v>
      </c>
      <c r="I44">
        <v>9.8609400000000003E-3</v>
      </c>
      <c r="J44">
        <v>1</v>
      </c>
      <c r="K44">
        <v>949999</v>
      </c>
      <c r="L44">
        <f t="shared" si="2"/>
        <v>1.2433467807692309E-2</v>
      </c>
      <c r="M44">
        <f t="shared" si="3"/>
        <v>4.9057906153846158E-3</v>
      </c>
      <c r="N44">
        <f t="shared" si="4"/>
        <v>9.9421604615384605E-3</v>
      </c>
      <c r="O44">
        <f t="shared" si="5"/>
        <v>7.4239755384615386E-3</v>
      </c>
      <c r="P44">
        <f t="shared" si="1"/>
        <v>10.601873531229922</v>
      </c>
      <c r="Q44">
        <f>ABS(0.5*(SUMPRODUCT(O44:O62,P45:P63)+O63*P44-(SUMPRODUCT(O45:O63,P44:P62)+O44*P63)))</f>
        <v>5.1630186980438086E-3</v>
      </c>
      <c r="R44">
        <f t="shared" si="6"/>
        <v>1.8204298322439312E-3</v>
      </c>
    </row>
    <row r="45" spans="1:18" x14ac:dyDescent="0.2">
      <c r="A45" t="s">
        <v>56</v>
      </c>
      <c r="B45">
        <v>5.6488880999999997</v>
      </c>
      <c r="C45">
        <v>0.28241217000000002</v>
      </c>
      <c r="D45">
        <v>5.8023899700000001</v>
      </c>
      <c r="E45">
        <v>0.96797098999999998</v>
      </c>
      <c r="F45">
        <v>3.22750512</v>
      </c>
      <c r="G45">
        <v>1.2898409</v>
      </c>
      <c r="H45">
        <v>2.64184624</v>
      </c>
      <c r="I45">
        <v>9.8609400000000003E-3</v>
      </c>
      <c r="J45">
        <v>1</v>
      </c>
      <c r="K45">
        <v>949999</v>
      </c>
      <c r="L45">
        <f t="shared" si="2"/>
        <v>1.2413481230769231E-2</v>
      </c>
      <c r="M45">
        <f t="shared" si="3"/>
        <v>4.9609265384615384E-3</v>
      </c>
      <c r="N45">
        <f t="shared" si="4"/>
        <v>1.0160947076923077E-2</v>
      </c>
      <c r="O45">
        <f t="shared" si="5"/>
        <v>7.5609368076923079E-3</v>
      </c>
      <c r="P45">
        <f t="shared" si="1"/>
        <v>15.981259678154196</v>
      </c>
      <c r="R45">
        <f t="shared" si="6"/>
        <v>2.9071822351318527E-3</v>
      </c>
    </row>
    <row r="46" spans="1:18" x14ac:dyDescent="0.2">
      <c r="A46" t="s">
        <v>57</v>
      </c>
      <c r="B46">
        <v>5.7091013799999999</v>
      </c>
      <c r="C46">
        <v>0.39160097999999999</v>
      </c>
      <c r="D46">
        <v>5.8699488899999999</v>
      </c>
      <c r="E46">
        <v>0.61238981000000003</v>
      </c>
      <c r="F46">
        <v>3.2254580100000001</v>
      </c>
      <c r="G46">
        <v>1.30560298</v>
      </c>
      <c r="H46">
        <v>2.7053543000000002</v>
      </c>
      <c r="I46">
        <v>1.004355E-2</v>
      </c>
      <c r="J46">
        <v>1</v>
      </c>
      <c r="K46">
        <v>949999</v>
      </c>
      <c r="L46">
        <f t="shared" si="2"/>
        <v>1.2405607730769231E-2</v>
      </c>
      <c r="M46">
        <f t="shared" si="3"/>
        <v>5.0215499230769232E-3</v>
      </c>
      <c r="N46">
        <f t="shared" si="4"/>
        <v>1.0405208846153848E-2</v>
      </c>
      <c r="O46">
        <f t="shared" si="5"/>
        <v>7.7133793846153858E-3</v>
      </c>
      <c r="P46">
        <f t="shared" si="1"/>
        <v>22.160082377468601</v>
      </c>
      <c r="R46">
        <f t="shared" si="6"/>
        <v>3.8119596569604389E-3</v>
      </c>
    </row>
    <row r="47" spans="1:18" x14ac:dyDescent="0.2">
      <c r="A47" t="s">
        <v>58</v>
      </c>
      <c r="B47">
        <v>5.7716505199999997</v>
      </c>
      <c r="C47">
        <v>0.52534736999999998</v>
      </c>
      <c r="D47">
        <v>5.93546057</v>
      </c>
      <c r="E47">
        <v>0.47410824000000001</v>
      </c>
      <c r="F47">
        <v>3.2327016300000002</v>
      </c>
      <c r="G47">
        <v>1.3196665599999999</v>
      </c>
      <c r="H47">
        <v>2.7676935</v>
      </c>
      <c r="I47">
        <v>1.004355E-2</v>
      </c>
      <c r="J47">
        <v>1</v>
      </c>
      <c r="K47">
        <v>949999</v>
      </c>
      <c r="L47">
        <f t="shared" si="2"/>
        <v>1.2433467807692309E-2</v>
      </c>
      <c r="M47">
        <f t="shared" si="3"/>
        <v>5.075640615384615E-3</v>
      </c>
      <c r="N47">
        <f t="shared" si="4"/>
        <v>1.0644975000000001E-2</v>
      </c>
      <c r="O47">
        <f t="shared" si="5"/>
        <v>7.8603078076923075E-3</v>
      </c>
      <c r="P47">
        <f t="shared" si="1"/>
        <v>29.728579831405114</v>
      </c>
      <c r="R47">
        <f t="shared" si="6"/>
        <v>4.3939363588698351E-3</v>
      </c>
    </row>
    <row r="48" spans="1:18" x14ac:dyDescent="0.2">
      <c r="A48" t="s">
        <v>59</v>
      </c>
      <c r="B48">
        <v>5.83264242</v>
      </c>
      <c r="C48">
        <v>0.70477614</v>
      </c>
      <c r="D48">
        <v>6.0055785400000001</v>
      </c>
      <c r="E48">
        <v>0.47410824000000001</v>
      </c>
      <c r="F48">
        <v>3.2452992300000001</v>
      </c>
      <c r="G48">
        <v>1.3302651999999999</v>
      </c>
      <c r="H48">
        <v>2.82274124</v>
      </c>
      <c r="I48">
        <v>1.004355E-2</v>
      </c>
      <c r="J48">
        <v>1</v>
      </c>
      <c r="K48">
        <v>949999</v>
      </c>
      <c r="L48">
        <f t="shared" si="2"/>
        <v>1.2481920115384616E-2</v>
      </c>
      <c r="M48">
        <f t="shared" si="3"/>
        <v>5.1164046153846154E-3</v>
      </c>
      <c r="N48">
        <f t="shared" si="4"/>
        <v>1.0856697076923078E-2</v>
      </c>
      <c r="O48">
        <f t="shared" si="5"/>
        <v>7.9865508461538469E-3</v>
      </c>
      <c r="P48">
        <f t="shared" si="1"/>
        <v>39.88217118372468</v>
      </c>
      <c r="R48">
        <f t="shared" si="6"/>
        <v>2.8061579092772005E-3</v>
      </c>
    </row>
    <row r="49" spans="1:19" x14ac:dyDescent="0.2">
      <c r="A49" t="s">
        <v>60</v>
      </c>
      <c r="B49">
        <v>5.8700161800000004</v>
      </c>
      <c r="C49">
        <v>0.82479141</v>
      </c>
      <c r="D49">
        <v>6.0414052399999996</v>
      </c>
      <c r="E49">
        <v>0.47410824000000001</v>
      </c>
      <c r="F49">
        <v>3.2591565899999999</v>
      </c>
      <c r="G49">
        <v>1.3354286399999999</v>
      </c>
      <c r="H49">
        <v>2.8512948200000001</v>
      </c>
      <c r="I49">
        <v>9.8609400000000003E-3</v>
      </c>
      <c r="J49">
        <v>1</v>
      </c>
      <c r="K49">
        <v>949999</v>
      </c>
      <c r="L49">
        <f t="shared" si="2"/>
        <v>1.2535217653846154E-2</v>
      </c>
      <c r="M49">
        <f t="shared" si="3"/>
        <v>5.1362639999999998E-3</v>
      </c>
      <c r="N49">
        <f t="shared" si="4"/>
        <v>1.0966518538461539E-2</v>
      </c>
      <c r="O49">
        <f t="shared" si="5"/>
        <v>8.0513912692307676E-3</v>
      </c>
      <c r="P49">
        <f t="shared" si="1"/>
        <v>46.673646194216573</v>
      </c>
      <c r="R49">
        <f t="shared" si="6"/>
        <v>8.785543298996596E-4</v>
      </c>
      <c r="S49">
        <f>ABS(SUMIFS($R:$R,$K:$K,K49))</f>
        <v>5.1932198420052804E-3</v>
      </c>
    </row>
    <row r="50" spans="1:19" x14ac:dyDescent="0.2">
      <c r="A50" t="s">
        <v>61</v>
      </c>
      <c r="B50">
        <v>5.8809168600000001</v>
      </c>
      <c r="C50">
        <v>0.85344191999999997</v>
      </c>
      <c r="D50">
        <v>6.04754696</v>
      </c>
      <c r="E50">
        <v>0.47410824000000001</v>
      </c>
      <c r="F50">
        <v>3.2750610600000001</v>
      </c>
      <c r="G50">
        <v>1.3369233199999999</v>
      </c>
      <c r="H50">
        <v>2.85942118</v>
      </c>
      <c r="I50">
        <v>9.6783300000000006E-3</v>
      </c>
      <c r="J50">
        <v>1</v>
      </c>
      <c r="K50">
        <v>949999</v>
      </c>
      <c r="L50">
        <f t="shared" si="2"/>
        <v>1.2596388692307692E-2</v>
      </c>
      <c r="M50">
        <f t="shared" si="3"/>
        <v>5.142012769230769E-3</v>
      </c>
      <c r="N50">
        <f t="shared" si="4"/>
        <v>1.099777376923077E-2</v>
      </c>
      <c r="O50">
        <f t="shared" si="5"/>
        <v>8.0698932692307695E-3</v>
      </c>
      <c r="P50">
        <f t="shared" si="1"/>
        <v>48.294933407942359</v>
      </c>
      <c r="R50">
        <f t="shared" si="6"/>
        <v>2.6038584444073822E-4</v>
      </c>
    </row>
    <row r="51" spans="1:19" x14ac:dyDescent="0.2">
      <c r="A51" t="s">
        <v>62</v>
      </c>
      <c r="B51">
        <v>5.8850695000000002</v>
      </c>
      <c r="C51">
        <v>0.85502628000000003</v>
      </c>
      <c r="D51">
        <v>6.0511296300000001</v>
      </c>
      <c r="E51">
        <v>0.47410824000000001</v>
      </c>
      <c r="F51">
        <v>3.2923827600000002</v>
      </c>
      <c r="G51">
        <v>1.3373309600000001</v>
      </c>
      <c r="H51">
        <v>2.86181456</v>
      </c>
      <c r="I51">
        <v>9.6783300000000006E-3</v>
      </c>
      <c r="J51">
        <v>1</v>
      </c>
      <c r="K51">
        <v>949999</v>
      </c>
      <c r="L51">
        <f t="shared" si="2"/>
        <v>1.2663010615384615E-2</v>
      </c>
      <c r="M51">
        <f t="shared" si="3"/>
        <v>5.1435806153846157E-3</v>
      </c>
      <c r="N51">
        <f t="shared" si="4"/>
        <v>1.1006979076923077E-2</v>
      </c>
      <c r="O51">
        <f t="shared" si="5"/>
        <v>8.0752798461538461E-3</v>
      </c>
      <c r="P51">
        <f t="shared" si="1"/>
        <v>48.384589843724434</v>
      </c>
      <c r="R51">
        <f t="shared" si="6"/>
        <v>-9.9503855147624857E-5</v>
      </c>
    </row>
    <row r="52" spans="1:19" x14ac:dyDescent="0.2">
      <c r="A52" t="s">
        <v>63</v>
      </c>
      <c r="B52">
        <v>5.8785809999999996</v>
      </c>
      <c r="C52">
        <v>0.81475713000000005</v>
      </c>
      <c r="D52">
        <v>6.04754696</v>
      </c>
      <c r="E52">
        <v>0.47410824000000001</v>
      </c>
      <c r="F52">
        <v>3.30576771</v>
      </c>
      <c r="G52">
        <v>1.3377386</v>
      </c>
      <c r="H52">
        <v>2.8603117400000002</v>
      </c>
      <c r="I52">
        <v>9.8609400000000003E-3</v>
      </c>
      <c r="J52">
        <v>1</v>
      </c>
      <c r="K52">
        <v>949999</v>
      </c>
      <c r="L52">
        <f t="shared" si="2"/>
        <v>1.2714491192307692E-2</v>
      </c>
      <c r="M52">
        <f t="shared" si="3"/>
        <v>5.1451484615384615E-3</v>
      </c>
      <c r="N52">
        <f t="shared" si="4"/>
        <v>1.1001199000000001E-2</v>
      </c>
      <c r="O52">
        <f t="shared" si="5"/>
        <v>8.073173730769231E-3</v>
      </c>
      <c r="P52">
        <f t="shared" si="1"/>
        <v>46.105822100930126</v>
      </c>
      <c r="R52">
        <f t="shared" si="6"/>
        <v>-9.980290522369564E-4</v>
      </c>
    </row>
    <row r="53" spans="1:19" x14ac:dyDescent="0.2">
      <c r="A53" t="s">
        <v>64</v>
      </c>
      <c r="B53">
        <v>5.8635276799999998</v>
      </c>
      <c r="C53">
        <v>0.70385193000000001</v>
      </c>
      <c r="D53">
        <v>6.03526352</v>
      </c>
      <c r="E53">
        <v>0.47410824000000001</v>
      </c>
      <c r="F53">
        <v>3.31584579</v>
      </c>
      <c r="G53">
        <v>1.3377386</v>
      </c>
      <c r="H53">
        <v>2.84823352</v>
      </c>
      <c r="I53">
        <v>9.8609400000000003E-3</v>
      </c>
      <c r="J53">
        <v>1</v>
      </c>
      <c r="K53">
        <v>949999</v>
      </c>
      <c r="L53">
        <f t="shared" si="2"/>
        <v>1.2753253038461539E-2</v>
      </c>
      <c r="M53">
        <f t="shared" si="3"/>
        <v>5.1451484615384615E-3</v>
      </c>
      <c r="N53">
        <f t="shared" si="4"/>
        <v>1.0954744307692308E-2</v>
      </c>
      <c r="O53">
        <f t="shared" si="5"/>
        <v>8.0499463846153835E-3</v>
      </c>
      <c r="P53">
        <f t="shared" si="1"/>
        <v>39.829871596185136</v>
      </c>
      <c r="R53">
        <f t="shared" si="6"/>
        <v>-9.4023940285289747E-4</v>
      </c>
    </row>
    <row r="54" spans="1:19" x14ac:dyDescent="0.2">
      <c r="A54" t="s">
        <v>65</v>
      </c>
      <c r="B54">
        <v>5.8469171199999996</v>
      </c>
      <c r="C54">
        <v>0.61724025000000005</v>
      </c>
      <c r="D54">
        <v>6.0214446500000003</v>
      </c>
      <c r="E54">
        <v>0.47410824000000001</v>
      </c>
      <c r="F54">
        <v>3.32686869</v>
      </c>
      <c r="G54">
        <v>1.3377386</v>
      </c>
      <c r="H54">
        <v>2.8351534200000001</v>
      </c>
      <c r="I54">
        <v>9.8609400000000003E-3</v>
      </c>
      <c r="J54">
        <v>1</v>
      </c>
      <c r="K54">
        <v>949999</v>
      </c>
      <c r="L54">
        <f t="shared" si="2"/>
        <v>1.2795648807692307E-2</v>
      </c>
      <c r="M54">
        <f t="shared" si="3"/>
        <v>5.1451484615384615E-3</v>
      </c>
      <c r="N54">
        <f t="shared" si="4"/>
        <v>1.0904436230769232E-2</v>
      </c>
      <c r="O54">
        <f t="shared" si="5"/>
        <v>8.0247923461538462E-3</v>
      </c>
      <c r="P54">
        <f t="shared" si="1"/>
        <v>34.928653106765246</v>
      </c>
      <c r="R54">
        <f t="shared" si="6"/>
        <v>-1.3848914860706066E-3</v>
      </c>
    </row>
    <row r="55" spans="1:19" x14ac:dyDescent="0.2">
      <c r="A55" t="s">
        <v>66</v>
      </c>
      <c r="B55">
        <v>5.8271920799999997</v>
      </c>
      <c r="C55">
        <v>0.52217864999999997</v>
      </c>
      <c r="D55">
        <v>5.9917596700000004</v>
      </c>
      <c r="E55">
        <v>0.47410824000000001</v>
      </c>
      <c r="F55">
        <v>3.3345847200000001</v>
      </c>
      <c r="G55">
        <v>1.3373309600000001</v>
      </c>
      <c r="H55">
        <v>2.8132233800000002</v>
      </c>
      <c r="I55">
        <v>9.6783300000000006E-3</v>
      </c>
      <c r="J55">
        <v>1</v>
      </c>
      <c r="K55">
        <v>949999</v>
      </c>
      <c r="L55">
        <f t="shared" si="2"/>
        <v>1.2825325846153847E-2</v>
      </c>
      <c r="M55">
        <f t="shared" si="3"/>
        <v>5.1435806153846157E-3</v>
      </c>
      <c r="N55">
        <f t="shared" si="4"/>
        <v>1.0820089923076924E-2</v>
      </c>
      <c r="O55">
        <f t="shared" si="5"/>
        <v>7.9818352692307692E-3</v>
      </c>
      <c r="P55">
        <f t="shared" si="1"/>
        <v>29.549266959840971</v>
      </c>
      <c r="R55">
        <f t="shared" si="6"/>
        <v>-2.0729701532007077E-3</v>
      </c>
    </row>
    <row r="56" spans="1:19" x14ac:dyDescent="0.2">
      <c r="A56" t="s">
        <v>67</v>
      </c>
      <c r="B56">
        <v>5.7913755599999996</v>
      </c>
      <c r="C56">
        <v>0.41787495000000002</v>
      </c>
      <c r="D56">
        <v>5.9477440100000001</v>
      </c>
      <c r="E56">
        <v>0.47410824000000001</v>
      </c>
      <c r="F56">
        <v>3.33552954</v>
      </c>
      <c r="G56">
        <v>1.3329827999999999</v>
      </c>
      <c r="H56">
        <v>2.77704438</v>
      </c>
      <c r="I56">
        <v>9.6783300000000006E-3</v>
      </c>
      <c r="J56">
        <v>1</v>
      </c>
      <c r="K56">
        <v>949999</v>
      </c>
      <c r="L56">
        <f t="shared" si="2"/>
        <v>1.2828959769230769E-2</v>
      </c>
      <c r="M56">
        <f t="shared" si="3"/>
        <v>5.126856923076923E-3</v>
      </c>
      <c r="N56">
        <f t="shared" si="4"/>
        <v>1.0680939923076923E-2</v>
      </c>
      <c r="O56">
        <f t="shared" si="5"/>
        <v>7.9038984230769219E-3</v>
      </c>
      <c r="P56">
        <f t="shared" si="1"/>
        <v>23.646884937521286</v>
      </c>
      <c r="R56">
        <f t="shared" si="6"/>
        <v>-2.2344249892152957E-3</v>
      </c>
    </row>
    <row r="57" spans="1:19" x14ac:dyDescent="0.2">
      <c r="A57" t="s">
        <v>68</v>
      </c>
      <c r="B57">
        <v>5.7464751400000003</v>
      </c>
      <c r="C57">
        <v>0.32268131999999999</v>
      </c>
      <c r="D57">
        <v>5.8960511999999996</v>
      </c>
      <c r="E57">
        <v>0.47410824000000001</v>
      </c>
      <c r="F57">
        <v>3.33505713</v>
      </c>
      <c r="G57">
        <v>1.3248979400000001</v>
      </c>
      <c r="H57">
        <v>2.7296777200000002</v>
      </c>
      <c r="I57">
        <v>9.8609400000000003E-3</v>
      </c>
      <c r="J57">
        <v>1</v>
      </c>
      <c r="K57">
        <v>949999</v>
      </c>
      <c r="L57">
        <f t="shared" si="2"/>
        <v>1.2827142807692309E-2</v>
      </c>
      <c r="M57">
        <f t="shared" si="3"/>
        <v>5.0957613076923081E-3</v>
      </c>
      <c r="N57">
        <f t="shared" si="4"/>
        <v>1.0498760461538463E-2</v>
      </c>
      <c r="O57">
        <f t="shared" si="5"/>
        <v>7.7972608846153847E-3</v>
      </c>
      <c r="P57">
        <f t="shared" si="1"/>
        <v>18.260027420948504</v>
      </c>
      <c r="R57">
        <f t="shared" si="6"/>
        <v>-1.961865369208267E-3</v>
      </c>
    </row>
    <row r="58" spans="1:19" x14ac:dyDescent="0.2">
      <c r="A58" t="s">
        <v>69</v>
      </c>
      <c r="B58">
        <v>5.6963839199999997</v>
      </c>
      <c r="C58">
        <v>0.23976648</v>
      </c>
      <c r="D58">
        <v>5.8433347700000002</v>
      </c>
      <c r="E58">
        <v>0.47410824000000001</v>
      </c>
      <c r="F58">
        <v>3.3308054399999998</v>
      </c>
      <c r="G58">
        <v>1.3132801999999999</v>
      </c>
      <c r="H58">
        <v>2.6771903400000001</v>
      </c>
      <c r="I58">
        <v>9.8609400000000003E-3</v>
      </c>
      <c r="J58">
        <v>1</v>
      </c>
      <c r="K58">
        <v>949999</v>
      </c>
      <c r="L58">
        <f t="shared" si="2"/>
        <v>1.2810790153846154E-2</v>
      </c>
      <c r="M58">
        <f t="shared" si="3"/>
        <v>5.0510776923076922E-3</v>
      </c>
      <c r="N58">
        <f t="shared" si="4"/>
        <v>1.0296885923076924E-2</v>
      </c>
      <c r="O58">
        <f t="shared" si="5"/>
        <v>7.6739818076923079E-3</v>
      </c>
      <c r="P58">
        <f t="shared" si="1"/>
        <v>13.568007281686777</v>
      </c>
      <c r="R58">
        <f t="shared" si="6"/>
        <v>-1.5162398125030711E-3</v>
      </c>
    </row>
    <row r="59" spans="1:19" x14ac:dyDescent="0.2">
      <c r="A59" t="s">
        <v>70</v>
      </c>
      <c r="B59">
        <v>5.6449949999999998</v>
      </c>
      <c r="C59">
        <v>0.16358517</v>
      </c>
      <c r="D59">
        <v>5.7870356699999999</v>
      </c>
      <c r="E59">
        <v>0.47410824000000001</v>
      </c>
      <c r="F59">
        <v>3.31679061</v>
      </c>
      <c r="G59">
        <v>1.2987410399999999</v>
      </c>
      <c r="H59">
        <v>2.6226435399999999</v>
      </c>
      <c r="I59">
        <v>9.8609400000000003E-3</v>
      </c>
      <c r="J59">
        <v>1</v>
      </c>
      <c r="K59">
        <v>949999</v>
      </c>
      <c r="L59">
        <f t="shared" si="2"/>
        <v>1.2756886961538462E-2</v>
      </c>
      <c r="M59">
        <f t="shared" si="3"/>
        <v>4.9951578461538458E-3</v>
      </c>
      <c r="N59">
        <f t="shared" si="4"/>
        <v>1.0087090538461537E-2</v>
      </c>
      <c r="O59">
        <f t="shared" si="5"/>
        <v>7.5411241923076921E-3</v>
      </c>
      <c r="P59">
        <f t="shared" si="1"/>
        <v>9.2570269944988528</v>
      </c>
      <c r="R59">
        <f t="shared" si="6"/>
        <v>-9.7359977524003798E-4</v>
      </c>
    </row>
    <row r="60" spans="1:19" x14ac:dyDescent="0.2">
      <c r="A60" t="s">
        <v>71</v>
      </c>
      <c r="B60">
        <v>5.5943847</v>
      </c>
      <c r="C60">
        <v>9.9154530000000005E-2</v>
      </c>
      <c r="D60">
        <v>5.732272</v>
      </c>
      <c r="E60">
        <v>0.79018040000000001</v>
      </c>
      <c r="F60">
        <v>3.3010436099999998</v>
      </c>
      <c r="G60">
        <v>1.28379424</v>
      </c>
      <c r="H60">
        <v>2.5694882400000001</v>
      </c>
      <c r="I60">
        <v>9.8609400000000003E-3</v>
      </c>
      <c r="J60">
        <v>1</v>
      </c>
      <c r="K60">
        <v>949999</v>
      </c>
      <c r="L60">
        <f t="shared" si="2"/>
        <v>1.2696321576923075E-2</v>
      </c>
      <c r="M60">
        <f t="shared" si="3"/>
        <v>4.9376701538461536E-3</v>
      </c>
      <c r="N60">
        <f t="shared" si="4"/>
        <v>9.8826470769230769E-3</v>
      </c>
      <c r="O60">
        <f t="shared" si="5"/>
        <v>7.4101586153846148E-3</v>
      </c>
      <c r="P60">
        <f t="shared" si="1"/>
        <v>5.6109986060279571</v>
      </c>
      <c r="R60">
        <f t="shared" si="6"/>
        <v>-3.9434855685102681E-4</v>
      </c>
    </row>
    <row r="61" spans="1:19" x14ac:dyDescent="0.2">
      <c r="A61" t="s">
        <v>72</v>
      </c>
      <c r="B61">
        <v>5.5523392200000004</v>
      </c>
      <c r="C61">
        <v>5.4000270000000003E-2</v>
      </c>
      <c r="D61">
        <v>5.6918390099999998</v>
      </c>
      <c r="E61">
        <v>1.1457615800000001</v>
      </c>
      <c r="F61">
        <v>3.2837219100000001</v>
      </c>
      <c r="G61">
        <v>1.2726520800000001</v>
      </c>
      <c r="H61">
        <v>2.5333092399999999</v>
      </c>
      <c r="I61">
        <v>1.004355E-2</v>
      </c>
      <c r="J61">
        <v>1</v>
      </c>
      <c r="K61">
        <v>949999</v>
      </c>
      <c r="L61">
        <f t="shared" si="2"/>
        <v>1.2629699653846154E-2</v>
      </c>
      <c r="M61">
        <f t="shared" si="3"/>
        <v>4.8948156923076924E-3</v>
      </c>
      <c r="N61">
        <f t="shared" si="4"/>
        <v>9.7434970769230758E-3</v>
      </c>
      <c r="O61">
        <f t="shared" si="5"/>
        <v>7.3191563846153841E-3</v>
      </c>
      <c r="P61">
        <f t="shared" si="1"/>
        <v>3.0557901862389274</v>
      </c>
      <c r="R61">
        <f t="shared" si="6"/>
        <v>-7.4236327402023609E-5</v>
      </c>
    </row>
    <row r="62" spans="1:19" x14ac:dyDescent="0.2">
      <c r="A62" t="s">
        <v>73</v>
      </c>
      <c r="B62">
        <v>5.5396217600000002</v>
      </c>
      <c r="C62">
        <v>5.2811999999999998E-2</v>
      </c>
      <c r="D62">
        <v>5.6821146200000001</v>
      </c>
      <c r="E62">
        <v>1.20502511</v>
      </c>
      <c r="F62">
        <v>3.2640381600000001</v>
      </c>
      <c r="G62">
        <v>1.26973066</v>
      </c>
      <c r="H62">
        <v>2.5234574200000002</v>
      </c>
      <c r="I62">
        <v>1.004355E-2</v>
      </c>
      <c r="J62">
        <v>1</v>
      </c>
      <c r="K62">
        <v>949999</v>
      </c>
      <c r="L62">
        <f t="shared" si="2"/>
        <v>1.2553992923076924E-2</v>
      </c>
      <c r="M62">
        <f t="shared" si="3"/>
        <v>4.8835794615384618E-3</v>
      </c>
      <c r="N62">
        <f t="shared" si="4"/>
        <v>9.7056054615384628E-3</v>
      </c>
      <c r="O62">
        <f t="shared" si="5"/>
        <v>7.2945924615384619E-3</v>
      </c>
      <c r="P62">
        <f t="shared" si="1"/>
        <v>2.9885478594023738</v>
      </c>
      <c r="R62">
        <f t="shared" si="6"/>
        <v>1.7722801589288464E-4</v>
      </c>
    </row>
    <row r="63" spans="1:19" x14ac:dyDescent="0.2">
      <c r="A63" t="s">
        <v>74</v>
      </c>
      <c r="B63">
        <v>5.5577895599999998</v>
      </c>
      <c r="C63">
        <v>0.10839662999999999</v>
      </c>
      <c r="D63">
        <v>5.7041224499999998</v>
      </c>
      <c r="E63">
        <v>1.20502511</v>
      </c>
      <c r="F63">
        <v>3.2432521200000002</v>
      </c>
      <c r="G63">
        <v>1.26973066</v>
      </c>
      <c r="H63">
        <v>2.5436619999999999</v>
      </c>
      <c r="I63">
        <v>9.8609400000000003E-3</v>
      </c>
      <c r="J63">
        <v>1</v>
      </c>
      <c r="K63">
        <v>949999</v>
      </c>
      <c r="L63">
        <f t="shared" si="2"/>
        <v>1.2474046615384616E-2</v>
      </c>
      <c r="M63">
        <f t="shared" si="3"/>
        <v>4.8835794615384618E-3</v>
      </c>
      <c r="N63">
        <f t="shared" si="4"/>
        <v>9.7833153846153837E-3</v>
      </c>
      <c r="O63">
        <f t="shared" si="5"/>
        <v>7.3334474230769232E-3</v>
      </c>
      <c r="P63">
        <f t="shared" si="1"/>
        <v>6.1339944814233718</v>
      </c>
      <c r="R63">
        <f t="shared" si="6"/>
        <v>7.8773443921725534E-4</v>
      </c>
    </row>
    <row r="64" spans="1:19" x14ac:dyDescent="0.2">
      <c r="A64" t="s">
        <v>75</v>
      </c>
      <c r="B64">
        <v>5.5959419400000003</v>
      </c>
      <c r="C64">
        <v>0.18933101999999999</v>
      </c>
      <c r="D64">
        <v>5.7430200100000004</v>
      </c>
      <c r="E64">
        <v>1.0864980500000001</v>
      </c>
      <c r="F64">
        <v>3.2327016300000002</v>
      </c>
      <c r="G64">
        <v>1.27638878</v>
      </c>
      <c r="H64">
        <v>2.5856296400000001</v>
      </c>
      <c r="I64">
        <v>1.004355E-2</v>
      </c>
      <c r="J64">
        <v>1</v>
      </c>
      <c r="K64">
        <v>950000</v>
      </c>
      <c r="L64">
        <f t="shared" si="2"/>
        <v>1.2433467807692309E-2</v>
      </c>
      <c r="M64">
        <f t="shared" si="3"/>
        <v>4.9091876153846154E-3</v>
      </c>
      <c r="N64">
        <f t="shared" si="4"/>
        <v>9.9447293846153841E-3</v>
      </c>
      <c r="O64">
        <f t="shared" si="5"/>
        <v>7.4269584999999997E-3</v>
      </c>
      <c r="P64">
        <f t="shared" si="1"/>
        <v>10.71394407595751</v>
      </c>
      <c r="Q64">
        <f>ABS(0.5*(SUMPRODUCT(O64:O82,P65:P83)+O83*P64-(SUMPRODUCT(O65:O83,P64:P82)+O64*P83)))</f>
        <v>5.1993049892471443E-3</v>
      </c>
      <c r="R64">
        <f t="shared" si="6"/>
        <v>1.7910701305989657E-3</v>
      </c>
    </row>
    <row r="65" spans="1:19" x14ac:dyDescent="0.2">
      <c r="A65" t="s">
        <v>76</v>
      </c>
      <c r="B65">
        <v>5.6520025800000004</v>
      </c>
      <c r="C65">
        <v>0.28201608</v>
      </c>
      <c r="D65">
        <v>5.8023899700000001</v>
      </c>
      <c r="E65">
        <v>0.79018040000000001</v>
      </c>
      <c r="F65">
        <v>3.22750512</v>
      </c>
      <c r="G65">
        <v>1.2898409</v>
      </c>
      <c r="H65">
        <v>2.6420132199999999</v>
      </c>
      <c r="I65">
        <v>1.004355E-2</v>
      </c>
      <c r="J65">
        <v>1</v>
      </c>
      <c r="K65">
        <v>950000</v>
      </c>
      <c r="L65">
        <f t="shared" si="2"/>
        <v>1.2413481230769231E-2</v>
      </c>
      <c r="M65">
        <f t="shared" si="3"/>
        <v>4.9609265384615384E-3</v>
      </c>
      <c r="N65">
        <f t="shared" si="4"/>
        <v>1.0161589307692308E-2</v>
      </c>
      <c r="O65">
        <f t="shared" si="5"/>
        <v>7.5612579230769222E-3</v>
      </c>
      <c r="P65">
        <f t="shared" si="1"/>
        <v>15.958845569208677</v>
      </c>
      <c r="R65">
        <f t="shared" si="6"/>
        <v>2.8674017905252727E-3</v>
      </c>
    </row>
    <row r="66" spans="1:19" x14ac:dyDescent="0.2">
      <c r="A66" t="s">
        <v>77</v>
      </c>
      <c r="B66">
        <v>5.7067655200000003</v>
      </c>
      <c r="C66">
        <v>0.39160097999999999</v>
      </c>
      <c r="D66">
        <v>5.8699488899999999</v>
      </c>
      <c r="E66">
        <v>0.53337177000000002</v>
      </c>
      <c r="F66">
        <v>3.2254580100000001</v>
      </c>
      <c r="G66">
        <v>1.3053991599999999</v>
      </c>
      <c r="H66">
        <v>2.7046863800000001</v>
      </c>
      <c r="I66">
        <v>9.8609400000000003E-3</v>
      </c>
      <c r="J66">
        <v>1</v>
      </c>
      <c r="K66">
        <v>950000</v>
      </c>
      <c r="L66">
        <f t="shared" si="2"/>
        <v>1.2405607730769231E-2</v>
      </c>
      <c r="M66">
        <f t="shared" si="3"/>
        <v>5.0207659999999994E-3</v>
      </c>
      <c r="N66">
        <f t="shared" si="4"/>
        <v>1.0402639923076924E-2</v>
      </c>
      <c r="O66">
        <f t="shared" si="5"/>
        <v>7.7117029615384625E-3</v>
      </c>
      <c r="P66">
        <f t="shared" si="1"/>
        <v>22.160082377468601</v>
      </c>
      <c r="R66">
        <f t="shared" si="6"/>
        <v>3.8201716950918329E-3</v>
      </c>
    </row>
    <row r="67" spans="1:19" x14ac:dyDescent="0.2">
      <c r="A67" t="s">
        <v>78</v>
      </c>
      <c r="B67">
        <v>5.76931466</v>
      </c>
      <c r="C67">
        <v>0.52376301000000003</v>
      </c>
      <c r="D67">
        <v>5.9431377200000002</v>
      </c>
      <c r="E67">
        <v>0.53337177000000002</v>
      </c>
      <c r="F67">
        <v>3.2303395799999999</v>
      </c>
      <c r="G67">
        <v>1.31925892</v>
      </c>
      <c r="H67">
        <v>2.7675265200000001</v>
      </c>
      <c r="I67">
        <v>1.022616E-2</v>
      </c>
      <c r="J67">
        <v>1</v>
      </c>
      <c r="K67">
        <v>950000</v>
      </c>
      <c r="L67">
        <f t="shared" si="2"/>
        <v>1.2424382999999999E-2</v>
      </c>
      <c r="M67">
        <f t="shared" si="3"/>
        <v>5.0740727692307691E-3</v>
      </c>
      <c r="N67">
        <f t="shared" si="4"/>
        <v>1.0644332769230769E-2</v>
      </c>
      <c r="O67">
        <f t="shared" si="5"/>
        <v>7.8592027692307685E-3</v>
      </c>
      <c r="P67">
        <f t="shared" ref="P67:P130" si="7">+C67*4/(PI()*0.15^2)</f>
        <v>29.638923395623046</v>
      </c>
      <c r="R67">
        <f t="shared" si="6"/>
        <v>4.41466577324262E-3</v>
      </c>
    </row>
    <row r="68" spans="1:19" x14ac:dyDescent="0.2">
      <c r="A68" t="s">
        <v>79</v>
      </c>
      <c r="B68">
        <v>5.82874932</v>
      </c>
      <c r="C68">
        <v>0.70385193000000001</v>
      </c>
      <c r="D68">
        <v>6.0071139699999998</v>
      </c>
      <c r="E68">
        <v>0.53337177000000002</v>
      </c>
      <c r="F68">
        <v>3.2441969400000001</v>
      </c>
      <c r="G68">
        <v>1.33046902</v>
      </c>
      <c r="H68">
        <v>2.8224072800000002</v>
      </c>
      <c r="I68">
        <v>1.004355E-2</v>
      </c>
      <c r="J68">
        <v>1</v>
      </c>
      <c r="K68">
        <v>950000</v>
      </c>
      <c r="L68">
        <f t="shared" ref="L68:L131" si="8">+F68/260</f>
        <v>1.2477680538461539E-2</v>
      </c>
      <c r="M68">
        <f t="shared" ref="M68:M131" si="9">+G68/260</f>
        <v>5.1171885384615383E-3</v>
      </c>
      <c r="N68">
        <f t="shared" ref="N68:N131" si="10">+H68/260</f>
        <v>1.0855412615384617E-2</v>
      </c>
      <c r="O68">
        <f t="shared" ref="O68:O131" si="11">(+G68+H68)/520</f>
        <v>7.986300576923077E-3</v>
      </c>
      <c r="P68">
        <f t="shared" si="7"/>
        <v>39.829871596185136</v>
      </c>
      <c r="R68">
        <f t="shared" ref="R68:R131" si="12">+(P68+P69)/2*(O69-O68)</f>
        <v>2.8375081616727289E-3</v>
      </c>
    </row>
    <row r="69" spans="1:19" x14ac:dyDescent="0.2">
      <c r="A69" t="s">
        <v>80</v>
      </c>
      <c r="B69">
        <v>5.8666421599999996</v>
      </c>
      <c r="C69">
        <v>0.82597967999999999</v>
      </c>
      <c r="D69">
        <v>6.0414052399999996</v>
      </c>
      <c r="E69">
        <v>0.53337177000000002</v>
      </c>
      <c r="F69">
        <v>3.2586841799999999</v>
      </c>
      <c r="G69">
        <v>1.3358362800000001</v>
      </c>
      <c r="H69">
        <v>2.8511278400000002</v>
      </c>
      <c r="I69">
        <v>1.004355E-2</v>
      </c>
      <c r="J69">
        <v>1</v>
      </c>
      <c r="K69">
        <v>950000</v>
      </c>
      <c r="L69">
        <f t="shared" si="8"/>
        <v>1.2533400692307692E-2</v>
      </c>
      <c r="M69">
        <f t="shared" si="9"/>
        <v>5.1378318461538465E-3</v>
      </c>
      <c r="N69">
        <f t="shared" si="10"/>
        <v>1.0965876307692309E-2</v>
      </c>
      <c r="O69">
        <f t="shared" si="11"/>
        <v>8.0518540769230779E-3</v>
      </c>
      <c r="P69">
        <f t="shared" si="7"/>
        <v>46.74088852105313</v>
      </c>
      <c r="R69">
        <f t="shared" si="12"/>
        <v>9.0675490486610063E-4</v>
      </c>
    </row>
    <row r="70" spans="1:19" x14ac:dyDescent="0.2">
      <c r="A70" t="s">
        <v>81</v>
      </c>
      <c r="B70">
        <v>5.8809168600000001</v>
      </c>
      <c r="C70">
        <v>0.8542341</v>
      </c>
      <c r="D70">
        <v>6.05573592</v>
      </c>
      <c r="E70">
        <v>0.53337177000000002</v>
      </c>
      <c r="F70">
        <v>3.2736438300000001</v>
      </c>
      <c r="G70">
        <v>1.33712714</v>
      </c>
      <c r="H70">
        <v>2.8597551399999999</v>
      </c>
      <c r="I70">
        <v>1.004355E-2</v>
      </c>
      <c r="J70">
        <v>1</v>
      </c>
      <c r="K70">
        <v>950000</v>
      </c>
      <c r="L70">
        <f t="shared" si="8"/>
        <v>1.2590937807692309E-2</v>
      </c>
      <c r="M70">
        <f t="shared" si="9"/>
        <v>5.1427966923076919E-3</v>
      </c>
      <c r="N70">
        <f t="shared" si="10"/>
        <v>1.0999058230769231E-2</v>
      </c>
      <c r="O70">
        <f t="shared" si="11"/>
        <v>8.0709274615384605E-3</v>
      </c>
      <c r="P70">
        <f t="shared" si="7"/>
        <v>48.339761625833397</v>
      </c>
      <c r="R70">
        <f t="shared" si="12"/>
        <v>2.7972173414837043E-4</v>
      </c>
    </row>
    <row r="71" spans="1:19" x14ac:dyDescent="0.2">
      <c r="A71" t="s">
        <v>82</v>
      </c>
      <c r="B71">
        <v>5.8816954800000003</v>
      </c>
      <c r="C71">
        <v>0.85661063999999998</v>
      </c>
      <c r="D71">
        <v>6.05573592</v>
      </c>
      <c r="E71">
        <v>0.53337177000000002</v>
      </c>
      <c r="F71">
        <v>3.2908080599999998</v>
      </c>
      <c r="G71">
        <v>1.3377386</v>
      </c>
      <c r="H71">
        <v>2.8621485199999999</v>
      </c>
      <c r="I71">
        <v>1.004355E-2</v>
      </c>
      <c r="J71">
        <v>1</v>
      </c>
      <c r="K71">
        <v>950000</v>
      </c>
      <c r="L71">
        <f t="shared" si="8"/>
        <v>1.2656954076923077E-2</v>
      </c>
      <c r="M71">
        <f t="shared" si="9"/>
        <v>5.1451484615384615E-3</v>
      </c>
      <c r="N71">
        <f t="shared" si="10"/>
        <v>1.1008263538461538E-2</v>
      </c>
      <c r="O71">
        <f t="shared" si="11"/>
        <v>8.0767059999999995E-3</v>
      </c>
      <c r="P71">
        <f t="shared" si="7"/>
        <v>48.474246279506502</v>
      </c>
      <c r="R71">
        <f t="shared" si="12"/>
        <v>-8.8033409463332749E-5</v>
      </c>
    </row>
    <row r="72" spans="1:19" x14ac:dyDescent="0.2">
      <c r="A72" t="s">
        <v>83</v>
      </c>
      <c r="B72">
        <v>5.8793596199999998</v>
      </c>
      <c r="C72">
        <v>0.81990629999999998</v>
      </c>
      <c r="D72">
        <v>6.0511296300000001</v>
      </c>
      <c r="E72">
        <v>0.47410824000000001</v>
      </c>
      <c r="F72">
        <v>3.30576771</v>
      </c>
      <c r="G72">
        <v>1.3379424200000001</v>
      </c>
      <c r="H72">
        <v>2.8609796599999999</v>
      </c>
      <c r="I72">
        <v>1.004355E-2</v>
      </c>
      <c r="J72">
        <v>1</v>
      </c>
      <c r="K72">
        <v>950000</v>
      </c>
      <c r="L72">
        <f t="shared" si="8"/>
        <v>1.2714491192307692E-2</v>
      </c>
      <c r="M72">
        <f t="shared" si="9"/>
        <v>5.1459323846153853E-3</v>
      </c>
      <c r="N72">
        <f t="shared" si="10"/>
        <v>1.1003767923076923E-2</v>
      </c>
      <c r="O72">
        <f t="shared" si="11"/>
        <v>8.0748501538461543E-3</v>
      </c>
      <c r="P72">
        <f t="shared" si="7"/>
        <v>46.397205517221856</v>
      </c>
      <c r="R72">
        <f t="shared" si="12"/>
        <v>-1.0441211399489683E-3</v>
      </c>
    </row>
    <row r="73" spans="1:19" x14ac:dyDescent="0.2">
      <c r="A73" t="s">
        <v>84</v>
      </c>
      <c r="B73">
        <v>5.8643063</v>
      </c>
      <c r="C73">
        <v>0.70556832000000003</v>
      </c>
      <c r="D73">
        <v>6.0383343800000002</v>
      </c>
      <c r="E73">
        <v>0.47410824000000001</v>
      </c>
      <c r="F73">
        <v>3.3149009700000001</v>
      </c>
      <c r="G73">
        <v>1.3379424200000001</v>
      </c>
      <c r="H73">
        <v>2.8484004999999999</v>
      </c>
      <c r="I73">
        <v>9.8609400000000003E-3</v>
      </c>
      <c r="J73">
        <v>1</v>
      </c>
      <c r="K73">
        <v>950000</v>
      </c>
      <c r="L73">
        <f t="shared" si="8"/>
        <v>1.2749619115384615E-2</v>
      </c>
      <c r="M73">
        <f t="shared" si="9"/>
        <v>5.1459323846153853E-3</v>
      </c>
      <c r="N73">
        <f t="shared" si="10"/>
        <v>1.0955386538461538E-2</v>
      </c>
      <c r="O73">
        <f t="shared" si="11"/>
        <v>8.0506594615384602E-3</v>
      </c>
      <c r="P73">
        <f t="shared" si="7"/>
        <v>39.926999401615717</v>
      </c>
      <c r="R73">
        <f t="shared" si="12"/>
        <v>-1.049218180306817E-3</v>
      </c>
    </row>
    <row r="74" spans="1:19" x14ac:dyDescent="0.2">
      <c r="A74" t="s">
        <v>85</v>
      </c>
      <c r="B74">
        <v>5.84847436</v>
      </c>
      <c r="C74">
        <v>0.61169499000000005</v>
      </c>
      <c r="D74">
        <v>6.0214446500000003</v>
      </c>
      <c r="E74">
        <v>0.47410824000000001</v>
      </c>
      <c r="F74">
        <v>3.32497905</v>
      </c>
      <c r="G74">
        <v>1.3379424200000001</v>
      </c>
      <c r="H74">
        <v>2.8337619200000002</v>
      </c>
      <c r="I74">
        <v>9.8609400000000003E-3</v>
      </c>
      <c r="J74">
        <v>1</v>
      </c>
      <c r="K74">
        <v>950000</v>
      </c>
      <c r="L74">
        <f t="shared" si="8"/>
        <v>1.2788380961538462E-2</v>
      </c>
      <c r="M74">
        <f t="shared" si="9"/>
        <v>5.1459323846153853E-3</v>
      </c>
      <c r="N74">
        <f t="shared" si="10"/>
        <v>1.0899084307692309E-2</v>
      </c>
      <c r="O74">
        <f t="shared" si="11"/>
        <v>8.0225083461538463E-3</v>
      </c>
      <c r="P74">
        <f t="shared" si="7"/>
        <v>34.614855581527998</v>
      </c>
      <c r="R74">
        <f t="shared" si="12"/>
        <v>-1.3048761459134206E-3</v>
      </c>
    </row>
    <row r="75" spans="1:19" x14ac:dyDescent="0.2">
      <c r="A75" t="s">
        <v>86</v>
      </c>
      <c r="B75">
        <v>5.82485622</v>
      </c>
      <c r="C75">
        <v>0.52217864999999997</v>
      </c>
      <c r="D75">
        <v>5.9932951000000001</v>
      </c>
      <c r="E75">
        <v>0.47410824000000001</v>
      </c>
      <c r="F75">
        <v>3.3341123100000001</v>
      </c>
      <c r="G75">
        <v>1.3373309600000001</v>
      </c>
      <c r="H75">
        <v>2.8132233800000002</v>
      </c>
      <c r="I75">
        <v>9.8609400000000003E-3</v>
      </c>
      <c r="J75">
        <v>1</v>
      </c>
      <c r="K75">
        <v>950000</v>
      </c>
      <c r="L75">
        <f t="shared" si="8"/>
        <v>1.2823508884615385E-2</v>
      </c>
      <c r="M75">
        <f t="shared" si="9"/>
        <v>5.1435806153846157E-3</v>
      </c>
      <c r="N75">
        <f t="shared" si="10"/>
        <v>1.0820089923076924E-2</v>
      </c>
      <c r="O75">
        <f t="shared" si="11"/>
        <v>7.9818352692307692E-3</v>
      </c>
      <c r="P75">
        <f t="shared" si="7"/>
        <v>29.549266959840971</v>
      </c>
      <c r="R75">
        <f t="shared" si="12"/>
        <v>-1.9859518836165347E-3</v>
      </c>
      <c r="S75">
        <f>ABS(SUMIFS($R:$R,$K:$K,K75))</f>
        <v>5.1755251248491183E-3</v>
      </c>
    </row>
    <row r="76" spans="1:19" x14ac:dyDescent="0.2">
      <c r="A76" t="s">
        <v>87</v>
      </c>
      <c r="B76">
        <v>5.7924137199999999</v>
      </c>
      <c r="C76">
        <v>0.42025149000000001</v>
      </c>
      <c r="D76">
        <v>5.9554211600000002</v>
      </c>
      <c r="E76">
        <v>0.47410824000000001</v>
      </c>
      <c r="F76">
        <v>3.33694677</v>
      </c>
      <c r="G76">
        <v>1.3333904400000001</v>
      </c>
      <c r="H76">
        <v>2.77843588</v>
      </c>
      <c r="I76">
        <v>1.004355E-2</v>
      </c>
      <c r="J76">
        <v>1</v>
      </c>
      <c r="K76">
        <v>950000</v>
      </c>
      <c r="L76">
        <f t="shared" si="8"/>
        <v>1.2834410653846154E-2</v>
      </c>
      <c r="M76">
        <f t="shared" si="9"/>
        <v>5.1284247692307697E-3</v>
      </c>
      <c r="N76">
        <f t="shared" si="10"/>
        <v>1.0686291846153845E-2</v>
      </c>
      <c r="O76">
        <f t="shared" si="11"/>
        <v>7.9073583076923089E-3</v>
      </c>
      <c r="P76">
        <f t="shared" si="7"/>
        <v>23.781369591194391</v>
      </c>
      <c r="R76">
        <f t="shared" si="12"/>
        <v>-2.2311035010322442E-3</v>
      </c>
    </row>
    <row r="77" spans="1:19" x14ac:dyDescent="0.2">
      <c r="A77" t="s">
        <v>88</v>
      </c>
      <c r="B77">
        <v>5.7480323799999997</v>
      </c>
      <c r="C77">
        <v>0.32518988999999998</v>
      </c>
      <c r="D77">
        <v>5.8991220599999998</v>
      </c>
      <c r="E77">
        <v>0.47410824000000001</v>
      </c>
      <c r="F77">
        <v>3.3336399000000001</v>
      </c>
      <c r="G77">
        <v>1.32530558</v>
      </c>
      <c r="H77">
        <v>2.7315144999999998</v>
      </c>
      <c r="I77">
        <v>9.8609400000000003E-3</v>
      </c>
      <c r="J77">
        <v>1</v>
      </c>
      <c r="K77">
        <v>950000</v>
      </c>
      <c r="L77">
        <f t="shared" si="8"/>
        <v>1.2821691923076924E-2</v>
      </c>
      <c r="M77">
        <f t="shared" si="9"/>
        <v>5.097329153846154E-3</v>
      </c>
      <c r="N77">
        <f t="shared" si="10"/>
        <v>1.0505825E-2</v>
      </c>
      <c r="O77">
        <f t="shared" si="11"/>
        <v>7.8015770769230761E-3</v>
      </c>
      <c r="P77">
        <f t="shared" si="7"/>
        <v>18.401983444270115</v>
      </c>
      <c r="R77">
        <f t="shared" si="12"/>
        <v>-1.9711105368402483E-3</v>
      </c>
    </row>
    <row r="78" spans="1:19" x14ac:dyDescent="0.2">
      <c r="A78" t="s">
        <v>89</v>
      </c>
      <c r="B78">
        <v>5.6979411600000001</v>
      </c>
      <c r="C78">
        <v>0.24055866000000001</v>
      </c>
      <c r="D78">
        <v>5.8433347700000002</v>
      </c>
      <c r="E78">
        <v>0.47410824000000001</v>
      </c>
      <c r="F78">
        <v>3.3298606199999998</v>
      </c>
      <c r="G78">
        <v>1.31409548</v>
      </c>
      <c r="H78">
        <v>2.6786931599999999</v>
      </c>
      <c r="I78">
        <v>9.8609400000000003E-3</v>
      </c>
      <c r="J78">
        <v>1</v>
      </c>
      <c r="K78">
        <v>950000</v>
      </c>
      <c r="L78">
        <f t="shared" si="8"/>
        <v>1.280715623076923E-2</v>
      </c>
      <c r="M78">
        <f t="shared" si="9"/>
        <v>5.0542133846153848E-3</v>
      </c>
      <c r="N78">
        <f t="shared" si="10"/>
        <v>1.0302666E-2</v>
      </c>
      <c r="O78">
        <f t="shared" si="11"/>
        <v>7.6784396923076917E-3</v>
      </c>
      <c r="P78">
        <f t="shared" si="7"/>
        <v>13.612835499577812</v>
      </c>
      <c r="R78">
        <f t="shared" si="12"/>
        <v>-1.5358021680455063E-3</v>
      </c>
    </row>
    <row r="79" spans="1:19" x14ac:dyDescent="0.2">
      <c r="A79" t="s">
        <v>90</v>
      </c>
      <c r="B79">
        <v>5.6504453400000001</v>
      </c>
      <c r="C79">
        <v>0.1663578</v>
      </c>
      <c r="D79">
        <v>5.7870356699999999</v>
      </c>
      <c r="E79">
        <v>0.53337177000000002</v>
      </c>
      <c r="F79">
        <v>3.3186802499999999</v>
      </c>
      <c r="G79">
        <v>1.29955632</v>
      </c>
      <c r="H79">
        <v>2.6238680599999999</v>
      </c>
      <c r="I79">
        <v>1.004355E-2</v>
      </c>
      <c r="J79">
        <v>1</v>
      </c>
      <c r="K79">
        <v>950000</v>
      </c>
      <c r="L79">
        <f t="shared" si="8"/>
        <v>1.2764154807692307E-2</v>
      </c>
      <c r="M79">
        <f t="shared" si="9"/>
        <v>4.9982935384615384E-3</v>
      </c>
      <c r="N79">
        <f t="shared" si="10"/>
        <v>1.009180023076923E-2</v>
      </c>
      <c r="O79">
        <f t="shared" si="11"/>
        <v>7.545046884615385E-3</v>
      </c>
      <c r="P79">
        <f t="shared" si="7"/>
        <v>9.413925757117477</v>
      </c>
      <c r="R79">
        <f t="shared" si="12"/>
        <v>-9.9696702232907226E-4</v>
      </c>
    </row>
    <row r="80" spans="1:19" x14ac:dyDescent="0.2">
      <c r="A80" t="s">
        <v>91</v>
      </c>
      <c r="B80">
        <v>5.5982778</v>
      </c>
      <c r="C80">
        <v>0.10113498</v>
      </c>
      <c r="D80">
        <v>5.732272</v>
      </c>
      <c r="E80">
        <v>0.84944392999999996</v>
      </c>
      <c r="F80">
        <v>3.3004137299999998</v>
      </c>
      <c r="G80">
        <v>1.28426982</v>
      </c>
      <c r="H80">
        <v>2.5706571</v>
      </c>
      <c r="I80">
        <v>1.004355E-2</v>
      </c>
      <c r="J80">
        <v>1</v>
      </c>
      <c r="K80">
        <v>950000</v>
      </c>
      <c r="L80">
        <f t="shared" si="8"/>
        <v>1.269389896153846E-2</v>
      </c>
      <c r="M80">
        <f t="shared" si="9"/>
        <v>4.9394993076923074E-3</v>
      </c>
      <c r="N80">
        <f t="shared" si="10"/>
        <v>9.8871426923076919E-3</v>
      </c>
      <c r="O80">
        <f t="shared" si="11"/>
        <v>7.4133210000000005E-3</v>
      </c>
      <c r="P80">
        <f t="shared" si="7"/>
        <v>5.7230691507555456</v>
      </c>
      <c r="R80">
        <f t="shared" si="12"/>
        <v>-4.1481444811390184E-4</v>
      </c>
    </row>
    <row r="81" spans="1:19" x14ac:dyDescent="0.2">
      <c r="A81" t="s">
        <v>92</v>
      </c>
      <c r="B81">
        <v>5.55467508</v>
      </c>
      <c r="C81">
        <v>5.4792449999999999E-2</v>
      </c>
      <c r="D81">
        <v>5.6918390099999998</v>
      </c>
      <c r="E81">
        <v>1.0864980500000001</v>
      </c>
      <c r="F81">
        <v>3.2816747999999998</v>
      </c>
      <c r="G81">
        <v>1.27305972</v>
      </c>
      <c r="H81">
        <v>2.5329752800000001</v>
      </c>
      <c r="I81">
        <v>1.004355E-2</v>
      </c>
      <c r="J81">
        <v>1</v>
      </c>
      <c r="K81">
        <v>950000</v>
      </c>
      <c r="L81">
        <f t="shared" si="8"/>
        <v>1.2621826153846154E-2</v>
      </c>
      <c r="M81">
        <f t="shared" si="9"/>
        <v>4.8963835384615382E-3</v>
      </c>
      <c r="N81">
        <f t="shared" si="10"/>
        <v>9.7422126153846149E-3</v>
      </c>
      <c r="O81">
        <f t="shared" si="11"/>
        <v>7.3192980769230774E-3</v>
      </c>
      <c r="P81">
        <f t="shared" si="7"/>
        <v>3.1006184041299627</v>
      </c>
      <c r="R81">
        <f t="shared" si="12"/>
        <v>-8.032230928160725E-5</v>
      </c>
    </row>
    <row r="82" spans="1:19" x14ac:dyDescent="0.2">
      <c r="A82" t="s">
        <v>93</v>
      </c>
      <c r="B82">
        <v>5.53884314</v>
      </c>
      <c r="C82">
        <v>5.2811999999999998E-2</v>
      </c>
      <c r="D82">
        <v>5.6836500499999998</v>
      </c>
      <c r="E82">
        <v>1.20502511</v>
      </c>
      <c r="F82">
        <v>3.2640381600000001</v>
      </c>
      <c r="G82">
        <v>1.2695268399999999</v>
      </c>
      <c r="H82">
        <v>2.5227895</v>
      </c>
      <c r="I82">
        <v>1.004355E-2</v>
      </c>
      <c r="J82">
        <v>1</v>
      </c>
      <c r="K82">
        <v>950000</v>
      </c>
      <c r="L82">
        <f t="shared" si="8"/>
        <v>1.2553992923076924E-2</v>
      </c>
      <c r="M82">
        <f t="shared" si="9"/>
        <v>4.882795538461538E-3</v>
      </c>
      <c r="N82">
        <f t="shared" si="10"/>
        <v>9.7030365384615392E-3</v>
      </c>
      <c r="O82">
        <f t="shared" si="11"/>
        <v>7.2929160384615386E-3</v>
      </c>
      <c r="P82">
        <f t="shared" si="7"/>
        <v>2.9885478594023738</v>
      </c>
      <c r="R82">
        <f t="shared" si="12"/>
        <v>1.6884237919457566E-4</v>
      </c>
    </row>
    <row r="83" spans="1:19" x14ac:dyDescent="0.2">
      <c r="A83" t="s">
        <v>94</v>
      </c>
      <c r="B83">
        <v>5.5562323200000003</v>
      </c>
      <c r="C83">
        <v>0.10800054000000001</v>
      </c>
      <c r="D83">
        <v>5.7025870200000002</v>
      </c>
      <c r="E83">
        <v>1.20502511</v>
      </c>
      <c r="F83">
        <v>3.2457716400000001</v>
      </c>
      <c r="G83">
        <v>1.2691192</v>
      </c>
      <c r="H83">
        <v>2.5424931399999999</v>
      </c>
      <c r="I83">
        <v>1.004355E-2</v>
      </c>
      <c r="J83">
        <v>1</v>
      </c>
      <c r="K83">
        <v>950000</v>
      </c>
      <c r="L83">
        <f t="shared" si="8"/>
        <v>1.2483737076923077E-2</v>
      </c>
      <c r="M83">
        <f t="shared" si="9"/>
        <v>4.8812276923076922E-3</v>
      </c>
      <c r="N83">
        <f t="shared" si="10"/>
        <v>9.7788197692307687E-3</v>
      </c>
      <c r="O83">
        <f t="shared" si="11"/>
        <v>7.3300237307692305E-3</v>
      </c>
      <c r="P83">
        <f t="shared" si="7"/>
        <v>6.1115803724778548</v>
      </c>
      <c r="R83">
        <f t="shared" si="12"/>
        <v>7.9170930040030276E-4</v>
      </c>
    </row>
    <row r="84" spans="1:19" x14ac:dyDescent="0.2">
      <c r="A84" t="s">
        <v>95</v>
      </c>
      <c r="B84">
        <v>5.5951633200000002</v>
      </c>
      <c r="C84">
        <v>0.18695448000000001</v>
      </c>
      <c r="D84">
        <v>5.7399491500000002</v>
      </c>
      <c r="E84">
        <v>1.1457615800000001</v>
      </c>
      <c r="F84">
        <v>3.2303395799999999</v>
      </c>
      <c r="G84">
        <v>1.2759811400000001</v>
      </c>
      <c r="H84">
        <v>2.5849617199999999</v>
      </c>
      <c r="I84">
        <v>1.022616E-2</v>
      </c>
      <c r="J84">
        <v>1</v>
      </c>
      <c r="K84">
        <v>950001</v>
      </c>
      <c r="L84">
        <f t="shared" si="8"/>
        <v>1.2424382999999999E-2</v>
      </c>
      <c r="M84">
        <f t="shared" si="9"/>
        <v>4.9076197692307696E-3</v>
      </c>
      <c r="N84">
        <f t="shared" si="10"/>
        <v>9.9421604615384605E-3</v>
      </c>
      <c r="O84">
        <f t="shared" si="11"/>
        <v>7.424890115384615E-3</v>
      </c>
      <c r="P84">
        <f t="shared" si="7"/>
        <v>10.579459422284403</v>
      </c>
      <c r="Q84">
        <f>ABS(0.5*(SUMPRODUCT(O84:O102,P85:P103)+O103*P84-(SUMPRODUCT(O85:O103,P84:P102)+O84*P103)))</f>
        <v>5.1825700593219892E-3</v>
      </c>
      <c r="R84">
        <f t="shared" si="12"/>
        <v>1.7899883588899769E-3</v>
      </c>
    </row>
    <row r="85" spans="1:19" x14ac:dyDescent="0.2">
      <c r="A85" t="s">
        <v>96</v>
      </c>
      <c r="B85">
        <v>5.6465522400000001</v>
      </c>
      <c r="C85">
        <v>0.28161998999999999</v>
      </c>
      <c r="D85">
        <v>5.8023899700000001</v>
      </c>
      <c r="E85">
        <v>0.84944392999999996</v>
      </c>
      <c r="F85">
        <v>3.2265603</v>
      </c>
      <c r="G85">
        <v>1.2896370800000001</v>
      </c>
      <c r="H85">
        <v>2.6415122800000002</v>
      </c>
      <c r="I85">
        <v>1.004355E-2</v>
      </c>
      <c r="J85">
        <v>1</v>
      </c>
      <c r="K85">
        <v>950001</v>
      </c>
      <c r="L85">
        <f t="shared" si="8"/>
        <v>1.2409847307692307E-2</v>
      </c>
      <c r="M85">
        <f t="shared" si="9"/>
        <v>4.9601426153846155E-3</v>
      </c>
      <c r="N85">
        <f t="shared" si="10"/>
        <v>1.0159662615384616E-2</v>
      </c>
      <c r="O85">
        <f t="shared" si="11"/>
        <v>7.5599026153846151E-3</v>
      </c>
      <c r="P85">
        <f t="shared" si="7"/>
        <v>15.936431460263158</v>
      </c>
      <c r="R85">
        <f t="shared" si="12"/>
        <v>2.874562634964729E-3</v>
      </c>
    </row>
    <row r="86" spans="1:19" x14ac:dyDescent="0.2">
      <c r="A86" t="s">
        <v>97</v>
      </c>
      <c r="B86">
        <v>5.7067655200000003</v>
      </c>
      <c r="C86">
        <v>0.39080880000000001</v>
      </c>
      <c r="D86">
        <v>5.8679016500000003</v>
      </c>
      <c r="E86">
        <v>0.79018040000000001</v>
      </c>
      <c r="F86">
        <v>3.22750512</v>
      </c>
      <c r="G86">
        <v>1.30519534</v>
      </c>
      <c r="H86">
        <v>2.7045194000000001</v>
      </c>
      <c r="I86">
        <v>9.8609400000000003E-3</v>
      </c>
      <c r="J86">
        <v>1</v>
      </c>
      <c r="K86">
        <v>950001</v>
      </c>
      <c r="L86">
        <f t="shared" si="8"/>
        <v>1.2413481230769231E-2</v>
      </c>
      <c r="M86">
        <f t="shared" si="9"/>
        <v>5.0199820769230774E-3</v>
      </c>
      <c r="N86">
        <f t="shared" si="10"/>
        <v>1.0401997692307693E-2</v>
      </c>
      <c r="O86">
        <f t="shared" si="11"/>
        <v>7.7109898846153841E-3</v>
      </c>
      <c r="P86">
        <f t="shared" si="7"/>
        <v>22.115254159577567</v>
      </c>
      <c r="R86">
        <f t="shared" si="12"/>
        <v>3.8321581842547382E-3</v>
      </c>
    </row>
    <row r="87" spans="1:19" x14ac:dyDescent="0.2">
      <c r="A87" t="s">
        <v>98</v>
      </c>
      <c r="B87">
        <v>5.7700932800000002</v>
      </c>
      <c r="C87">
        <v>0.52455518999999995</v>
      </c>
      <c r="D87">
        <v>5.9369959999999997</v>
      </c>
      <c r="E87">
        <v>0.79018040000000001</v>
      </c>
      <c r="F87">
        <v>3.2312843999999998</v>
      </c>
      <c r="G87">
        <v>1.3194627400000001</v>
      </c>
      <c r="H87">
        <v>2.7671925599999998</v>
      </c>
      <c r="I87">
        <v>9.6783300000000006E-3</v>
      </c>
      <c r="J87">
        <v>1</v>
      </c>
      <c r="K87">
        <v>950001</v>
      </c>
      <c r="L87">
        <f t="shared" si="8"/>
        <v>1.2428016923076922E-2</v>
      </c>
      <c r="M87">
        <f t="shared" si="9"/>
        <v>5.0748566923076929E-3</v>
      </c>
      <c r="N87">
        <f t="shared" si="10"/>
        <v>1.0643048307692306E-2</v>
      </c>
      <c r="O87">
        <f t="shared" si="11"/>
        <v>7.8589525000000004E-3</v>
      </c>
      <c r="P87">
        <f t="shared" si="7"/>
        <v>29.683751613514076</v>
      </c>
      <c r="R87">
        <f t="shared" si="12"/>
        <v>4.4111669804058236E-3</v>
      </c>
    </row>
    <row r="88" spans="1:19" x14ac:dyDescent="0.2">
      <c r="A88" t="s">
        <v>99</v>
      </c>
      <c r="B88">
        <v>5.8303065600000004</v>
      </c>
      <c r="C88">
        <v>0.70345584000000005</v>
      </c>
      <c r="D88">
        <v>6.0025076799999999</v>
      </c>
      <c r="E88">
        <v>0.73091687000000005</v>
      </c>
      <c r="F88">
        <v>3.2441969400000001</v>
      </c>
      <c r="G88">
        <v>1.3302651999999999</v>
      </c>
      <c r="H88">
        <v>2.8224072800000002</v>
      </c>
      <c r="I88">
        <v>9.6783300000000006E-3</v>
      </c>
      <c r="J88">
        <v>1</v>
      </c>
      <c r="K88">
        <v>950001</v>
      </c>
      <c r="L88">
        <f t="shared" si="8"/>
        <v>1.2477680538461539E-2</v>
      </c>
      <c r="M88">
        <f t="shared" si="9"/>
        <v>5.1164046153846154E-3</v>
      </c>
      <c r="N88">
        <f t="shared" si="10"/>
        <v>1.0855412615384617E-2</v>
      </c>
      <c r="O88">
        <f t="shared" si="11"/>
        <v>7.9859086153846147E-3</v>
      </c>
      <c r="P88">
        <f t="shared" si="7"/>
        <v>39.807457487239624</v>
      </c>
      <c r="R88">
        <f t="shared" si="12"/>
        <v>2.8476036940172241E-3</v>
      </c>
      <c r="S88">
        <f>ABS(SUMIFS($R:$R,$K:$K,K88))</f>
        <v>5.1844974146416888E-3</v>
      </c>
    </row>
    <row r="89" spans="1:19" x14ac:dyDescent="0.2">
      <c r="A89" t="s">
        <v>100</v>
      </c>
      <c r="B89">
        <v>5.8674207799999998</v>
      </c>
      <c r="C89">
        <v>0.82597967999999999</v>
      </c>
      <c r="D89">
        <v>6.0398698099999999</v>
      </c>
      <c r="E89">
        <v>0.67165333999999999</v>
      </c>
      <c r="F89">
        <v>3.2615186399999998</v>
      </c>
      <c r="G89">
        <v>1.3354286399999999</v>
      </c>
      <c r="H89">
        <v>2.8514618</v>
      </c>
      <c r="I89">
        <v>9.6783300000000006E-3</v>
      </c>
      <c r="J89">
        <v>1</v>
      </c>
      <c r="K89">
        <v>950001</v>
      </c>
      <c r="L89">
        <f t="shared" si="8"/>
        <v>1.254430246153846E-2</v>
      </c>
      <c r="M89">
        <f t="shared" si="9"/>
        <v>5.1362639999999998E-3</v>
      </c>
      <c r="N89">
        <f t="shared" si="10"/>
        <v>1.0967160769230769E-2</v>
      </c>
      <c r="O89">
        <f t="shared" si="11"/>
        <v>8.0517123846153837E-3</v>
      </c>
      <c r="P89">
        <f t="shared" si="7"/>
        <v>46.74088852105313</v>
      </c>
      <c r="R89">
        <f t="shared" si="12"/>
        <v>8.730607611092732E-4</v>
      </c>
    </row>
    <row r="90" spans="1:19" x14ac:dyDescent="0.2">
      <c r="A90" t="s">
        <v>101</v>
      </c>
      <c r="B90">
        <v>5.8793596199999998</v>
      </c>
      <c r="C90">
        <v>0.85463018999999996</v>
      </c>
      <c r="D90">
        <v>6.0526650599999998</v>
      </c>
      <c r="E90">
        <v>0.61238981000000003</v>
      </c>
      <c r="F90">
        <v>3.27647829</v>
      </c>
      <c r="G90">
        <v>1.33651568</v>
      </c>
      <c r="H90">
        <v>2.8599221199999998</v>
      </c>
      <c r="I90">
        <v>9.6783300000000006E-3</v>
      </c>
      <c r="J90">
        <v>1</v>
      </c>
      <c r="K90">
        <v>950001</v>
      </c>
      <c r="L90">
        <f t="shared" si="8"/>
        <v>1.2601839576923077E-2</v>
      </c>
      <c r="M90">
        <f t="shared" si="9"/>
        <v>5.1404449230769231E-3</v>
      </c>
      <c r="N90">
        <f t="shared" si="10"/>
        <v>1.0999700461538461E-2</v>
      </c>
      <c r="O90">
        <f t="shared" si="11"/>
        <v>8.0700726923076931E-3</v>
      </c>
      <c r="P90">
        <f t="shared" si="7"/>
        <v>48.362175734778916</v>
      </c>
      <c r="R90">
        <f t="shared" si="12"/>
        <v>2.9848795850105446E-4</v>
      </c>
    </row>
    <row r="91" spans="1:19" x14ac:dyDescent="0.2">
      <c r="A91" t="s">
        <v>102</v>
      </c>
      <c r="B91">
        <v>5.8809168600000001</v>
      </c>
      <c r="C91">
        <v>0.85502628000000003</v>
      </c>
      <c r="D91">
        <v>6.0511296300000001</v>
      </c>
      <c r="E91">
        <v>0.61238981000000003</v>
      </c>
      <c r="F91">
        <v>3.2908080599999998</v>
      </c>
      <c r="G91">
        <v>1.3373309600000001</v>
      </c>
      <c r="H91">
        <v>2.8623154999999998</v>
      </c>
      <c r="I91">
        <v>9.4957199999999992E-3</v>
      </c>
      <c r="J91">
        <v>1</v>
      </c>
      <c r="K91">
        <v>950001</v>
      </c>
      <c r="L91">
        <f t="shared" si="8"/>
        <v>1.2656954076923077E-2</v>
      </c>
      <c r="M91">
        <f t="shared" si="9"/>
        <v>5.1435806153846157E-3</v>
      </c>
      <c r="N91">
        <f t="shared" si="10"/>
        <v>1.1008905769230769E-2</v>
      </c>
      <c r="O91">
        <f t="shared" si="11"/>
        <v>8.0762431923076927E-3</v>
      </c>
      <c r="P91">
        <f t="shared" si="7"/>
        <v>48.384589843724434</v>
      </c>
      <c r="R91">
        <f t="shared" si="12"/>
        <v>-8.7721430929326696E-5</v>
      </c>
    </row>
    <row r="92" spans="1:19" x14ac:dyDescent="0.2">
      <c r="A92" t="s">
        <v>103</v>
      </c>
      <c r="B92">
        <v>5.88013824</v>
      </c>
      <c r="C92">
        <v>0.81554930999999997</v>
      </c>
      <c r="D92">
        <v>6.0511296300000001</v>
      </c>
      <c r="E92">
        <v>0.61238981000000003</v>
      </c>
      <c r="F92">
        <v>3.30671253</v>
      </c>
      <c r="G92">
        <v>1.3375347799999999</v>
      </c>
      <c r="H92">
        <v>2.8611466399999999</v>
      </c>
      <c r="I92">
        <v>9.6783300000000006E-3</v>
      </c>
      <c r="J92">
        <v>1</v>
      </c>
      <c r="K92">
        <v>950001</v>
      </c>
      <c r="L92">
        <f t="shared" si="8"/>
        <v>1.2718125115384615E-2</v>
      </c>
      <c r="M92">
        <f t="shared" si="9"/>
        <v>5.1443645384615377E-3</v>
      </c>
      <c r="N92">
        <f t="shared" si="10"/>
        <v>1.1004410153846154E-2</v>
      </c>
      <c r="O92">
        <f t="shared" si="11"/>
        <v>8.0743873461538457E-3</v>
      </c>
      <c r="P92">
        <f t="shared" si="7"/>
        <v>46.150650318821157</v>
      </c>
      <c r="R92">
        <f t="shared" si="12"/>
        <v>-1.0402352814567863E-3</v>
      </c>
    </row>
    <row r="93" spans="1:19" x14ac:dyDescent="0.2">
      <c r="A93" t="s">
        <v>104</v>
      </c>
      <c r="B93">
        <v>5.8619704400000003</v>
      </c>
      <c r="C93">
        <v>0.70424801999999997</v>
      </c>
      <c r="D93">
        <v>6.03526352</v>
      </c>
      <c r="E93">
        <v>0.61238981000000003</v>
      </c>
      <c r="F93">
        <v>3.31726302</v>
      </c>
      <c r="G93">
        <v>1.3375347799999999</v>
      </c>
      <c r="H93">
        <v>2.8485674799999998</v>
      </c>
      <c r="I93">
        <v>9.6783300000000006E-3</v>
      </c>
      <c r="J93">
        <v>1</v>
      </c>
      <c r="K93">
        <v>950001</v>
      </c>
      <c r="L93">
        <f t="shared" si="8"/>
        <v>1.2758703923076924E-2</v>
      </c>
      <c r="M93">
        <f t="shared" si="9"/>
        <v>5.1443645384615377E-3</v>
      </c>
      <c r="N93">
        <f t="shared" si="10"/>
        <v>1.0956028769230769E-2</v>
      </c>
      <c r="O93">
        <f t="shared" si="11"/>
        <v>8.0501966538461533E-3</v>
      </c>
      <c r="P93">
        <f t="shared" si="7"/>
        <v>39.852285705130654</v>
      </c>
      <c r="R93">
        <f t="shared" si="12"/>
        <v>-1.0188559192759576E-3</v>
      </c>
    </row>
    <row r="94" spans="1:19" x14ac:dyDescent="0.2">
      <c r="A94" t="s">
        <v>105</v>
      </c>
      <c r="B94">
        <v>5.8461385000000003</v>
      </c>
      <c r="C94">
        <v>0.61327935</v>
      </c>
      <c r="D94">
        <v>6.0178619800000002</v>
      </c>
      <c r="E94">
        <v>0.61238981000000003</v>
      </c>
      <c r="F94">
        <v>3.3240342300000001</v>
      </c>
      <c r="G94">
        <v>1.3377386</v>
      </c>
      <c r="H94">
        <v>2.8341515400000001</v>
      </c>
      <c r="I94">
        <v>9.8609400000000003E-3</v>
      </c>
      <c r="J94">
        <v>1</v>
      </c>
      <c r="K94">
        <v>950001</v>
      </c>
      <c r="L94">
        <f t="shared" si="8"/>
        <v>1.2784747038461539E-2</v>
      </c>
      <c r="M94">
        <f t="shared" si="9"/>
        <v>5.1451484615384615E-3</v>
      </c>
      <c r="N94">
        <f t="shared" si="10"/>
        <v>1.0900582846153847E-2</v>
      </c>
      <c r="O94">
        <f t="shared" si="11"/>
        <v>8.0228656538461549E-3</v>
      </c>
      <c r="P94">
        <f t="shared" si="7"/>
        <v>34.704512017310066</v>
      </c>
      <c r="R94">
        <f t="shared" si="12"/>
        <v>-1.325756369595252E-3</v>
      </c>
    </row>
    <row r="95" spans="1:19" x14ac:dyDescent="0.2">
      <c r="A95" t="s">
        <v>106</v>
      </c>
      <c r="B95">
        <v>5.82485622</v>
      </c>
      <c r="C95">
        <v>0.52178256000000001</v>
      </c>
      <c r="D95">
        <v>5.9948305299999998</v>
      </c>
      <c r="E95">
        <v>0.61238981000000003</v>
      </c>
      <c r="F95">
        <v>3.3331674900000001</v>
      </c>
      <c r="G95">
        <v>1.3375347799999999</v>
      </c>
      <c r="H95">
        <v>2.8128894199999999</v>
      </c>
      <c r="I95">
        <v>9.6783300000000006E-3</v>
      </c>
      <c r="J95">
        <v>1</v>
      </c>
      <c r="K95">
        <v>950001</v>
      </c>
      <c r="L95">
        <f t="shared" si="8"/>
        <v>1.2819874961538462E-2</v>
      </c>
      <c r="M95">
        <f t="shared" si="9"/>
        <v>5.1443645384615377E-3</v>
      </c>
      <c r="N95">
        <f t="shared" si="10"/>
        <v>1.0818805461538461E-2</v>
      </c>
      <c r="O95">
        <f t="shared" si="11"/>
        <v>7.9815849999999994E-3</v>
      </c>
      <c r="P95">
        <f t="shared" si="7"/>
        <v>29.526852850895455</v>
      </c>
      <c r="R95">
        <f t="shared" si="12"/>
        <v>-2.0000981371211079E-3</v>
      </c>
    </row>
    <row r="96" spans="1:19" x14ac:dyDescent="0.2">
      <c r="A96" t="s">
        <v>107</v>
      </c>
      <c r="B96">
        <v>5.7913755599999996</v>
      </c>
      <c r="C96">
        <v>0.42104366999999998</v>
      </c>
      <c r="D96">
        <v>5.9538857299999997</v>
      </c>
      <c r="E96">
        <v>0.61238981000000003</v>
      </c>
      <c r="F96">
        <v>3.3374191799999999</v>
      </c>
      <c r="G96">
        <v>1.3333904400000001</v>
      </c>
      <c r="H96">
        <v>2.77804626</v>
      </c>
      <c r="I96">
        <v>9.8609400000000003E-3</v>
      </c>
      <c r="J96">
        <v>1</v>
      </c>
      <c r="K96">
        <v>950001</v>
      </c>
      <c r="L96">
        <f t="shared" si="8"/>
        <v>1.2836227615384615E-2</v>
      </c>
      <c r="M96">
        <f t="shared" si="9"/>
        <v>5.1284247692307697E-3</v>
      </c>
      <c r="N96">
        <f t="shared" si="10"/>
        <v>1.0684793307692307E-2</v>
      </c>
      <c r="O96">
        <f t="shared" si="11"/>
        <v>7.9066090384615397E-3</v>
      </c>
      <c r="P96">
        <f t="shared" si="7"/>
        <v>23.826197809085425</v>
      </c>
      <c r="R96">
        <f t="shared" si="12"/>
        <v>-2.2143947957586553E-3</v>
      </c>
    </row>
    <row r="97" spans="1:19" x14ac:dyDescent="0.2">
      <c r="A97" t="s">
        <v>108</v>
      </c>
      <c r="B97">
        <v>5.7503682400000002</v>
      </c>
      <c r="C97">
        <v>0.32637815999999997</v>
      </c>
      <c r="D97">
        <v>5.9011693000000003</v>
      </c>
      <c r="E97">
        <v>0.53337177000000002</v>
      </c>
      <c r="F97">
        <v>3.3341123100000001</v>
      </c>
      <c r="G97">
        <v>1.32530558</v>
      </c>
      <c r="H97">
        <v>2.7316814800000002</v>
      </c>
      <c r="I97">
        <v>9.8609400000000003E-3</v>
      </c>
      <c r="J97">
        <v>1</v>
      </c>
      <c r="K97">
        <v>950001</v>
      </c>
      <c r="L97">
        <f t="shared" si="8"/>
        <v>1.2823508884615385E-2</v>
      </c>
      <c r="M97">
        <f t="shared" si="9"/>
        <v>5.097329153846154E-3</v>
      </c>
      <c r="N97">
        <f t="shared" si="10"/>
        <v>1.0506467230769232E-2</v>
      </c>
      <c r="O97">
        <f t="shared" si="11"/>
        <v>7.8018981923076922E-3</v>
      </c>
      <c r="P97">
        <f t="shared" si="7"/>
        <v>18.469225771106668</v>
      </c>
      <c r="R97">
        <f t="shared" si="12"/>
        <v>-1.9992639818324164E-3</v>
      </c>
    </row>
    <row r="98" spans="1:19" x14ac:dyDescent="0.2">
      <c r="A98" t="s">
        <v>109</v>
      </c>
      <c r="B98">
        <v>5.7005365599999998</v>
      </c>
      <c r="C98">
        <v>0.24055866000000001</v>
      </c>
      <c r="D98">
        <v>5.8433347700000002</v>
      </c>
      <c r="E98">
        <v>0.53337177000000002</v>
      </c>
      <c r="F98">
        <v>3.3282859199999999</v>
      </c>
      <c r="G98">
        <v>1.31348402</v>
      </c>
      <c r="H98">
        <v>2.6786931599999999</v>
      </c>
      <c r="I98">
        <v>9.8609400000000003E-3</v>
      </c>
      <c r="J98">
        <v>1</v>
      </c>
      <c r="K98">
        <v>950001</v>
      </c>
      <c r="L98">
        <f t="shared" si="8"/>
        <v>1.2801099692307692E-2</v>
      </c>
      <c r="M98">
        <f t="shared" si="9"/>
        <v>5.0518616153846152E-3</v>
      </c>
      <c r="N98">
        <f t="shared" si="10"/>
        <v>1.0302666E-2</v>
      </c>
      <c r="O98">
        <f t="shared" si="11"/>
        <v>7.6772638076923073E-3</v>
      </c>
      <c r="P98">
        <f t="shared" si="7"/>
        <v>13.612835499577812</v>
      </c>
      <c r="R98">
        <f t="shared" si="12"/>
        <v>-1.5230794396288638E-3</v>
      </c>
    </row>
    <row r="99" spans="1:19" x14ac:dyDescent="0.2">
      <c r="A99" t="s">
        <v>110</v>
      </c>
      <c r="B99">
        <v>5.6473308600000003</v>
      </c>
      <c r="C99">
        <v>0.1663578</v>
      </c>
      <c r="D99">
        <v>5.7901065300000001</v>
      </c>
      <c r="E99">
        <v>0.53337177000000002</v>
      </c>
      <c r="F99">
        <v>3.3186802499999999</v>
      </c>
      <c r="G99">
        <v>1.2993524999999999</v>
      </c>
      <c r="H99">
        <v>2.6240350399999999</v>
      </c>
      <c r="I99">
        <v>9.6783300000000006E-3</v>
      </c>
      <c r="J99">
        <v>1</v>
      </c>
      <c r="K99">
        <v>950001</v>
      </c>
      <c r="L99">
        <f t="shared" si="8"/>
        <v>1.2764154807692307E-2</v>
      </c>
      <c r="M99">
        <f t="shared" si="9"/>
        <v>4.9975096153846155E-3</v>
      </c>
      <c r="N99">
        <f t="shared" si="10"/>
        <v>1.009244246153846E-2</v>
      </c>
      <c r="O99">
        <f t="shared" si="11"/>
        <v>7.5449760384615379E-3</v>
      </c>
      <c r="P99">
        <f t="shared" si="7"/>
        <v>9.413925757117477</v>
      </c>
      <c r="R99">
        <f t="shared" si="12"/>
        <v>-1.0022165036282331E-3</v>
      </c>
    </row>
    <row r="100" spans="1:19" x14ac:dyDescent="0.2">
      <c r="A100" t="s">
        <v>111</v>
      </c>
      <c r="B100">
        <v>5.5943847</v>
      </c>
      <c r="C100">
        <v>9.9946709999999994E-2</v>
      </c>
      <c r="D100">
        <v>5.7338074299999997</v>
      </c>
      <c r="E100">
        <v>0.73091687000000005</v>
      </c>
      <c r="F100">
        <v>3.3019884300000002</v>
      </c>
      <c r="G100">
        <v>1.2840659999999999</v>
      </c>
      <c r="H100">
        <v>2.5701561599999998</v>
      </c>
      <c r="I100">
        <v>9.6783300000000006E-3</v>
      </c>
      <c r="J100">
        <v>1</v>
      </c>
      <c r="K100">
        <v>950001</v>
      </c>
      <c r="L100">
        <f t="shared" si="8"/>
        <v>1.26999555E-2</v>
      </c>
      <c r="M100">
        <f t="shared" si="9"/>
        <v>4.9387153846153845E-3</v>
      </c>
      <c r="N100">
        <f t="shared" si="10"/>
        <v>9.8852159999999988E-3</v>
      </c>
      <c r="O100">
        <f t="shared" si="11"/>
        <v>7.4119656923076925E-3</v>
      </c>
      <c r="P100">
        <f t="shared" si="7"/>
        <v>5.6558268239189919</v>
      </c>
      <c r="R100">
        <f t="shared" si="12"/>
        <v>-4.0712536390327783E-4</v>
      </c>
    </row>
    <row r="101" spans="1:19" x14ac:dyDescent="0.2">
      <c r="A101" t="s">
        <v>112</v>
      </c>
      <c r="B101">
        <v>5.55467508</v>
      </c>
      <c r="C101">
        <v>5.4792449999999999E-2</v>
      </c>
      <c r="D101">
        <v>5.6933744400000004</v>
      </c>
      <c r="E101">
        <v>1.1457615800000001</v>
      </c>
      <c r="F101">
        <v>3.2802575699999998</v>
      </c>
      <c r="G101">
        <v>1.27305972</v>
      </c>
      <c r="H101">
        <v>2.5328083000000001</v>
      </c>
      <c r="I101">
        <v>9.8609400000000003E-3</v>
      </c>
      <c r="J101">
        <v>1</v>
      </c>
      <c r="K101">
        <v>950001</v>
      </c>
      <c r="L101">
        <f t="shared" si="8"/>
        <v>1.2616375269230769E-2</v>
      </c>
      <c r="M101">
        <f t="shared" si="9"/>
        <v>4.8963835384615382E-3</v>
      </c>
      <c r="N101">
        <f t="shared" si="10"/>
        <v>9.7415703846153844E-3</v>
      </c>
      <c r="O101">
        <f t="shared" si="11"/>
        <v>7.3189769615384622E-3</v>
      </c>
      <c r="P101">
        <f t="shared" si="7"/>
        <v>3.1006184041299627</v>
      </c>
      <c r="R101">
        <f t="shared" si="12"/>
        <v>-7.9221999380349884E-5</v>
      </c>
    </row>
    <row r="102" spans="1:19" x14ac:dyDescent="0.2">
      <c r="A102" t="s">
        <v>113</v>
      </c>
      <c r="B102">
        <v>5.5396217600000002</v>
      </c>
      <c r="C102">
        <v>5.162373E-2</v>
      </c>
      <c r="D102">
        <v>5.6836500499999998</v>
      </c>
      <c r="E102">
        <v>1.20502511</v>
      </c>
      <c r="F102">
        <v>3.2634082800000002</v>
      </c>
      <c r="G102">
        <v>1.26973066</v>
      </c>
      <c r="H102">
        <v>2.5224555400000002</v>
      </c>
      <c r="I102">
        <v>9.8609400000000003E-3</v>
      </c>
      <c r="J102">
        <v>1</v>
      </c>
      <c r="K102">
        <v>950001</v>
      </c>
      <c r="L102">
        <f t="shared" si="8"/>
        <v>1.2551570307692309E-2</v>
      </c>
      <c r="M102">
        <f t="shared" si="9"/>
        <v>4.8835794615384618E-3</v>
      </c>
      <c r="N102">
        <f t="shared" si="10"/>
        <v>9.7017520769230783E-3</v>
      </c>
      <c r="O102">
        <f t="shared" si="11"/>
        <v>7.2926657692307696E-3</v>
      </c>
      <c r="P102">
        <f t="shared" si="7"/>
        <v>2.9213055325658206</v>
      </c>
      <c r="R102">
        <f t="shared" si="12"/>
        <v>1.7253544675163401E-4</v>
      </c>
    </row>
    <row r="103" spans="1:19" x14ac:dyDescent="0.2">
      <c r="A103" t="s">
        <v>114</v>
      </c>
      <c r="B103">
        <v>5.5570109399999996</v>
      </c>
      <c r="C103">
        <v>0.10720836</v>
      </c>
      <c r="D103">
        <v>5.7025870200000002</v>
      </c>
      <c r="E103">
        <v>1.1457615800000001</v>
      </c>
      <c r="F103">
        <v>3.24718887</v>
      </c>
      <c r="G103">
        <v>1.2693230200000001</v>
      </c>
      <c r="H103">
        <v>2.5428270999999998</v>
      </c>
      <c r="I103">
        <v>9.8609400000000003E-3</v>
      </c>
      <c r="J103">
        <v>1</v>
      </c>
      <c r="K103">
        <v>950001</v>
      </c>
      <c r="L103">
        <f t="shared" si="8"/>
        <v>1.2489187961538462E-2</v>
      </c>
      <c r="M103">
        <f t="shared" si="9"/>
        <v>4.882011615384616E-3</v>
      </c>
      <c r="N103">
        <f t="shared" si="10"/>
        <v>9.7801042307692296E-3</v>
      </c>
      <c r="O103">
        <f t="shared" si="11"/>
        <v>7.3310579230769233E-3</v>
      </c>
      <c r="P103">
        <f t="shared" si="7"/>
        <v>6.066752154586819</v>
      </c>
      <c r="R103">
        <f t="shared" si="12"/>
        <v>7.8290261825746273E-4</v>
      </c>
    </row>
    <row r="104" spans="1:19" x14ac:dyDescent="0.2">
      <c r="A104" t="s">
        <v>115</v>
      </c>
      <c r="B104">
        <v>5.5951633200000002</v>
      </c>
      <c r="C104">
        <v>0.18853884000000001</v>
      </c>
      <c r="D104">
        <v>5.7414845799999998</v>
      </c>
      <c r="E104">
        <v>1.0864980500000001</v>
      </c>
      <c r="F104">
        <v>3.2317568099999998</v>
      </c>
      <c r="G104">
        <v>1.27550556</v>
      </c>
      <c r="H104">
        <v>2.5852956800000002</v>
      </c>
      <c r="I104">
        <v>9.8609400000000003E-3</v>
      </c>
      <c r="J104">
        <v>1</v>
      </c>
      <c r="K104">
        <v>950002</v>
      </c>
      <c r="L104">
        <f t="shared" si="8"/>
        <v>1.2429833884615384E-2</v>
      </c>
      <c r="M104">
        <f t="shared" si="9"/>
        <v>4.9057906153846158E-3</v>
      </c>
      <c r="N104">
        <f t="shared" si="10"/>
        <v>9.9434449230769231E-3</v>
      </c>
      <c r="O104">
        <f t="shared" si="11"/>
        <v>7.4246177692307699E-3</v>
      </c>
      <c r="P104">
        <f t="shared" si="7"/>
        <v>10.669115858066476</v>
      </c>
      <c r="Q104">
        <f>ABS(0.5*(SUMPRODUCT(O104:O122,P105:P123)+O123*P104-(SUMPRODUCT(O105:O123,P104:P122)+O104*P123)))</f>
        <v>5.182419809934613E-3</v>
      </c>
      <c r="R104">
        <f t="shared" si="12"/>
        <v>1.8011798325397214E-3</v>
      </c>
    </row>
    <row r="105" spans="1:19" x14ac:dyDescent="0.2">
      <c r="A105" t="s">
        <v>116</v>
      </c>
      <c r="B105">
        <v>5.6488880999999997</v>
      </c>
      <c r="C105">
        <v>0.28201608</v>
      </c>
      <c r="D105">
        <v>5.8023899700000001</v>
      </c>
      <c r="E105">
        <v>0.90870746000000002</v>
      </c>
      <c r="F105">
        <v>3.2249856000000001</v>
      </c>
      <c r="G105">
        <v>1.2896370800000001</v>
      </c>
      <c r="H105">
        <v>2.6415122800000002</v>
      </c>
      <c r="I105">
        <v>1.004355E-2</v>
      </c>
      <c r="J105">
        <v>1</v>
      </c>
      <c r="K105">
        <v>950002</v>
      </c>
      <c r="L105">
        <f t="shared" si="8"/>
        <v>1.2403790769230769E-2</v>
      </c>
      <c r="M105">
        <f t="shared" si="9"/>
        <v>4.9601426153846155E-3</v>
      </c>
      <c r="N105">
        <f t="shared" si="10"/>
        <v>1.0159662615384616E-2</v>
      </c>
      <c r="O105">
        <f t="shared" si="11"/>
        <v>7.5599026153846151E-3</v>
      </c>
      <c r="P105">
        <f t="shared" si="7"/>
        <v>15.958845569208677</v>
      </c>
      <c r="R105">
        <f t="shared" si="12"/>
        <v>2.8871129415552147E-3</v>
      </c>
    </row>
    <row r="106" spans="1:19" x14ac:dyDescent="0.2">
      <c r="A106" t="s">
        <v>117</v>
      </c>
      <c r="B106">
        <v>5.7075441400000004</v>
      </c>
      <c r="C106">
        <v>0.39160097999999999</v>
      </c>
      <c r="D106">
        <v>5.8714843200000004</v>
      </c>
      <c r="E106">
        <v>0.73091687000000005</v>
      </c>
      <c r="F106">
        <v>3.2265603</v>
      </c>
      <c r="G106">
        <v>1.3053991599999999</v>
      </c>
      <c r="H106">
        <v>2.7045194000000001</v>
      </c>
      <c r="I106">
        <v>9.6783300000000006E-3</v>
      </c>
      <c r="J106">
        <v>1</v>
      </c>
      <c r="K106">
        <v>950002</v>
      </c>
      <c r="L106">
        <f t="shared" si="8"/>
        <v>1.2409847307692307E-2</v>
      </c>
      <c r="M106">
        <f t="shared" si="9"/>
        <v>5.0207659999999994E-3</v>
      </c>
      <c r="N106">
        <f t="shared" si="10"/>
        <v>1.0401997692307693E-2</v>
      </c>
      <c r="O106">
        <f t="shared" si="11"/>
        <v>7.7113818461538464E-3</v>
      </c>
      <c r="P106">
        <f t="shared" si="7"/>
        <v>22.160082377468601</v>
      </c>
      <c r="R106">
        <f t="shared" si="12"/>
        <v>3.8118549662610988E-3</v>
      </c>
    </row>
    <row r="107" spans="1:19" x14ac:dyDescent="0.2">
      <c r="A107" t="s">
        <v>118</v>
      </c>
      <c r="B107">
        <v>5.76931466</v>
      </c>
      <c r="C107">
        <v>0.52376301000000003</v>
      </c>
      <c r="D107">
        <v>5.9431377200000002</v>
      </c>
      <c r="E107">
        <v>0.61238981000000003</v>
      </c>
      <c r="F107">
        <v>3.2312843999999998</v>
      </c>
      <c r="G107">
        <v>1.31925892</v>
      </c>
      <c r="H107">
        <v>2.7671925599999998</v>
      </c>
      <c r="I107">
        <v>9.8609400000000003E-3</v>
      </c>
      <c r="J107">
        <v>1</v>
      </c>
      <c r="K107">
        <v>950002</v>
      </c>
      <c r="L107">
        <f t="shared" si="8"/>
        <v>1.2428016923076922E-2</v>
      </c>
      <c r="M107">
        <f t="shared" si="9"/>
        <v>5.0740727692307691E-3</v>
      </c>
      <c r="N107">
        <f t="shared" si="10"/>
        <v>1.0643048307692306E-2</v>
      </c>
      <c r="O107">
        <f t="shared" si="11"/>
        <v>7.8585605384615381E-3</v>
      </c>
      <c r="P107">
        <f t="shared" si="7"/>
        <v>29.638923395623046</v>
      </c>
      <c r="R107">
        <f t="shared" si="12"/>
        <v>4.4320516751276693E-3</v>
      </c>
    </row>
    <row r="108" spans="1:19" x14ac:dyDescent="0.2">
      <c r="A108" t="s">
        <v>119</v>
      </c>
      <c r="B108">
        <v>5.8318637999999998</v>
      </c>
      <c r="C108">
        <v>0.70385193000000001</v>
      </c>
      <c r="D108">
        <v>6.01018483</v>
      </c>
      <c r="E108">
        <v>0.53337177000000002</v>
      </c>
      <c r="F108">
        <v>3.2427797100000002</v>
      </c>
      <c r="G108">
        <v>1.3300613800000001</v>
      </c>
      <c r="H108">
        <v>2.82274124</v>
      </c>
      <c r="I108">
        <v>9.8609400000000003E-3</v>
      </c>
      <c r="J108">
        <v>1</v>
      </c>
      <c r="K108">
        <v>950002</v>
      </c>
      <c r="L108">
        <f t="shared" si="8"/>
        <v>1.2472229653846154E-2</v>
      </c>
      <c r="M108">
        <f t="shared" si="9"/>
        <v>5.1156206923076925E-3</v>
      </c>
      <c r="N108">
        <f t="shared" si="10"/>
        <v>1.0856697076923078E-2</v>
      </c>
      <c r="O108">
        <f t="shared" si="11"/>
        <v>7.9861588846153846E-3</v>
      </c>
      <c r="P108">
        <f t="shared" si="7"/>
        <v>39.829871596185136</v>
      </c>
      <c r="R108">
        <f t="shared" si="12"/>
        <v>2.8420456756117498E-3</v>
      </c>
    </row>
    <row r="109" spans="1:19" x14ac:dyDescent="0.2">
      <c r="A109" t="s">
        <v>120</v>
      </c>
      <c r="B109">
        <v>5.8692375600000002</v>
      </c>
      <c r="C109">
        <v>0.82677186000000003</v>
      </c>
      <c r="D109">
        <v>6.0414052399999996</v>
      </c>
      <c r="E109">
        <v>0.53337177000000002</v>
      </c>
      <c r="F109">
        <v>3.2605738199999998</v>
      </c>
      <c r="G109">
        <v>1.33563246</v>
      </c>
      <c r="H109">
        <v>2.8512948200000001</v>
      </c>
      <c r="I109">
        <v>9.8609400000000003E-3</v>
      </c>
      <c r="J109">
        <v>1</v>
      </c>
      <c r="K109">
        <v>950002</v>
      </c>
      <c r="L109">
        <f t="shared" si="8"/>
        <v>1.2540668538461537E-2</v>
      </c>
      <c r="M109">
        <f t="shared" si="9"/>
        <v>5.1370479230769235E-3</v>
      </c>
      <c r="N109">
        <f t="shared" si="10"/>
        <v>1.0966518538461539E-2</v>
      </c>
      <c r="O109">
        <f t="shared" si="11"/>
        <v>8.05178323076923E-3</v>
      </c>
      <c r="P109">
        <f t="shared" si="7"/>
        <v>46.785716738944167</v>
      </c>
      <c r="R109">
        <f t="shared" si="12"/>
        <v>9.9898333982199623E-4</v>
      </c>
      <c r="S109">
        <f>ABS(SUMIFS($R:$R,$K:$K,K109))</f>
        <v>5.1873874260551086E-3</v>
      </c>
    </row>
    <row r="110" spans="1:19" x14ac:dyDescent="0.2">
      <c r="A110" t="s">
        <v>121</v>
      </c>
      <c r="B110">
        <v>5.8785809999999996</v>
      </c>
      <c r="C110">
        <v>0.85463018999999996</v>
      </c>
      <c r="D110">
        <v>6.0511296300000001</v>
      </c>
      <c r="E110">
        <v>0.53337177000000002</v>
      </c>
      <c r="F110">
        <v>3.27742311</v>
      </c>
      <c r="G110">
        <v>1.3375347799999999</v>
      </c>
      <c r="H110">
        <v>2.8603117400000002</v>
      </c>
      <c r="I110">
        <v>9.8609400000000003E-3</v>
      </c>
      <c r="J110">
        <v>1</v>
      </c>
      <c r="K110">
        <v>950002</v>
      </c>
      <c r="L110">
        <f t="shared" si="8"/>
        <v>1.26054735E-2</v>
      </c>
      <c r="M110">
        <f t="shared" si="9"/>
        <v>5.1443645384615377E-3</v>
      </c>
      <c r="N110">
        <f t="shared" si="10"/>
        <v>1.1001199000000001E-2</v>
      </c>
      <c r="O110">
        <f t="shared" si="11"/>
        <v>8.0727817692307705E-3</v>
      </c>
      <c r="P110">
        <f t="shared" si="7"/>
        <v>48.362175734778916</v>
      </c>
      <c r="R110">
        <f t="shared" si="12"/>
        <v>2.3996683616604169E-4</v>
      </c>
    </row>
    <row r="111" spans="1:19" x14ac:dyDescent="0.2">
      <c r="A111" t="s">
        <v>122</v>
      </c>
      <c r="B111">
        <v>5.88429088</v>
      </c>
      <c r="C111">
        <v>0.85581845999999995</v>
      </c>
      <c r="D111">
        <v>6.0526650599999998</v>
      </c>
      <c r="E111">
        <v>0.53337177000000002</v>
      </c>
      <c r="F111">
        <v>3.2903356499999998</v>
      </c>
      <c r="G111">
        <v>1.3379424200000001</v>
      </c>
      <c r="H111">
        <v>2.8624824800000002</v>
      </c>
      <c r="I111">
        <v>9.6783300000000006E-3</v>
      </c>
      <c r="J111">
        <v>1</v>
      </c>
      <c r="K111">
        <v>950002</v>
      </c>
      <c r="L111">
        <f t="shared" si="8"/>
        <v>1.2655137115384615E-2</v>
      </c>
      <c r="M111">
        <f t="shared" si="9"/>
        <v>5.1459323846153853E-3</v>
      </c>
      <c r="N111">
        <f t="shared" si="10"/>
        <v>1.1009548000000001E-2</v>
      </c>
      <c r="O111">
        <f t="shared" si="11"/>
        <v>8.0777401923076923E-3</v>
      </c>
      <c r="P111">
        <f t="shared" si="7"/>
        <v>48.429418061615465</v>
      </c>
      <c r="R111">
        <f t="shared" si="12"/>
        <v>-1.3689673938644374E-4</v>
      </c>
    </row>
    <row r="112" spans="1:19" x14ac:dyDescent="0.2">
      <c r="A112" t="s">
        <v>123</v>
      </c>
      <c r="B112">
        <v>5.8809168600000001</v>
      </c>
      <c r="C112">
        <v>0.81832194000000003</v>
      </c>
      <c r="D112">
        <v>6.0460115300000004</v>
      </c>
      <c r="E112">
        <v>0.53337177000000002</v>
      </c>
      <c r="F112">
        <v>3.30624012</v>
      </c>
      <c r="G112">
        <v>1.3379424200000001</v>
      </c>
      <c r="H112">
        <v>2.8609796599999999</v>
      </c>
      <c r="I112">
        <v>9.6783300000000006E-3</v>
      </c>
      <c r="J112">
        <v>1</v>
      </c>
      <c r="K112">
        <v>950002</v>
      </c>
      <c r="L112">
        <f t="shared" si="8"/>
        <v>1.2716308153846154E-2</v>
      </c>
      <c r="M112">
        <f t="shared" si="9"/>
        <v>5.1459323846153853E-3</v>
      </c>
      <c r="N112">
        <f t="shared" si="10"/>
        <v>1.1003767923076923E-2</v>
      </c>
      <c r="O112">
        <f t="shared" si="11"/>
        <v>8.0748501538461543E-3</v>
      </c>
      <c r="P112">
        <f t="shared" si="7"/>
        <v>46.307549081439781</v>
      </c>
      <c r="R112">
        <f t="shared" si="12"/>
        <v>-1.0830700936721211E-3</v>
      </c>
    </row>
    <row r="113" spans="1:19" x14ac:dyDescent="0.2">
      <c r="A113" t="s">
        <v>124</v>
      </c>
      <c r="B113">
        <v>5.8627490599999996</v>
      </c>
      <c r="C113">
        <v>0.70345584000000005</v>
      </c>
      <c r="D113">
        <v>6.0337280900000003</v>
      </c>
      <c r="E113">
        <v>0.53337177000000002</v>
      </c>
      <c r="F113">
        <v>3.3191526599999999</v>
      </c>
      <c r="G113">
        <v>1.3379424200000001</v>
      </c>
      <c r="H113">
        <v>2.8478995600000001</v>
      </c>
      <c r="I113">
        <v>1.004355E-2</v>
      </c>
      <c r="J113">
        <v>1</v>
      </c>
      <c r="K113">
        <v>950002</v>
      </c>
      <c r="L113">
        <f t="shared" si="8"/>
        <v>1.2765971769230769E-2</v>
      </c>
      <c r="M113">
        <f t="shared" si="9"/>
        <v>5.1459323846153853E-3</v>
      </c>
      <c r="N113">
        <f t="shared" si="10"/>
        <v>1.0953459846153847E-2</v>
      </c>
      <c r="O113">
        <f t="shared" si="11"/>
        <v>8.0496961153846153E-3</v>
      </c>
      <c r="P113">
        <f t="shared" si="7"/>
        <v>39.807457487239624</v>
      </c>
      <c r="R113">
        <f t="shared" si="12"/>
        <v>-1.0385354399751968E-3</v>
      </c>
    </row>
    <row r="114" spans="1:19" x14ac:dyDescent="0.2">
      <c r="A114" t="s">
        <v>125</v>
      </c>
      <c r="B114">
        <v>5.8476957399999998</v>
      </c>
      <c r="C114">
        <v>0.61209108000000001</v>
      </c>
      <c r="D114">
        <v>6.0163265499999996</v>
      </c>
      <c r="E114">
        <v>0.53337177000000002</v>
      </c>
      <c r="F114">
        <v>3.3278135099999999</v>
      </c>
      <c r="G114">
        <v>1.3377386</v>
      </c>
      <c r="H114">
        <v>2.8335949399999998</v>
      </c>
      <c r="I114">
        <v>9.8609400000000003E-3</v>
      </c>
      <c r="J114">
        <v>1</v>
      </c>
      <c r="K114">
        <v>950002</v>
      </c>
      <c r="L114">
        <f t="shared" si="8"/>
        <v>1.279928273076923E-2</v>
      </c>
      <c r="M114">
        <f t="shared" si="9"/>
        <v>5.1451484615384615E-3</v>
      </c>
      <c r="N114">
        <f t="shared" si="10"/>
        <v>1.0898442076923077E-2</v>
      </c>
      <c r="O114">
        <f t="shared" si="11"/>
        <v>8.0217952692307696E-3</v>
      </c>
      <c r="P114">
        <f t="shared" si="7"/>
        <v>34.637269690473516</v>
      </c>
      <c r="R114">
        <f t="shared" si="12"/>
        <v>-1.2604417180541393E-3</v>
      </c>
    </row>
    <row r="115" spans="1:19" x14ac:dyDescent="0.2">
      <c r="A115" t="s">
        <v>126</v>
      </c>
      <c r="B115">
        <v>5.8264134600000004</v>
      </c>
      <c r="C115">
        <v>0.52297083</v>
      </c>
      <c r="D115">
        <v>5.9917596700000004</v>
      </c>
      <c r="E115">
        <v>0.53337177000000002</v>
      </c>
      <c r="F115">
        <v>3.3336399000000001</v>
      </c>
      <c r="G115">
        <v>1.3375347799999999</v>
      </c>
      <c r="H115">
        <v>2.8133903600000001</v>
      </c>
      <c r="I115">
        <v>9.6783300000000006E-3</v>
      </c>
      <c r="J115">
        <v>1</v>
      </c>
      <c r="K115">
        <v>950002</v>
      </c>
      <c r="L115">
        <f t="shared" si="8"/>
        <v>1.2821691923076924E-2</v>
      </c>
      <c r="M115">
        <f t="shared" si="9"/>
        <v>5.1443645384615377E-3</v>
      </c>
      <c r="N115">
        <f t="shared" si="10"/>
        <v>1.0820732153846154E-2</v>
      </c>
      <c r="O115">
        <f t="shared" si="11"/>
        <v>7.9825483461538459E-3</v>
      </c>
      <c r="P115">
        <f t="shared" si="7"/>
        <v>29.594095177732008</v>
      </c>
      <c r="R115">
        <f t="shared" si="12"/>
        <v>-1.9989208430891137E-3</v>
      </c>
    </row>
    <row r="116" spans="1:19" x14ac:dyDescent="0.2">
      <c r="A116" t="s">
        <v>127</v>
      </c>
      <c r="B116">
        <v>5.7931923400000001</v>
      </c>
      <c r="C116">
        <v>0.42064758000000002</v>
      </c>
      <c r="D116">
        <v>5.9477440100000001</v>
      </c>
      <c r="E116">
        <v>0.53337177000000002</v>
      </c>
      <c r="F116">
        <v>3.3389938799999999</v>
      </c>
      <c r="G116">
        <v>1.3333904400000001</v>
      </c>
      <c r="H116">
        <v>2.7786028599999999</v>
      </c>
      <c r="I116">
        <v>9.6783300000000006E-3</v>
      </c>
      <c r="J116">
        <v>1</v>
      </c>
      <c r="K116">
        <v>950002</v>
      </c>
      <c r="L116">
        <f t="shared" si="8"/>
        <v>1.2842284153846154E-2</v>
      </c>
      <c r="M116">
        <f t="shared" si="9"/>
        <v>5.1284247692307697E-3</v>
      </c>
      <c r="N116">
        <f t="shared" si="10"/>
        <v>1.0686934076923076E-2</v>
      </c>
      <c r="O116">
        <f t="shared" si="11"/>
        <v>7.9076794230769232E-3</v>
      </c>
      <c r="P116">
        <f t="shared" si="7"/>
        <v>23.80378370013991</v>
      </c>
      <c r="R116">
        <f t="shared" si="12"/>
        <v>-2.2718623460635753E-3</v>
      </c>
    </row>
    <row r="117" spans="1:19" x14ac:dyDescent="0.2">
      <c r="A117" t="s">
        <v>128</v>
      </c>
      <c r="B117">
        <v>5.7519254799999997</v>
      </c>
      <c r="C117">
        <v>0.32558598</v>
      </c>
      <c r="D117">
        <v>5.8960511999999996</v>
      </c>
      <c r="E117">
        <v>0.53337177000000002</v>
      </c>
      <c r="F117">
        <v>3.3374191799999999</v>
      </c>
      <c r="G117">
        <v>1.32469412</v>
      </c>
      <c r="H117">
        <v>2.7313475199999999</v>
      </c>
      <c r="I117">
        <v>9.6783300000000006E-3</v>
      </c>
      <c r="J117">
        <v>1</v>
      </c>
      <c r="K117">
        <v>950002</v>
      </c>
      <c r="L117">
        <f t="shared" si="8"/>
        <v>1.2836227615384615E-2</v>
      </c>
      <c r="M117">
        <f t="shared" si="9"/>
        <v>5.0949773846153843E-3</v>
      </c>
      <c r="N117">
        <f t="shared" si="10"/>
        <v>1.0505182769230769E-2</v>
      </c>
      <c r="O117">
        <f t="shared" si="11"/>
        <v>7.8000800769230773E-3</v>
      </c>
      <c r="P117">
        <f t="shared" si="7"/>
        <v>18.424397553215634</v>
      </c>
      <c r="R117">
        <f t="shared" si="12"/>
        <v>-2.0004793799933349E-3</v>
      </c>
    </row>
    <row r="118" spans="1:19" x14ac:dyDescent="0.2">
      <c r="A118" t="s">
        <v>129</v>
      </c>
      <c r="B118">
        <v>5.6948266800000003</v>
      </c>
      <c r="C118">
        <v>0.24055866000000001</v>
      </c>
      <c r="D118">
        <v>5.8417993399999997</v>
      </c>
      <c r="E118">
        <v>0.53337177000000002</v>
      </c>
      <c r="F118">
        <v>3.3289157999999999</v>
      </c>
      <c r="G118">
        <v>1.31307638</v>
      </c>
      <c r="H118">
        <v>2.6780252400000002</v>
      </c>
      <c r="I118">
        <v>1.004355E-2</v>
      </c>
      <c r="J118">
        <v>1</v>
      </c>
      <c r="K118">
        <v>950002</v>
      </c>
      <c r="L118">
        <f t="shared" si="8"/>
        <v>1.2803522307692307E-2</v>
      </c>
      <c r="M118">
        <f t="shared" si="9"/>
        <v>5.0502937692307693E-3</v>
      </c>
      <c r="N118">
        <f t="shared" si="10"/>
        <v>1.0300097076923078E-2</v>
      </c>
      <c r="O118">
        <f t="shared" si="11"/>
        <v>7.6751954230769234E-3</v>
      </c>
      <c r="P118">
        <f t="shared" si="7"/>
        <v>13.612835499577812</v>
      </c>
      <c r="R118">
        <f t="shared" si="12"/>
        <v>-1.5191345334656177E-3</v>
      </c>
    </row>
    <row r="119" spans="1:19" x14ac:dyDescent="0.2">
      <c r="A119" t="s">
        <v>130</v>
      </c>
      <c r="B119">
        <v>5.6442163799999996</v>
      </c>
      <c r="C119">
        <v>0.16596171000000001</v>
      </c>
      <c r="D119">
        <v>5.7870356699999999</v>
      </c>
      <c r="E119">
        <v>0.53337177000000002</v>
      </c>
      <c r="F119">
        <v>3.3191526599999999</v>
      </c>
      <c r="G119">
        <v>1.29894486</v>
      </c>
      <c r="H119">
        <v>2.62347844</v>
      </c>
      <c r="I119">
        <v>1.004355E-2</v>
      </c>
      <c r="J119">
        <v>1</v>
      </c>
      <c r="K119">
        <v>950002</v>
      </c>
      <c r="L119">
        <f t="shared" si="8"/>
        <v>1.2765971769230769E-2</v>
      </c>
      <c r="M119">
        <f t="shared" si="9"/>
        <v>4.9959417692307688E-3</v>
      </c>
      <c r="N119">
        <f t="shared" si="10"/>
        <v>1.0090301692307692E-2</v>
      </c>
      <c r="O119">
        <f t="shared" si="11"/>
        <v>7.5431217307692314E-3</v>
      </c>
      <c r="P119">
        <f t="shared" si="7"/>
        <v>9.39151164817196</v>
      </c>
      <c r="R119">
        <f t="shared" si="12"/>
        <v>-9.9608126013496848E-4</v>
      </c>
    </row>
    <row r="120" spans="1:19" x14ac:dyDescent="0.2">
      <c r="A120" t="s">
        <v>131</v>
      </c>
      <c r="B120">
        <v>5.5910106800000001</v>
      </c>
      <c r="C120">
        <v>0.10073889</v>
      </c>
      <c r="D120">
        <v>5.732272</v>
      </c>
      <c r="E120">
        <v>0.67165333999999999</v>
      </c>
      <c r="F120">
        <v>3.3038780700000001</v>
      </c>
      <c r="G120">
        <v>1.28379424</v>
      </c>
      <c r="H120">
        <v>2.5699891799999999</v>
      </c>
      <c r="I120">
        <v>1.004355E-2</v>
      </c>
      <c r="J120">
        <v>1</v>
      </c>
      <c r="K120">
        <v>950002</v>
      </c>
      <c r="L120">
        <f t="shared" si="8"/>
        <v>1.2707223346153847E-2</v>
      </c>
      <c r="M120">
        <f t="shared" si="9"/>
        <v>4.9376701538461536E-3</v>
      </c>
      <c r="N120">
        <f t="shared" si="10"/>
        <v>9.8845737692307683E-3</v>
      </c>
      <c r="O120">
        <f t="shared" si="11"/>
        <v>7.4111219615384614E-3</v>
      </c>
      <c r="P120">
        <f t="shared" si="7"/>
        <v>5.7006550418100277</v>
      </c>
      <c r="R120">
        <f t="shared" si="12"/>
        <v>-4.0384204838449505E-4</v>
      </c>
    </row>
    <row r="121" spans="1:19" x14ac:dyDescent="0.2">
      <c r="A121" t="s">
        <v>132</v>
      </c>
      <c r="B121">
        <v>5.5515606000000002</v>
      </c>
      <c r="C121">
        <v>5.4396359999999998E-2</v>
      </c>
      <c r="D121">
        <v>5.6918390099999998</v>
      </c>
      <c r="E121">
        <v>0.96797098999999998</v>
      </c>
      <c r="F121">
        <v>3.2827770900000002</v>
      </c>
      <c r="G121">
        <v>1.2734673599999999</v>
      </c>
      <c r="H121">
        <v>2.5324743399999998</v>
      </c>
      <c r="I121">
        <v>1.004355E-2</v>
      </c>
      <c r="J121">
        <v>1</v>
      </c>
      <c r="K121">
        <v>950002</v>
      </c>
      <c r="L121">
        <f t="shared" si="8"/>
        <v>1.2626065730769232E-2</v>
      </c>
      <c r="M121">
        <f t="shared" si="9"/>
        <v>4.897951384615384E-3</v>
      </c>
      <c r="N121">
        <f t="shared" si="10"/>
        <v>9.7402859230769218E-3</v>
      </c>
      <c r="O121">
        <f t="shared" si="11"/>
        <v>7.3191186538461538E-3</v>
      </c>
      <c r="P121">
        <f t="shared" si="7"/>
        <v>3.0782042951844448</v>
      </c>
      <c r="R121">
        <f t="shared" si="12"/>
        <v>-8.1186776204376928E-5</v>
      </c>
    </row>
    <row r="122" spans="1:19" x14ac:dyDescent="0.2">
      <c r="A122" t="s">
        <v>133</v>
      </c>
      <c r="B122">
        <v>5.5411789999999996</v>
      </c>
      <c r="C122">
        <v>5.1227639999999998E-2</v>
      </c>
      <c r="D122">
        <v>5.6775083300000002</v>
      </c>
      <c r="E122">
        <v>1.0864980500000001</v>
      </c>
      <c r="F122">
        <v>3.2640381600000001</v>
      </c>
      <c r="G122">
        <v>1.2695268399999999</v>
      </c>
      <c r="H122">
        <v>2.5222885599999998</v>
      </c>
      <c r="I122">
        <v>1.004355E-2</v>
      </c>
      <c r="J122">
        <v>1</v>
      </c>
      <c r="K122">
        <v>950002</v>
      </c>
      <c r="L122">
        <f t="shared" si="8"/>
        <v>1.2553992923076924E-2</v>
      </c>
      <c r="M122">
        <f t="shared" si="9"/>
        <v>4.882795538461538E-3</v>
      </c>
      <c r="N122">
        <f t="shared" si="10"/>
        <v>9.7011098461538461E-3</v>
      </c>
      <c r="O122">
        <f t="shared" si="11"/>
        <v>7.2919526923076921E-3</v>
      </c>
      <c r="P122">
        <f t="shared" si="7"/>
        <v>2.8988914236203027</v>
      </c>
      <c r="R122">
        <f t="shared" si="12"/>
        <v>1.8445897640660601E-4</v>
      </c>
    </row>
    <row r="123" spans="1:19" x14ac:dyDescent="0.2">
      <c r="A123" t="s">
        <v>134</v>
      </c>
      <c r="B123">
        <v>5.5562323200000003</v>
      </c>
      <c r="C123">
        <v>0.10918881</v>
      </c>
      <c r="D123">
        <v>5.7010515899999996</v>
      </c>
      <c r="E123">
        <v>1.0864980500000001</v>
      </c>
      <c r="F123">
        <v>3.24766128</v>
      </c>
      <c r="G123">
        <v>1.2691192</v>
      </c>
      <c r="H123">
        <v>2.5438289799999998</v>
      </c>
      <c r="I123">
        <v>1.004355E-2</v>
      </c>
      <c r="J123">
        <v>1</v>
      </c>
      <c r="K123">
        <v>950002</v>
      </c>
      <c r="L123">
        <f t="shared" si="8"/>
        <v>1.2491004923076922E-2</v>
      </c>
      <c r="M123">
        <f t="shared" si="9"/>
        <v>4.8812276923076922E-3</v>
      </c>
      <c r="N123">
        <f t="shared" si="10"/>
        <v>9.7839576153846142E-3</v>
      </c>
      <c r="O123">
        <f t="shared" si="11"/>
        <v>7.3325926538461532E-3</v>
      </c>
      <c r="P123">
        <f t="shared" si="7"/>
        <v>6.1788226993144075</v>
      </c>
      <c r="R123">
        <f t="shared" si="12"/>
        <v>7.8018436098839798E-4</v>
      </c>
    </row>
    <row r="124" spans="1:19" x14ac:dyDescent="0.2">
      <c r="A124" t="s">
        <v>135</v>
      </c>
      <c r="B124">
        <v>5.5943847</v>
      </c>
      <c r="C124">
        <v>0.18814275</v>
      </c>
      <c r="D124">
        <v>5.7430200100000004</v>
      </c>
      <c r="E124">
        <v>1.0272345199999999</v>
      </c>
      <c r="F124">
        <v>3.2327016300000002</v>
      </c>
      <c r="G124">
        <v>1.2757093799999999</v>
      </c>
      <c r="H124">
        <v>2.5854626600000001</v>
      </c>
      <c r="I124">
        <v>9.8609400000000003E-3</v>
      </c>
      <c r="J124">
        <v>1</v>
      </c>
      <c r="K124">
        <v>950003</v>
      </c>
      <c r="L124">
        <f t="shared" si="8"/>
        <v>1.2433467807692309E-2</v>
      </c>
      <c r="M124">
        <f t="shared" si="9"/>
        <v>4.9065745384615379E-3</v>
      </c>
      <c r="N124">
        <f t="shared" si="10"/>
        <v>9.9440871538461536E-3</v>
      </c>
      <c r="O124">
        <f t="shared" si="11"/>
        <v>7.4253308461538466E-3</v>
      </c>
      <c r="P124">
        <f t="shared" si="7"/>
        <v>10.646701749120957</v>
      </c>
      <c r="Q124">
        <f>ABS(0.5*(SUMPRODUCT(O124:O142,P125:P143)+O143*P124-(SUMPRODUCT(O125:O143,P124:P142)+O124*P143)))</f>
        <v>5.1403222572454776E-3</v>
      </c>
      <c r="R124">
        <f t="shared" si="12"/>
        <v>1.819224373016155E-3</v>
      </c>
    </row>
    <row r="125" spans="1:19" x14ac:dyDescent="0.2">
      <c r="A125" t="s">
        <v>136</v>
      </c>
      <c r="B125">
        <v>5.6481094799999996</v>
      </c>
      <c r="C125">
        <v>0.28241217000000002</v>
      </c>
      <c r="D125">
        <v>5.8039253999999998</v>
      </c>
      <c r="E125">
        <v>0.96797098999999998</v>
      </c>
      <c r="F125">
        <v>3.2240407800000002</v>
      </c>
      <c r="G125">
        <v>1.29004472</v>
      </c>
      <c r="H125">
        <v>2.6421801999999999</v>
      </c>
      <c r="I125">
        <v>9.8609400000000003E-3</v>
      </c>
      <c r="J125">
        <v>1</v>
      </c>
      <c r="K125">
        <v>950003</v>
      </c>
      <c r="L125">
        <f t="shared" si="8"/>
        <v>1.2400156846153847E-2</v>
      </c>
      <c r="M125">
        <f t="shared" si="9"/>
        <v>4.9617104615384613E-3</v>
      </c>
      <c r="N125">
        <f t="shared" si="10"/>
        <v>1.0162231538461538E-2</v>
      </c>
      <c r="O125">
        <f t="shared" si="11"/>
        <v>7.5619709999999998E-3</v>
      </c>
      <c r="P125">
        <f t="shared" si="7"/>
        <v>15.981259678154196</v>
      </c>
      <c r="R125">
        <f t="shared" si="12"/>
        <v>2.8969842612575659E-3</v>
      </c>
    </row>
    <row r="126" spans="1:19" x14ac:dyDescent="0.2">
      <c r="A126" t="s">
        <v>137</v>
      </c>
      <c r="B126">
        <v>5.7075441400000004</v>
      </c>
      <c r="C126">
        <v>0.39239316000000002</v>
      </c>
      <c r="D126">
        <v>5.8730197500000001</v>
      </c>
      <c r="E126">
        <v>0.73091687000000005</v>
      </c>
      <c r="F126">
        <v>3.22750512</v>
      </c>
      <c r="G126">
        <v>1.30560298</v>
      </c>
      <c r="H126">
        <v>2.7055212800000001</v>
      </c>
      <c r="I126">
        <v>9.8609400000000003E-3</v>
      </c>
      <c r="J126">
        <v>1</v>
      </c>
      <c r="K126">
        <v>950003</v>
      </c>
      <c r="L126">
        <f t="shared" si="8"/>
        <v>1.2413481230769231E-2</v>
      </c>
      <c r="M126">
        <f t="shared" si="9"/>
        <v>5.0215499230769232E-3</v>
      </c>
      <c r="N126">
        <f t="shared" si="10"/>
        <v>1.0405851076923078E-2</v>
      </c>
      <c r="O126">
        <f t="shared" si="11"/>
        <v>7.7137005000000002E-3</v>
      </c>
      <c r="P126">
        <f t="shared" si="7"/>
        <v>22.204910595359639</v>
      </c>
      <c r="R126">
        <f t="shared" si="12"/>
        <v>3.8430473312305118E-3</v>
      </c>
    </row>
    <row r="127" spans="1:19" x14ac:dyDescent="0.2">
      <c r="A127" t="s">
        <v>138</v>
      </c>
      <c r="B127">
        <v>5.7700932800000002</v>
      </c>
      <c r="C127">
        <v>0.52534736999999998</v>
      </c>
      <c r="D127">
        <v>5.9431377200000002</v>
      </c>
      <c r="E127">
        <v>0.73091687000000005</v>
      </c>
      <c r="F127">
        <v>3.2345912700000001</v>
      </c>
      <c r="G127">
        <v>1.3196665599999999</v>
      </c>
      <c r="H127">
        <v>2.7684170799999999</v>
      </c>
      <c r="I127">
        <v>9.6783300000000006E-3</v>
      </c>
      <c r="J127">
        <v>1</v>
      </c>
      <c r="K127">
        <v>950003</v>
      </c>
      <c r="L127">
        <f t="shared" si="8"/>
        <v>1.2440735653846154E-2</v>
      </c>
      <c r="M127">
        <f t="shared" si="9"/>
        <v>5.075640615384615E-3</v>
      </c>
      <c r="N127">
        <f t="shared" si="10"/>
        <v>1.0647758E-2</v>
      </c>
      <c r="O127">
        <f t="shared" si="11"/>
        <v>7.8616993076923072E-3</v>
      </c>
      <c r="P127">
        <f t="shared" si="7"/>
        <v>29.728579831405114</v>
      </c>
      <c r="R127">
        <f t="shared" si="12"/>
        <v>4.4066892250675099E-3</v>
      </c>
    </row>
    <row r="128" spans="1:19" x14ac:dyDescent="0.2">
      <c r="A128" t="s">
        <v>139</v>
      </c>
      <c r="B128">
        <v>5.82874932</v>
      </c>
      <c r="C128">
        <v>0.70556832000000003</v>
      </c>
      <c r="D128">
        <v>6.01018483</v>
      </c>
      <c r="E128">
        <v>0.61238981000000003</v>
      </c>
      <c r="F128">
        <v>3.2446693500000001</v>
      </c>
      <c r="G128">
        <v>1.33046902</v>
      </c>
      <c r="H128">
        <v>2.8234091600000002</v>
      </c>
      <c r="I128">
        <v>9.4957199999999992E-3</v>
      </c>
      <c r="J128">
        <v>1</v>
      </c>
      <c r="K128">
        <v>950003</v>
      </c>
      <c r="L128">
        <f t="shared" si="8"/>
        <v>1.2479497500000001E-2</v>
      </c>
      <c r="M128">
        <f t="shared" si="9"/>
        <v>5.1171885384615383E-3</v>
      </c>
      <c r="N128">
        <f t="shared" si="10"/>
        <v>1.0859266000000001E-2</v>
      </c>
      <c r="O128">
        <f t="shared" si="11"/>
        <v>7.9882272692307701E-3</v>
      </c>
      <c r="P128">
        <f t="shared" si="7"/>
        <v>39.926999401615717</v>
      </c>
      <c r="R128">
        <f t="shared" si="12"/>
        <v>2.7732657186310978E-3</v>
      </c>
      <c r="S128">
        <f>ABS(SUMIFS($R:$R,$K:$K,K128))</f>
        <v>5.1434618157104959E-3</v>
      </c>
    </row>
    <row r="129" spans="1:18" x14ac:dyDescent="0.2">
      <c r="A129" t="s">
        <v>140</v>
      </c>
      <c r="B129">
        <v>5.8666421599999996</v>
      </c>
      <c r="C129">
        <v>0.82716794999999999</v>
      </c>
      <c r="D129">
        <v>6.0398698099999999</v>
      </c>
      <c r="E129">
        <v>0.61238981000000003</v>
      </c>
      <c r="F129">
        <v>3.2605738199999998</v>
      </c>
      <c r="G129">
        <v>1.3358362800000001</v>
      </c>
      <c r="H129">
        <v>2.8512948200000001</v>
      </c>
      <c r="I129">
        <v>9.4957199999999992E-3</v>
      </c>
      <c r="J129">
        <v>1</v>
      </c>
      <c r="K129">
        <v>950003</v>
      </c>
      <c r="L129">
        <f t="shared" si="8"/>
        <v>1.2540668538461537E-2</v>
      </c>
      <c r="M129">
        <f t="shared" si="9"/>
        <v>5.1378318461538465E-3</v>
      </c>
      <c r="N129">
        <f t="shared" si="10"/>
        <v>1.0966518538461539E-2</v>
      </c>
      <c r="O129">
        <f t="shared" si="11"/>
        <v>8.0521751923076923E-3</v>
      </c>
      <c r="P129">
        <f t="shared" si="7"/>
        <v>46.808130847889679</v>
      </c>
      <c r="R129">
        <f t="shared" si="12"/>
        <v>8.9127881739269293E-4</v>
      </c>
    </row>
    <row r="130" spans="1:18" x14ac:dyDescent="0.2">
      <c r="A130" t="s">
        <v>141</v>
      </c>
      <c r="B130">
        <v>5.8809168600000001</v>
      </c>
      <c r="C130">
        <v>0.85264974000000004</v>
      </c>
      <c r="D130">
        <v>6.0511296300000001</v>
      </c>
      <c r="E130">
        <v>0.53337177000000002</v>
      </c>
      <c r="F130">
        <v>3.2788403399999999</v>
      </c>
      <c r="G130">
        <v>1.33712714</v>
      </c>
      <c r="H130">
        <v>2.8597551399999999</v>
      </c>
      <c r="I130">
        <v>9.6783300000000006E-3</v>
      </c>
      <c r="J130">
        <v>1</v>
      </c>
      <c r="K130">
        <v>950003</v>
      </c>
      <c r="L130">
        <f t="shared" si="8"/>
        <v>1.2610924384615384E-2</v>
      </c>
      <c r="M130">
        <f t="shared" si="9"/>
        <v>5.1427966923076919E-3</v>
      </c>
      <c r="N130">
        <f t="shared" si="10"/>
        <v>1.0999058230769231E-2</v>
      </c>
      <c r="O130">
        <f t="shared" si="11"/>
        <v>8.0709274615384605E-3</v>
      </c>
      <c r="P130">
        <f t="shared" si="7"/>
        <v>48.250105190051329</v>
      </c>
      <c r="R130">
        <f t="shared" si="12"/>
        <v>2.7204159230512952E-4</v>
      </c>
    </row>
    <row r="131" spans="1:18" x14ac:dyDescent="0.2">
      <c r="A131" t="s">
        <v>142</v>
      </c>
      <c r="B131">
        <v>5.88429088</v>
      </c>
      <c r="C131">
        <v>0.85304583</v>
      </c>
      <c r="D131">
        <v>6.0542004900000004</v>
      </c>
      <c r="E131">
        <v>0.53337177000000002</v>
      </c>
      <c r="F131">
        <v>3.2933275800000001</v>
      </c>
      <c r="G131">
        <v>1.3373309600000001</v>
      </c>
      <c r="H131">
        <v>2.8624824800000002</v>
      </c>
      <c r="I131">
        <v>9.6783300000000006E-3</v>
      </c>
      <c r="J131">
        <v>1</v>
      </c>
      <c r="K131">
        <v>950003</v>
      </c>
      <c r="L131">
        <f t="shared" si="8"/>
        <v>1.2666644538461539E-2</v>
      </c>
      <c r="M131">
        <f t="shared" si="9"/>
        <v>5.1435806153846157E-3</v>
      </c>
      <c r="N131">
        <f t="shared" si="10"/>
        <v>1.1009548000000001E-2</v>
      </c>
      <c r="O131">
        <f t="shared" si="11"/>
        <v>8.076564307692307E-3</v>
      </c>
      <c r="P131">
        <f t="shared" ref="P131:P194" si="13">+C131*4/(PI()*0.15^2)</f>
        <v>48.272519298996841</v>
      </c>
      <c r="R131">
        <f t="shared" si="12"/>
        <v>-8.7998745181849664E-5</v>
      </c>
    </row>
    <row r="132" spans="1:18" x14ac:dyDescent="0.2">
      <c r="A132" t="s">
        <v>143</v>
      </c>
      <c r="B132">
        <v>5.88013824</v>
      </c>
      <c r="C132">
        <v>0.82281095999999998</v>
      </c>
      <c r="D132">
        <v>6.0511296300000001</v>
      </c>
      <c r="E132">
        <v>0.53337177000000002</v>
      </c>
      <c r="F132">
        <v>3.3043504800000001</v>
      </c>
      <c r="G132">
        <v>1.3375347799999999</v>
      </c>
      <c r="H132">
        <v>2.8613136199999998</v>
      </c>
      <c r="I132">
        <v>9.6783300000000006E-3</v>
      </c>
      <c r="J132">
        <v>1</v>
      </c>
      <c r="K132">
        <v>950003</v>
      </c>
      <c r="L132">
        <f t="shared" ref="L132:L195" si="14">+F132/260</f>
        <v>1.2709040307692309E-2</v>
      </c>
      <c r="M132">
        <f t="shared" ref="M132:M195" si="15">+G132/260</f>
        <v>5.1443645384615377E-3</v>
      </c>
      <c r="N132">
        <f t="shared" ref="N132:N195" si="16">+H132/260</f>
        <v>1.1005052384615384E-2</v>
      </c>
      <c r="O132">
        <f t="shared" ref="O132:O195" si="17">(+G132+H132)/520</f>
        <v>8.0747084615384601E-3</v>
      </c>
      <c r="P132">
        <f t="shared" si="13"/>
        <v>46.561575649488987</v>
      </c>
      <c r="R132">
        <f t="shared" ref="R132:R195" si="18">+(P132+P133)/2*(O133-O132)</f>
        <v>-1.0991606011540303E-3</v>
      </c>
    </row>
    <row r="133" spans="1:18" x14ac:dyDescent="0.2">
      <c r="A133" t="s">
        <v>144</v>
      </c>
      <c r="B133">
        <v>5.8650849200000001</v>
      </c>
      <c r="C133">
        <v>0.70636049999999995</v>
      </c>
      <c r="D133">
        <v>6.0367989499999997</v>
      </c>
      <c r="E133">
        <v>0.53337177000000002</v>
      </c>
      <c r="F133">
        <v>3.3202549499999998</v>
      </c>
      <c r="G133">
        <v>1.3377386</v>
      </c>
      <c r="H133">
        <v>2.8478995600000001</v>
      </c>
      <c r="I133">
        <v>9.6783300000000006E-3</v>
      </c>
      <c r="J133">
        <v>1</v>
      </c>
      <c r="K133">
        <v>950003</v>
      </c>
      <c r="L133">
        <f t="shared" si="14"/>
        <v>1.2770211346153845E-2</v>
      </c>
      <c r="M133">
        <f t="shared" si="15"/>
        <v>5.1451484615384615E-3</v>
      </c>
      <c r="N133">
        <f t="shared" si="16"/>
        <v>1.0953459846153847E-2</v>
      </c>
      <c r="O133">
        <f t="shared" si="17"/>
        <v>8.049304153846153E-3</v>
      </c>
      <c r="P133">
        <f t="shared" si="13"/>
        <v>39.971827619506747</v>
      </c>
      <c r="R133">
        <f t="shared" si="18"/>
        <v>-8.8303914999264619E-4</v>
      </c>
    </row>
    <row r="134" spans="1:18" x14ac:dyDescent="0.2">
      <c r="A134" t="s">
        <v>145</v>
      </c>
      <c r="B134">
        <v>5.8492529800000002</v>
      </c>
      <c r="C134">
        <v>0.61895663999999995</v>
      </c>
      <c r="D134">
        <v>6.02298008</v>
      </c>
      <c r="E134">
        <v>0.47410824000000001</v>
      </c>
      <c r="F134">
        <v>3.3293882099999998</v>
      </c>
      <c r="G134">
        <v>1.3377386</v>
      </c>
      <c r="H134">
        <v>2.8356543599999999</v>
      </c>
      <c r="I134">
        <v>9.6783300000000006E-3</v>
      </c>
      <c r="J134">
        <v>1</v>
      </c>
      <c r="K134">
        <v>950003</v>
      </c>
      <c r="L134">
        <f t="shared" si="14"/>
        <v>1.2805339269230769E-2</v>
      </c>
      <c r="M134">
        <f t="shared" si="15"/>
        <v>5.1451484615384615E-3</v>
      </c>
      <c r="N134">
        <f t="shared" si="16"/>
        <v>1.0906362923076923E-2</v>
      </c>
      <c r="O134">
        <f t="shared" si="17"/>
        <v>8.0257556923076928E-3</v>
      </c>
      <c r="P134">
        <f t="shared" si="13"/>
        <v>35.02578091219582</v>
      </c>
      <c r="R134">
        <f t="shared" si="18"/>
        <v>-1.4077136907092083E-3</v>
      </c>
    </row>
    <row r="135" spans="1:18" x14ac:dyDescent="0.2">
      <c r="A135" t="s">
        <v>146</v>
      </c>
      <c r="B135">
        <v>5.8264134600000004</v>
      </c>
      <c r="C135">
        <v>0.52217864999999997</v>
      </c>
      <c r="D135">
        <v>5.98971243</v>
      </c>
      <c r="E135">
        <v>0.47410824000000001</v>
      </c>
      <c r="F135">
        <v>3.3336399000000001</v>
      </c>
      <c r="G135">
        <v>1.3373309600000001</v>
      </c>
      <c r="H135">
        <v>2.8133903600000001</v>
      </c>
      <c r="I135">
        <v>9.6783300000000006E-3</v>
      </c>
      <c r="J135">
        <v>1</v>
      </c>
      <c r="K135">
        <v>950003</v>
      </c>
      <c r="L135">
        <f t="shared" si="14"/>
        <v>1.2821691923076924E-2</v>
      </c>
      <c r="M135">
        <f t="shared" si="15"/>
        <v>5.1435806153846157E-3</v>
      </c>
      <c r="N135">
        <f t="shared" si="16"/>
        <v>1.0820732153846154E-2</v>
      </c>
      <c r="O135">
        <f t="shared" si="17"/>
        <v>7.9821563846153853E-3</v>
      </c>
      <c r="P135">
        <f t="shared" si="13"/>
        <v>29.549266959840971</v>
      </c>
      <c r="R135">
        <f t="shared" si="18"/>
        <v>-2.0393245023683738E-3</v>
      </c>
    </row>
    <row r="136" spans="1:18" x14ac:dyDescent="0.2">
      <c r="A136" t="s">
        <v>147</v>
      </c>
      <c r="B136">
        <v>5.7931923400000001</v>
      </c>
      <c r="C136">
        <v>0.41985539999999999</v>
      </c>
      <c r="D136">
        <v>5.9492794399999998</v>
      </c>
      <c r="E136">
        <v>0.47410824000000001</v>
      </c>
      <c r="F136">
        <v>3.3385214699999999</v>
      </c>
      <c r="G136">
        <v>1.3333904400000001</v>
      </c>
      <c r="H136">
        <v>2.7775453200000002</v>
      </c>
      <c r="I136">
        <v>9.8609400000000003E-3</v>
      </c>
      <c r="J136">
        <v>1</v>
      </c>
      <c r="K136">
        <v>950003</v>
      </c>
      <c r="L136">
        <f t="shared" si="14"/>
        <v>1.2840467192307692E-2</v>
      </c>
      <c r="M136">
        <f t="shared" si="15"/>
        <v>5.1284247692307697E-3</v>
      </c>
      <c r="N136">
        <f t="shared" si="16"/>
        <v>1.0682866615384616E-2</v>
      </c>
      <c r="O136">
        <f t="shared" si="17"/>
        <v>7.9056456923076932E-3</v>
      </c>
      <c r="P136">
        <f t="shared" si="13"/>
        <v>23.758955482248872</v>
      </c>
      <c r="R136">
        <f t="shared" si="18"/>
        <v>-2.2441870504815568E-3</v>
      </c>
    </row>
    <row r="137" spans="1:18" x14ac:dyDescent="0.2">
      <c r="A137" t="s">
        <v>148</v>
      </c>
      <c r="B137">
        <v>5.7464751400000003</v>
      </c>
      <c r="C137">
        <v>0.32518988999999998</v>
      </c>
      <c r="D137">
        <v>5.8991220599999998</v>
      </c>
      <c r="E137">
        <v>0.41484471000000001</v>
      </c>
      <c r="F137">
        <v>3.3389938799999999</v>
      </c>
      <c r="G137">
        <v>1.3248979400000001</v>
      </c>
      <c r="H137">
        <v>2.7306796000000002</v>
      </c>
      <c r="I137">
        <v>9.8609400000000003E-3</v>
      </c>
      <c r="J137">
        <v>1</v>
      </c>
      <c r="K137">
        <v>950003</v>
      </c>
      <c r="L137">
        <f t="shared" si="14"/>
        <v>1.2842284153846154E-2</v>
      </c>
      <c r="M137">
        <f t="shared" si="15"/>
        <v>5.0957613076923081E-3</v>
      </c>
      <c r="N137">
        <f t="shared" si="16"/>
        <v>1.0502613846153848E-2</v>
      </c>
      <c r="O137">
        <f t="shared" si="17"/>
        <v>7.799187576923077E-3</v>
      </c>
      <c r="P137">
        <f t="shared" si="13"/>
        <v>18.401983444270115</v>
      </c>
      <c r="R137">
        <f t="shared" si="18"/>
        <v>-1.9671043747850918E-3</v>
      </c>
    </row>
    <row r="138" spans="1:18" x14ac:dyDescent="0.2">
      <c r="A138" t="s">
        <v>149</v>
      </c>
      <c r="B138">
        <v>5.6971625399999999</v>
      </c>
      <c r="C138">
        <v>0.24055866000000001</v>
      </c>
      <c r="D138">
        <v>5.8448701999999999</v>
      </c>
      <c r="E138">
        <v>0.41484471000000001</v>
      </c>
      <c r="F138">
        <v>3.3317502600000002</v>
      </c>
      <c r="G138">
        <v>1.31348402</v>
      </c>
      <c r="H138">
        <v>2.6781922200000001</v>
      </c>
      <c r="I138">
        <v>9.8609400000000003E-3</v>
      </c>
      <c r="J138">
        <v>1</v>
      </c>
      <c r="K138">
        <v>950003</v>
      </c>
      <c r="L138">
        <f t="shared" si="14"/>
        <v>1.2814424076923077E-2</v>
      </c>
      <c r="M138">
        <f t="shared" si="15"/>
        <v>5.0518616153846152E-3</v>
      </c>
      <c r="N138">
        <f t="shared" si="16"/>
        <v>1.0300739307692309E-2</v>
      </c>
      <c r="O138">
        <f t="shared" si="17"/>
        <v>7.6763004615384624E-3</v>
      </c>
      <c r="P138">
        <f t="shared" si="13"/>
        <v>13.612835499577812</v>
      </c>
      <c r="R138">
        <f t="shared" si="18"/>
        <v>-1.5221583933168808E-3</v>
      </c>
    </row>
    <row r="139" spans="1:18" x14ac:dyDescent="0.2">
      <c r="A139" t="s">
        <v>150</v>
      </c>
      <c r="B139">
        <v>5.6457736199999999</v>
      </c>
      <c r="C139">
        <v>0.16556562</v>
      </c>
      <c r="D139">
        <v>5.7870356699999999</v>
      </c>
      <c r="E139">
        <v>0.47410824000000001</v>
      </c>
      <c r="F139">
        <v>3.3211997700000002</v>
      </c>
      <c r="G139">
        <v>1.2991486800000001</v>
      </c>
      <c r="H139">
        <v>2.6236454199999999</v>
      </c>
      <c r="I139">
        <v>9.8609400000000003E-3</v>
      </c>
      <c r="J139">
        <v>1</v>
      </c>
      <c r="K139">
        <v>950003</v>
      </c>
      <c r="L139">
        <f t="shared" si="14"/>
        <v>1.277384526923077E-2</v>
      </c>
      <c r="M139">
        <f t="shared" si="15"/>
        <v>4.9967256923076925E-3</v>
      </c>
      <c r="N139">
        <f t="shared" si="16"/>
        <v>1.0090943923076922E-2</v>
      </c>
      <c r="O139">
        <f t="shared" si="17"/>
        <v>7.5438348076923073E-3</v>
      </c>
      <c r="P139">
        <f t="shared" si="13"/>
        <v>9.3690975392264413</v>
      </c>
      <c r="R139">
        <f t="shared" si="18"/>
        <v>-9.8824937506151794E-4</v>
      </c>
    </row>
    <row r="140" spans="1:18" x14ac:dyDescent="0.2">
      <c r="A140" t="s">
        <v>151</v>
      </c>
      <c r="B140">
        <v>5.5943847</v>
      </c>
      <c r="C140">
        <v>9.9946709999999994E-2</v>
      </c>
      <c r="D140">
        <v>5.7338074299999997</v>
      </c>
      <c r="E140">
        <v>0.79018040000000001</v>
      </c>
      <c r="F140">
        <v>3.30718494</v>
      </c>
      <c r="G140">
        <v>1.2840659999999999</v>
      </c>
      <c r="H140">
        <v>2.5703231400000002</v>
      </c>
      <c r="I140">
        <v>1.004355E-2</v>
      </c>
      <c r="J140">
        <v>1</v>
      </c>
      <c r="K140">
        <v>950003</v>
      </c>
      <c r="L140">
        <f t="shared" si="14"/>
        <v>1.2719942076923077E-2</v>
      </c>
      <c r="M140">
        <f t="shared" si="15"/>
        <v>4.9387153846153845E-3</v>
      </c>
      <c r="N140">
        <f t="shared" si="16"/>
        <v>9.885858230769231E-3</v>
      </c>
      <c r="O140">
        <f t="shared" si="17"/>
        <v>7.4122868076923086E-3</v>
      </c>
      <c r="P140">
        <f t="shared" si="13"/>
        <v>5.6558268239189919</v>
      </c>
      <c r="R140">
        <f t="shared" si="18"/>
        <v>-4.0923725573137462E-4</v>
      </c>
    </row>
    <row r="141" spans="1:18" x14ac:dyDescent="0.2">
      <c r="A141" t="s">
        <v>152</v>
      </c>
      <c r="B141">
        <v>5.5538964599999998</v>
      </c>
      <c r="C141">
        <v>5.4000270000000003E-2</v>
      </c>
      <c r="D141">
        <v>5.69490987</v>
      </c>
      <c r="E141">
        <v>1.1457615800000001</v>
      </c>
      <c r="F141">
        <v>3.28702878</v>
      </c>
      <c r="G141">
        <v>1.27305972</v>
      </c>
      <c r="H141">
        <v>2.5324743399999998</v>
      </c>
      <c r="I141">
        <v>9.8609400000000003E-3</v>
      </c>
      <c r="J141">
        <v>1</v>
      </c>
      <c r="K141">
        <v>950003</v>
      </c>
      <c r="L141">
        <f t="shared" si="14"/>
        <v>1.2642418384615384E-2</v>
      </c>
      <c r="M141">
        <f t="shared" si="15"/>
        <v>4.8963835384615382E-3</v>
      </c>
      <c r="N141">
        <f t="shared" si="16"/>
        <v>9.7402859230769218E-3</v>
      </c>
      <c r="O141">
        <f t="shared" si="17"/>
        <v>7.3183347307692308E-3</v>
      </c>
      <c r="P141">
        <f t="shared" si="13"/>
        <v>3.0557901862389274</v>
      </c>
      <c r="R141">
        <f t="shared" si="18"/>
        <v>-7.9267438813748303E-5</v>
      </c>
    </row>
    <row r="142" spans="1:18" x14ac:dyDescent="0.2">
      <c r="A142" t="s">
        <v>153</v>
      </c>
      <c r="B142">
        <v>5.5396217600000002</v>
      </c>
      <c r="C142">
        <v>5.162373E-2</v>
      </c>
      <c r="D142">
        <v>5.6821146200000001</v>
      </c>
      <c r="E142">
        <v>1.26428864</v>
      </c>
      <c r="F142">
        <v>3.2654553900000001</v>
      </c>
      <c r="G142">
        <v>1.2691192</v>
      </c>
      <c r="H142">
        <v>2.5226225200000001</v>
      </c>
      <c r="I142">
        <v>9.8609400000000003E-3</v>
      </c>
      <c r="J142">
        <v>1</v>
      </c>
      <c r="K142">
        <v>950003</v>
      </c>
      <c r="L142">
        <f t="shared" si="14"/>
        <v>1.2559443807692307E-2</v>
      </c>
      <c r="M142">
        <f t="shared" si="15"/>
        <v>4.8812276923076922E-3</v>
      </c>
      <c r="N142">
        <f t="shared" si="16"/>
        <v>9.7023943076923087E-3</v>
      </c>
      <c r="O142">
        <f t="shared" si="17"/>
        <v>7.2918110000000005E-3</v>
      </c>
      <c r="P142">
        <f t="shared" si="13"/>
        <v>2.9213055325658206</v>
      </c>
      <c r="R142">
        <f t="shared" si="18"/>
        <v>1.8173725917498612E-4</v>
      </c>
    </row>
    <row r="143" spans="1:18" x14ac:dyDescent="0.2">
      <c r="A143" t="s">
        <v>154</v>
      </c>
      <c r="B143">
        <v>5.5554537000000002</v>
      </c>
      <c r="C143">
        <v>0.10839662999999999</v>
      </c>
      <c r="D143">
        <v>5.7010515899999996</v>
      </c>
      <c r="E143">
        <v>1.26428864</v>
      </c>
      <c r="F143">
        <v>3.2486060999999999</v>
      </c>
      <c r="G143">
        <v>1.2691192</v>
      </c>
      <c r="H143">
        <v>2.5434950199999999</v>
      </c>
      <c r="I143">
        <v>9.6783300000000006E-3</v>
      </c>
      <c r="J143">
        <v>1</v>
      </c>
      <c r="K143">
        <v>950003</v>
      </c>
      <c r="L143">
        <f t="shared" si="14"/>
        <v>1.2494638846153846E-2</v>
      </c>
      <c r="M143">
        <f t="shared" si="15"/>
        <v>4.8812276923076922E-3</v>
      </c>
      <c r="N143">
        <f t="shared" si="16"/>
        <v>9.7826731538461532E-3</v>
      </c>
      <c r="O143">
        <f t="shared" si="17"/>
        <v>7.3319504230769227E-3</v>
      </c>
      <c r="P143">
        <f t="shared" si="13"/>
        <v>6.1339944814233718</v>
      </c>
      <c r="R143">
        <f t="shared" si="18"/>
        <v>7.8663381523112253E-4</v>
      </c>
    </row>
    <row r="144" spans="1:18" x14ac:dyDescent="0.2">
      <c r="A144" t="s">
        <v>155</v>
      </c>
      <c r="B144">
        <v>5.5959419400000003</v>
      </c>
      <c r="C144">
        <v>0.18933101999999999</v>
      </c>
      <c r="D144">
        <v>5.7430200100000004</v>
      </c>
      <c r="E144">
        <v>1.20502511</v>
      </c>
      <c r="F144">
        <v>3.23663838</v>
      </c>
      <c r="G144">
        <v>1.2757093799999999</v>
      </c>
      <c r="H144">
        <v>2.5854626600000001</v>
      </c>
      <c r="I144">
        <v>9.8609400000000003E-3</v>
      </c>
      <c r="J144">
        <v>1</v>
      </c>
      <c r="K144">
        <v>950004</v>
      </c>
      <c r="L144">
        <f t="shared" si="14"/>
        <v>1.2448609153846154E-2</v>
      </c>
      <c r="M144">
        <f t="shared" si="15"/>
        <v>4.9065745384615379E-3</v>
      </c>
      <c r="N144">
        <f t="shared" si="16"/>
        <v>9.9440871538461536E-3</v>
      </c>
      <c r="O144">
        <f t="shared" si="17"/>
        <v>7.4253308461538466E-3</v>
      </c>
      <c r="P144">
        <f t="shared" si="13"/>
        <v>10.71394407595751</v>
      </c>
      <c r="Q144">
        <f t="shared" ref="Q144" si="19">ABS(0.5*(SUMPRODUCT(O144:O162,P145:P163)+O163*P144-(SUMPRODUCT(O145:O163,P144:P162)+O144*P163)))</f>
        <v>5.1722889575518405E-3</v>
      </c>
      <c r="R144">
        <f t="shared" si="18"/>
        <v>1.8151445581990177E-3</v>
      </c>
    </row>
    <row r="145" spans="1:19" x14ac:dyDescent="0.2">
      <c r="A145" t="s">
        <v>156</v>
      </c>
      <c r="B145">
        <v>5.6473308600000003</v>
      </c>
      <c r="C145">
        <v>0.28399653000000002</v>
      </c>
      <c r="D145">
        <v>5.7993191099999999</v>
      </c>
      <c r="E145">
        <v>0.96797098999999998</v>
      </c>
      <c r="F145">
        <v>3.22844994</v>
      </c>
      <c r="G145">
        <v>1.2896370800000001</v>
      </c>
      <c r="H145">
        <v>2.6420132199999999</v>
      </c>
      <c r="I145">
        <v>9.8609400000000003E-3</v>
      </c>
      <c r="J145">
        <v>1</v>
      </c>
      <c r="K145">
        <v>950004</v>
      </c>
      <c r="L145">
        <f t="shared" si="14"/>
        <v>1.2417115153846154E-2</v>
      </c>
      <c r="M145">
        <f t="shared" si="15"/>
        <v>4.9601426153846155E-3</v>
      </c>
      <c r="N145">
        <f t="shared" si="16"/>
        <v>1.0161589307692308E-2</v>
      </c>
      <c r="O145">
        <f t="shared" si="17"/>
        <v>7.5608659615384616E-3</v>
      </c>
      <c r="P145">
        <f t="shared" si="13"/>
        <v>16.070916113936267</v>
      </c>
      <c r="R145">
        <f t="shared" si="18"/>
        <v>2.9051418718978659E-3</v>
      </c>
    </row>
    <row r="146" spans="1:19" x14ac:dyDescent="0.2">
      <c r="A146" t="s">
        <v>157</v>
      </c>
      <c r="B146">
        <v>5.7067655200000003</v>
      </c>
      <c r="C146">
        <v>0.39239316000000002</v>
      </c>
      <c r="D146">
        <v>5.8679016500000003</v>
      </c>
      <c r="E146">
        <v>0.79018040000000001</v>
      </c>
      <c r="F146">
        <v>3.22844994</v>
      </c>
      <c r="G146">
        <v>1.3053991599999999</v>
      </c>
      <c r="H146">
        <v>2.7051873199999998</v>
      </c>
      <c r="I146">
        <v>9.8609400000000003E-3</v>
      </c>
      <c r="J146">
        <v>1</v>
      </c>
      <c r="K146">
        <v>950004</v>
      </c>
      <c r="L146">
        <f t="shared" si="14"/>
        <v>1.2417115153846154E-2</v>
      </c>
      <c r="M146">
        <f t="shared" si="15"/>
        <v>5.0207659999999994E-3</v>
      </c>
      <c r="N146">
        <f t="shared" si="16"/>
        <v>1.0404566615384615E-2</v>
      </c>
      <c r="O146">
        <f t="shared" si="17"/>
        <v>7.7126663076923074E-3</v>
      </c>
      <c r="P146">
        <f t="shared" si="13"/>
        <v>22.204910595359639</v>
      </c>
      <c r="R146">
        <f t="shared" si="18"/>
        <v>3.8386104596578622E-3</v>
      </c>
    </row>
    <row r="147" spans="1:19" x14ac:dyDescent="0.2">
      <c r="A147" t="s">
        <v>158</v>
      </c>
      <c r="B147">
        <v>5.76931466</v>
      </c>
      <c r="C147">
        <v>0.52495128000000002</v>
      </c>
      <c r="D147">
        <v>5.9385314300000003</v>
      </c>
      <c r="E147">
        <v>0.61238981000000003</v>
      </c>
      <c r="F147">
        <v>3.23805561</v>
      </c>
      <c r="G147">
        <v>1.3194627400000001</v>
      </c>
      <c r="H147">
        <v>2.7680274599999999</v>
      </c>
      <c r="I147">
        <v>9.4957199999999992E-3</v>
      </c>
      <c r="J147">
        <v>1</v>
      </c>
      <c r="K147">
        <v>950004</v>
      </c>
      <c r="L147">
        <f t="shared" si="14"/>
        <v>1.2454060038461539E-2</v>
      </c>
      <c r="M147">
        <f t="shared" si="15"/>
        <v>5.0748566923076929E-3</v>
      </c>
      <c r="N147">
        <f t="shared" si="16"/>
        <v>1.0646259461538462E-2</v>
      </c>
      <c r="O147">
        <f t="shared" si="17"/>
        <v>7.8605580769230757E-3</v>
      </c>
      <c r="P147">
        <f t="shared" si="13"/>
        <v>29.706165722459598</v>
      </c>
      <c r="R147">
        <f t="shared" si="18"/>
        <v>4.4236869229191279E-3</v>
      </c>
    </row>
    <row r="148" spans="1:19" x14ac:dyDescent="0.2">
      <c r="A148" t="s">
        <v>159</v>
      </c>
      <c r="B148">
        <v>5.8279706999999998</v>
      </c>
      <c r="C148">
        <v>0.70517222999999996</v>
      </c>
      <c r="D148">
        <v>6.0025076799999999</v>
      </c>
      <c r="E148">
        <v>0.53337177000000002</v>
      </c>
      <c r="F148">
        <v>3.2504957399999999</v>
      </c>
      <c r="G148">
        <v>1.3306728400000001</v>
      </c>
      <c r="H148">
        <v>2.82290822</v>
      </c>
      <c r="I148">
        <v>9.4957199999999992E-3</v>
      </c>
      <c r="J148">
        <v>1</v>
      </c>
      <c r="K148">
        <v>950004</v>
      </c>
      <c r="L148">
        <f t="shared" si="14"/>
        <v>1.2501906692307692E-2</v>
      </c>
      <c r="M148">
        <f t="shared" si="15"/>
        <v>5.1179724615384621E-3</v>
      </c>
      <c r="N148">
        <f t="shared" si="16"/>
        <v>1.0857339307692308E-2</v>
      </c>
      <c r="O148">
        <f t="shared" si="17"/>
        <v>7.9876558846153859E-3</v>
      </c>
      <c r="P148">
        <f t="shared" si="13"/>
        <v>39.904585292670191</v>
      </c>
      <c r="R148">
        <f t="shared" si="18"/>
        <v>2.7760161099736145E-3</v>
      </c>
    </row>
    <row r="149" spans="1:19" x14ac:dyDescent="0.2">
      <c r="A149" t="s">
        <v>160</v>
      </c>
      <c r="B149">
        <v>5.8674207799999998</v>
      </c>
      <c r="C149">
        <v>0.82479141</v>
      </c>
      <c r="D149">
        <v>6.0398698099999999</v>
      </c>
      <c r="E149">
        <v>0.53337177000000002</v>
      </c>
      <c r="F149">
        <v>3.2629358700000002</v>
      </c>
      <c r="G149">
        <v>1.33563246</v>
      </c>
      <c r="H149">
        <v>2.8512948200000001</v>
      </c>
      <c r="I149">
        <v>9.3131099999999994E-3</v>
      </c>
      <c r="J149">
        <v>1</v>
      </c>
      <c r="K149">
        <v>950004</v>
      </c>
      <c r="L149">
        <f t="shared" si="14"/>
        <v>1.2549753346153847E-2</v>
      </c>
      <c r="M149">
        <f t="shared" si="15"/>
        <v>5.1370479230769235E-3</v>
      </c>
      <c r="N149">
        <f t="shared" si="16"/>
        <v>1.0966518538461539E-2</v>
      </c>
      <c r="O149">
        <f t="shared" si="17"/>
        <v>8.05178323076923E-3</v>
      </c>
      <c r="P149">
        <f t="shared" si="13"/>
        <v>46.673646194216573</v>
      </c>
      <c r="R149">
        <f t="shared" si="18"/>
        <v>8.8952750320305083E-4</v>
      </c>
      <c r="S149">
        <f>ABS(SUMIFS($R:$R,$K:$K,K149))</f>
        <v>5.1578466932672385E-3</v>
      </c>
    </row>
    <row r="150" spans="1:19" x14ac:dyDescent="0.2">
      <c r="A150" t="s">
        <v>161</v>
      </c>
      <c r="B150">
        <v>5.8824740999999996</v>
      </c>
      <c r="C150">
        <v>0.85172552999999995</v>
      </c>
      <c r="D150">
        <v>6.0490823899999997</v>
      </c>
      <c r="E150">
        <v>0.53337177000000002</v>
      </c>
      <c r="F150">
        <v>3.2797851599999999</v>
      </c>
      <c r="G150">
        <v>1.3369233199999999</v>
      </c>
      <c r="H150">
        <v>2.8597551399999999</v>
      </c>
      <c r="I150">
        <v>9.4957199999999992E-3</v>
      </c>
      <c r="J150">
        <v>1</v>
      </c>
      <c r="K150">
        <v>950004</v>
      </c>
      <c r="L150">
        <f t="shared" si="14"/>
        <v>1.2614558307692307E-2</v>
      </c>
      <c r="M150">
        <f t="shared" si="15"/>
        <v>5.142012769230769E-3</v>
      </c>
      <c r="N150">
        <f t="shared" si="16"/>
        <v>1.0999058230769231E-2</v>
      </c>
      <c r="O150">
        <f t="shared" si="17"/>
        <v>8.0705354999999982E-3</v>
      </c>
      <c r="P150">
        <f t="shared" si="13"/>
        <v>48.197805602511785</v>
      </c>
      <c r="R150">
        <f t="shared" si="18"/>
        <v>2.6323968867795198E-4</v>
      </c>
    </row>
    <row r="151" spans="1:19" x14ac:dyDescent="0.2">
      <c r="A151" t="s">
        <v>162</v>
      </c>
      <c r="B151">
        <v>5.8832527199999998</v>
      </c>
      <c r="C151">
        <v>0.85304583</v>
      </c>
      <c r="D151">
        <v>6.04754696</v>
      </c>
      <c r="E151">
        <v>0.53337177000000002</v>
      </c>
      <c r="F151">
        <v>3.29663445</v>
      </c>
      <c r="G151">
        <v>1.3375347799999999</v>
      </c>
      <c r="H151">
        <v>2.8619815399999999</v>
      </c>
      <c r="I151">
        <v>9.4957199999999992E-3</v>
      </c>
      <c r="J151">
        <v>1</v>
      </c>
      <c r="K151">
        <v>950004</v>
      </c>
      <c r="L151">
        <f t="shared" si="14"/>
        <v>1.2679363269230769E-2</v>
      </c>
      <c r="M151">
        <f t="shared" si="15"/>
        <v>5.1443645384615377E-3</v>
      </c>
      <c r="N151">
        <f t="shared" si="16"/>
        <v>1.1007621307692308E-2</v>
      </c>
      <c r="O151">
        <f t="shared" si="17"/>
        <v>8.0759929230769228E-3</v>
      </c>
      <c r="P151">
        <f t="shared" si="13"/>
        <v>48.272519298996841</v>
      </c>
      <c r="R151">
        <f t="shared" si="18"/>
        <v>-7.2892800424120816E-5</v>
      </c>
    </row>
    <row r="152" spans="1:19" x14ac:dyDescent="0.2">
      <c r="A152" t="s">
        <v>163</v>
      </c>
      <c r="B152">
        <v>5.8816954800000003</v>
      </c>
      <c r="C152">
        <v>0.82558359000000003</v>
      </c>
      <c r="D152">
        <v>6.0511296300000001</v>
      </c>
      <c r="E152">
        <v>0.53337177000000002</v>
      </c>
      <c r="F152">
        <v>3.30671253</v>
      </c>
      <c r="G152">
        <v>1.3377386</v>
      </c>
      <c r="H152">
        <v>2.8609796599999999</v>
      </c>
      <c r="I152">
        <v>9.8609400000000003E-3</v>
      </c>
      <c r="J152">
        <v>1</v>
      </c>
      <c r="K152">
        <v>950004</v>
      </c>
      <c r="L152">
        <f t="shared" si="14"/>
        <v>1.2718125115384615E-2</v>
      </c>
      <c r="M152">
        <f t="shared" si="15"/>
        <v>5.1451484615384615E-3</v>
      </c>
      <c r="N152">
        <f t="shared" si="16"/>
        <v>1.1003767923076923E-2</v>
      </c>
      <c r="O152">
        <f t="shared" si="17"/>
        <v>8.074458192307692E-3</v>
      </c>
      <c r="P152">
        <f t="shared" si="13"/>
        <v>46.718474412107611</v>
      </c>
      <c r="R152">
        <f t="shared" si="18"/>
        <v>-1.0652150577338709E-3</v>
      </c>
    </row>
    <row r="153" spans="1:19" x14ac:dyDescent="0.2">
      <c r="A153" t="s">
        <v>164</v>
      </c>
      <c r="B153">
        <v>5.8635276799999998</v>
      </c>
      <c r="C153">
        <v>0.71032139999999999</v>
      </c>
      <c r="D153">
        <v>6.0383343800000002</v>
      </c>
      <c r="E153">
        <v>0.53337177000000002</v>
      </c>
      <c r="F153">
        <v>3.3197825399999998</v>
      </c>
      <c r="G153">
        <v>1.3377386</v>
      </c>
      <c r="H153">
        <v>2.84823352</v>
      </c>
      <c r="I153">
        <v>9.8609400000000003E-3</v>
      </c>
      <c r="J153">
        <v>1</v>
      </c>
      <c r="K153">
        <v>950004</v>
      </c>
      <c r="L153">
        <f t="shared" si="14"/>
        <v>1.2768394384615384E-2</v>
      </c>
      <c r="M153">
        <f t="shared" si="15"/>
        <v>5.1451484615384615E-3</v>
      </c>
      <c r="N153">
        <f t="shared" si="16"/>
        <v>1.0954744307692308E-2</v>
      </c>
      <c r="O153">
        <f t="shared" si="17"/>
        <v>8.0499463846153835E-3</v>
      </c>
      <c r="P153">
        <f t="shared" si="13"/>
        <v>40.195968708961928</v>
      </c>
      <c r="R153">
        <f t="shared" si="18"/>
        <v>-1.121589595654067E-3</v>
      </c>
    </row>
    <row r="154" spans="1:19" x14ac:dyDescent="0.2">
      <c r="A154" t="s">
        <v>165</v>
      </c>
      <c r="B154">
        <v>5.8461385000000003</v>
      </c>
      <c r="C154">
        <v>0.60760206000000005</v>
      </c>
      <c r="D154">
        <v>6.0193974099999998</v>
      </c>
      <c r="E154">
        <v>0.53337177000000002</v>
      </c>
      <c r="F154">
        <v>3.3317502600000002</v>
      </c>
      <c r="G154">
        <v>1.3377386</v>
      </c>
      <c r="H154">
        <v>2.8325930600000002</v>
      </c>
      <c r="I154">
        <v>9.6783300000000006E-3</v>
      </c>
      <c r="J154">
        <v>1</v>
      </c>
      <c r="K154">
        <v>950004</v>
      </c>
      <c r="L154">
        <f t="shared" si="14"/>
        <v>1.2814424076923077E-2</v>
      </c>
      <c r="M154">
        <f t="shared" si="15"/>
        <v>5.1451484615384615E-3</v>
      </c>
      <c r="N154">
        <f t="shared" si="16"/>
        <v>1.0894588692307694E-2</v>
      </c>
      <c r="O154">
        <f t="shared" si="17"/>
        <v>8.0198685769230782E-3</v>
      </c>
      <c r="P154">
        <f t="shared" si="13"/>
        <v>34.383243122424311</v>
      </c>
      <c r="R154">
        <f t="shared" si="18"/>
        <v>-1.2834191789035056E-3</v>
      </c>
    </row>
    <row r="155" spans="1:19" x14ac:dyDescent="0.2">
      <c r="A155" t="s">
        <v>166</v>
      </c>
      <c r="B155">
        <v>5.82485622</v>
      </c>
      <c r="C155">
        <v>0.51650136000000002</v>
      </c>
      <c r="D155">
        <v>5.9932951000000001</v>
      </c>
      <c r="E155">
        <v>0.53337177000000002</v>
      </c>
      <c r="F155">
        <v>3.33694677</v>
      </c>
      <c r="G155">
        <v>1.33712714</v>
      </c>
      <c r="H155">
        <v>2.8122215000000002</v>
      </c>
      <c r="I155">
        <v>9.4957199999999992E-3</v>
      </c>
      <c r="J155">
        <v>1</v>
      </c>
      <c r="K155">
        <v>950004</v>
      </c>
      <c r="L155">
        <f t="shared" si="14"/>
        <v>1.2834410653846154E-2</v>
      </c>
      <c r="M155">
        <f t="shared" si="15"/>
        <v>5.1427966923076919E-3</v>
      </c>
      <c r="N155">
        <f t="shared" si="16"/>
        <v>1.0816236538461539E-2</v>
      </c>
      <c r="O155">
        <f t="shared" si="17"/>
        <v>7.9795166153846155E-3</v>
      </c>
      <c r="P155">
        <f t="shared" si="13"/>
        <v>29.227998064955216</v>
      </c>
      <c r="R155">
        <f t="shared" si="18"/>
        <v>-1.9067057014241883E-3</v>
      </c>
    </row>
    <row r="156" spans="1:19" x14ac:dyDescent="0.2">
      <c r="A156" t="s">
        <v>167</v>
      </c>
      <c r="B156">
        <v>5.7924137199999999</v>
      </c>
      <c r="C156">
        <v>0.42064758000000002</v>
      </c>
      <c r="D156">
        <v>5.9538857299999997</v>
      </c>
      <c r="E156">
        <v>0.53337177000000002</v>
      </c>
      <c r="F156">
        <v>3.3394662899999998</v>
      </c>
      <c r="G156">
        <v>1.33318662</v>
      </c>
      <c r="H156">
        <v>2.7787698399999998</v>
      </c>
      <c r="I156">
        <v>9.6783300000000006E-3</v>
      </c>
      <c r="J156">
        <v>1</v>
      </c>
      <c r="K156">
        <v>950004</v>
      </c>
      <c r="L156">
        <f t="shared" si="14"/>
        <v>1.2844101115384615E-2</v>
      </c>
      <c r="M156">
        <f t="shared" si="15"/>
        <v>5.1276408461538459E-3</v>
      </c>
      <c r="N156">
        <f t="shared" si="16"/>
        <v>1.0687576307692306E-2</v>
      </c>
      <c r="O156">
        <f t="shared" si="17"/>
        <v>7.907608576923077E-3</v>
      </c>
      <c r="P156">
        <f t="shared" si="13"/>
        <v>23.80378370013991</v>
      </c>
      <c r="R156">
        <f t="shared" si="18"/>
        <v>-2.2001460458384659E-3</v>
      </c>
    </row>
    <row r="157" spans="1:19" x14ac:dyDescent="0.2">
      <c r="A157" t="s">
        <v>168</v>
      </c>
      <c r="B157">
        <v>5.7488109999999999</v>
      </c>
      <c r="C157">
        <v>0.32756643000000002</v>
      </c>
      <c r="D157">
        <v>5.8991220599999998</v>
      </c>
      <c r="E157">
        <v>0.53337177000000002</v>
      </c>
      <c r="F157">
        <v>3.3404111099999998</v>
      </c>
      <c r="G157">
        <v>1.3255094000000001</v>
      </c>
      <c r="H157">
        <v>2.7324050600000001</v>
      </c>
      <c r="I157">
        <v>9.6783300000000006E-3</v>
      </c>
      <c r="J157">
        <v>1</v>
      </c>
      <c r="K157">
        <v>950004</v>
      </c>
      <c r="L157">
        <f t="shared" si="14"/>
        <v>1.2847735038461539E-2</v>
      </c>
      <c r="M157">
        <f t="shared" si="15"/>
        <v>5.0981130769230769E-3</v>
      </c>
      <c r="N157">
        <f t="shared" si="16"/>
        <v>1.0509250230769231E-2</v>
      </c>
      <c r="O157">
        <f t="shared" si="17"/>
        <v>7.8036816538461541E-3</v>
      </c>
      <c r="P157">
        <f t="shared" si="13"/>
        <v>18.536468097943224</v>
      </c>
      <c r="R157">
        <f t="shared" si="18"/>
        <v>-1.9899578075936578E-3</v>
      </c>
    </row>
    <row r="158" spans="1:19" x14ac:dyDescent="0.2">
      <c r="A158" t="s">
        <v>169</v>
      </c>
      <c r="B158">
        <v>5.7028724200000003</v>
      </c>
      <c r="C158">
        <v>0.24293519999999999</v>
      </c>
      <c r="D158">
        <v>5.8433347700000002</v>
      </c>
      <c r="E158">
        <v>0.53337177000000002</v>
      </c>
      <c r="F158">
        <v>3.3341123100000001</v>
      </c>
      <c r="G158">
        <v>1.3138916599999999</v>
      </c>
      <c r="H158">
        <v>2.67991768</v>
      </c>
      <c r="I158">
        <v>9.8609400000000003E-3</v>
      </c>
      <c r="J158">
        <v>1</v>
      </c>
      <c r="K158">
        <v>950004</v>
      </c>
      <c r="L158">
        <f t="shared" si="14"/>
        <v>1.2823508884615385E-2</v>
      </c>
      <c r="M158">
        <f t="shared" si="15"/>
        <v>5.053429461538461E-3</v>
      </c>
      <c r="N158">
        <f t="shared" si="16"/>
        <v>1.0307375692307693E-2</v>
      </c>
      <c r="O158">
        <f t="shared" si="17"/>
        <v>7.6804025769230764E-3</v>
      </c>
      <c r="P158">
        <f t="shared" si="13"/>
        <v>13.74732015325092</v>
      </c>
      <c r="R158">
        <f t="shared" si="18"/>
        <v>-1.5427140030853663E-3</v>
      </c>
    </row>
    <row r="159" spans="1:19" x14ac:dyDescent="0.2">
      <c r="A159" t="s">
        <v>170</v>
      </c>
      <c r="B159">
        <v>5.6473308600000003</v>
      </c>
      <c r="C159">
        <v>0.1676781</v>
      </c>
      <c r="D159">
        <v>5.7870356699999999</v>
      </c>
      <c r="E159">
        <v>0.53337177000000002</v>
      </c>
      <c r="F159">
        <v>3.3207273599999998</v>
      </c>
      <c r="G159">
        <v>1.29955632</v>
      </c>
      <c r="H159">
        <v>2.6252038999999998</v>
      </c>
      <c r="I159">
        <v>9.6783300000000006E-3</v>
      </c>
      <c r="J159">
        <v>1</v>
      </c>
      <c r="K159">
        <v>950004</v>
      </c>
      <c r="L159">
        <f t="shared" si="14"/>
        <v>1.2772028307692307E-2</v>
      </c>
      <c r="M159">
        <f t="shared" si="15"/>
        <v>4.9982935384615384E-3</v>
      </c>
      <c r="N159">
        <f t="shared" si="16"/>
        <v>1.0096938076923077E-2</v>
      </c>
      <c r="O159">
        <f t="shared" si="17"/>
        <v>7.5476158076923068E-3</v>
      </c>
      <c r="P159">
        <f t="shared" si="13"/>
        <v>9.488639453602536</v>
      </c>
      <c r="R159">
        <f t="shared" si="18"/>
        <v>-1.0215768097718433E-3</v>
      </c>
    </row>
    <row r="160" spans="1:19" x14ac:dyDescent="0.2">
      <c r="A160" t="s">
        <v>171</v>
      </c>
      <c r="B160">
        <v>5.5936060799999998</v>
      </c>
      <c r="C160">
        <v>0.10232325</v>
      </c>
      <c r="D160">
        <v>5.7353428600000003</v>
      </c>
      <c r="E160">
        <v>0.73091687000000005</v>
      </c>
      <c r="F160">
        <v>3.3052953</v>
      </c>
      <c r="G160">
        <v>1.2840659999999999</v>
      </c>
      <c r="H160">
        <v>2.5711580399999998</v>
      </c>
      <c r="I160">
        <v>9.6783300000000006E-3</v>
      </c>
      <c r="J160">
        <v>1</v>
      </c>
      <c r="K160">
        <v>950004</v>
      </c>
      <c r="L160">
        <f t="shared" si="14"/>
        <v>1.271267423076923E-2</v>
      </c>
      <c r="M160">
        <f t="shared" si="15"/>
        <v>4.9387153846153845E-3</v>
      </c>
      <c r="N160">
        <f t="shared" si="16"/>
        <v>9.8890693846153833E-3</v>
      </c>
      <c r="O160">
        <f t="shared" si="17"/>
        <v>7.4138923846153839E-3</v>
      </c>
      <c r="P160">
        <f t="shared" si="13"/>
        <v>5.7903114775920992</v>
      </c>
      <c r="R160">
        <f t="shared" si="18"/>
        <v>-4.2368563691284764E-4</v>
      </c>
    </row>
    <row r="161" spans="1:19" x14ac:dyDescent="0.2">
      <c r="A161" t="s">
        <v>172</v>
      </c>
      <c r="B161">
        <v>5.5531178399999996</v>
      </c>
      <c r="C161">
        <v>5.4792449999999999E-2</v>
      </c>
      <c r="D161">
        <v>5.6903035800000001</v>
      </c>
      <c r="E161">
        <v>1.0272345199999999</v>
      </c>
      <c r="F161">
        <v>3.2893908299999999</v>
      </c>
      <c r="G161">
        <v>1.2728558999999999</v>
      </c>
      <c r="H161">
        <v>2.5328083000000001</v>
      </c>
      <c r="I161">
        <v>9.6783300000000006E-3</v>
      </c>
      <c r="J161">
        <v>1</v>
      </c>
      <c r="K161">
        <v>950004</v>
      </c>
      <c r="L161">
        <f t="shared" si="14"/>
        <v>1.2651503192307692E-2</v>
      </c>
      <c r="M161">
        <f t="shared" si="15"/>
        <v>4.8955996153846153E-3</v>
      </c>
      <c r="N161">
        <f t="shared" si="16"/>
        <v>9.7415703846153844E-3</v>
      </c>
      <c r="O161">
        <f t="shared" si="17"/>
        <v>7.3185849999999998E-3</v>
      </c>
      <c r="P161">
        <f t="shared" si="13"/>
        <v>3.1006184041299627</v>
      </c>
      <c r="R161">
        <f t="shared" si="18"/>
        <v>-8.3333619099684668E-5</v>
      </c>
    </row>
    <row r="162" spans="1:19" x14ac:dyDescent="0.2">
      <c r="A162" t="s">
        <v>173</v>
      </c>
      <c r="B162">
        <v>5.5396217600000002</v>
      </c>
      <c r="C162">
        <v>4.9115159999999998E-2</v>
      </c>
      <c r="D162">
        <v>5.6775083300000002</v>
      </c>
      <c r="E162">
        <v>1.1457615800000001</v>
      </c>
      <c r="F162">
        <v>3.26687262</v>
      </c>
      <c r="G162">
        <v>1.2695268399999999</v>
      </c>
      <c r="H162">
        <v>2.521398</v>
      </c>
      <c r="I162">
        <v>9.6783300000000006E-3</v>
      </c>
      <c r="J162">
        <v>1</v>
      </c>
      <c r="K162">
        <v>950004</v>
      </c>
      <c r="L162">
        <f t="shared" si="14"/>
        <v>1.2564894692307692E-2</v>
      </c>
      <c r="M162">
        <f t="shared" si="15"/>
        <v>4.882795538461538E-3</v>
      </c>
      <c r="N162">
        <f t="shared" si="16"/>
        <v>9.6976846153846163E-3</v>
      </c>
      <c r="O162">
        <f t="shared" si="17"/>
        <v>7.2902400769230763E-3</v>
      </c>
      <c r="P162">
        <f t="shared" si="13"/>
        <v>2.7793495092442075</v>
      </c>
      <c r="R162">
        <f t="shared" si="18"/>
        <v>1.6921950146271157E-4</v>
      </c>
    </row>
    <row r="163" spans="1:19" x14ac:dyDescent="0.2">
      <c r="A163" t="s">
        <v>174</v>
      </c>
      <c r="B163">
        <v>5.5562323200000003</v>
      </c>
      <c r="C163">
        <v>0.10522790999999999</v>
      </c>
      <c r="D163">
        <v>5.6964452999999997</v>
      </c>
      <c r="E163">
        <v>1.1457615800000001</v>
      </c>
      <c r="F163">
        <v>3.24813369</v>
      </c>
      <c r="G163">
        <v>1.2689153799999999</v>
      </c>
      <c r="H163">
        <v>2.5421591800000001</v>
      </c>
      <c r="I163">
        <v>9.6783300000000006E-3</v>
      </c>
      <c r="J163">
        <v>1</v>
      </c>
      <c r="K163">
        <v>950004</v>
      </c>
      <c r="L163">
        <f t="shared" si="14"/>
        <v>1.2492821884615384E-2</v>
      </c>
      <c r="M163">
        <f t="shared" si="15"/>
        <v>4.8804437692307693E-3</v>
      </c>
      <c r="N163">
        <f t="shared" si="16"/>
        <v>9.7775353076923078E-3</v>
      </c>
      <c r="O163">
        <f t="shared" si="17"/>
        <v>7.3289895384615377E-3</v>
      </c>
      <c r="P163">
        <f t="shared" si="13"/>
        <v>5.9546816098592297</v>
      </c>
      <c r="R163">
        <f t="shared" si="18"/>
        <v>7.8849633371765385E-4</v>
      </c>
    </row>
    <row r="164" spans="1:19" x14ac:dyDescent="0.2">
      <c r="A164" t="s">
        <v>175</v>
      </c>
      <c r="B164">
        <v>5.5967205599999996</v>
      </c>
      <c r="C164">
        <v>0.18695448000000001</v>
      </c>
      <c r="D164">
        <v>5.7430200100000004</v>
      </c>
      <c r="E164">
        <v>1.0272345199999999</v>
      </c>
      <c r="F164">
        <v>3.23805561</v>
      </c>
      <c r="G164">
        <v>1.2757093799999999</v>
      </c>
      <c r="H164">
        <v>2.5849617199999999</v>
      </c>
      <c r="I164">
        <v>9.8609400000000003E-3</v>
      </c>
      <c r="J164">
        <v>1</v>
      </c>
      <c r="K164">
        <v>950005</v>
      </c>
      <c r="L164">
        <f t="shared" si="14"/>
        <v>1.2454060038461539E-2</v>
      </c>
      <c r="M164">
        <f t="shared" si="15"/>
        <v>4.9065745384615379E-3</v>
      </c>
      <c r="N164">
        <f t="shared" si="16"/>
        <v>9.9421604615384605E-3</v>
      </c>
      <c r="O164">
        <f t="shared" si="17"/>
        <v>7.4243675E-3</v>
      </c>
      <c r="P164">
        <f t="shared" si="13"/>
        <v>10.579459422284403</v>
      </c>
      <c r="Q164">
        <f t="shared" ref="Q164" si="20">ABS(0.5*(SUMPRODUCT(O164:O182,P165:P183)+O183*P164-(SUMPRODUCT(O165:O183,P164:P182)+O164*P183)))</f>
        <v>5.1973320414742119E-3</v>
      </c>
      <c r="R164">
        <f t="shared" si="18"/>
        <v>1.8142783929764596E-3</v>
      </c>
    </row>
    <row r="165" spans="1:19" x14ac:dyDescent="0.2">
      <c r="A165" t="s">
        <v>176</v>
      </c>
      <c r="B165">
        <v>5.6496667199999999</v>
      </c>
      <c r="C165">
        <v>0.28280825999999998</v>
      </c>
      <c r="D165">
        <v>5.8008545399999996</v>
      </c>
      <c r="E165">
        <v>0.84944392999999996</v>
      </c>
      <c r="F165">
        <v>3.2308119899999999</v>
      </c>
      <c r="G165">
        <v>1.2896370800000001</v>
      </c>
      <c r="H165">
        <v>2.6420132199999999</v>
      </c>
      <c r="I165">
        <v>9.8609400000000003E-3</v>
      </c>
      <c r="J165">
        <v>1</v>
      </c>
      <c r="K165">
        <v>950005</v>
      </c>
      <c r="L165">
        <f t="shared" si="14"/>
        <v>1.2426199961538461E-2</v>
      </c>
      <c r="M165">
        <f t="shared" si="15"/>
        <v>4.9601426153846155E-3</v>
      </c>
      <c r="N165">
        <f t="shared" si="16"/>
        <v>1.0161589307692308E-2</v>
      </c>
      <c r="O165">
        <f t="shared" si="17"/>
        <v>7.5608659615384616E-3</v>
      </c>
      <c r="P165">
        <f t="shared" si="13"/>
        <v>16.003673787099711</v>
      </c>
      <c r="R165">
        <f t="shared" si="18"/>
        <v>2.896984261257582E-3</v>
      </c>
    </row>
    <row r="166" spans="1:19" x14ac:dyDescent="0.2">
      <c r="A166" t="s">
        <v>177</v>
      </c>
      <c r="B166">
        <v>5.7075441400000004</v>
      </c>
      <c r="C166">
        <v>0.39199707</v>
      </c>
      <c r="D166">
        <v>5.8714843200000004</v>
      </c>
      <c r="E166">
        <v>0.73091687000000005</v>
      </c>
      <c r="F166">
        <v>3.22844994</v>
      </c>
      <c r="G166">
        <v>1.30519534</v>
      </c>
      <c r="H166">
        <v>2.7053543000000002</v>
      </c>
      <c r="I166">
        <v>9.8609400000000003E-3</v>
      </c>
      <c r="J166">
        <v>1</v>
      </c>
      <c r="K166">
        <v>950005</v>
      </c>
      <c r="L166">
        <f t="shared" si="14"/>
        <v>1.2417115153846154E-2</v>
      </c>
      <c r="M166">
        <f t="shared" si="15"/>
        <v>5.0199820769230774E-3</v>
      </c>
      <c r="N166">
        <f t="shared" si="16"/>
        <v>1.0405208846153848E-2</v>
      </c>
      <c r="O166">
        <f t="shared" si="17"/>
        <v>7.7125954615384629E-3</v>
      </c>
      <c r="P166">
        <f t="shared" si="13"/>
        <v>22.18249648641412</v>
      </c>
      <c r="R166">
        <f t="shared" si="18"/>
        <v>3.8257915594836927E-3</v>
      </c>
    </row>
    <row r="167" spans="1:19" x14ac:dyDescent="0.2">
      <c r="A167" t="s">
        <v>178</v>
      </c>
      <c r="B167">
        <v>5.7724291399999998</v>
      </c>
      <c r="C167">
        <v>0.52627157999999996</v>
      </c>
      <c r="D167">
        <v>5.9385314300000003</v>
      </c>
      <c r="E167">
        <v>0.67165333999999999</v>
      </c>
      <c r="F167">
        <v>3.2355360900000001</v>
      </c>
      <c r="G167">
        <v>1.31925892</v>
      </c>
      <c r="H167">
        <v>2.76786048</v>
      </c>
      <c r="I167">
        <v>9.8609400000000003E-3</v>
      </c>
      <c r="J167">
        <v>1</v>
      </c>
      <c r="K167">
        <v>950005</v>
      </c>
      <c r="L167">
        <f t="shared" si="14"/>
        <v>1.2444369576923077E-2</v>
      </c>
      <c r="M167">
        <f t="shared" si="15"/>
        <v>5.0740727692307691E-3</v>
      </c>
      <c r="N167">
        <f t="shared" si="16"/>
        <v>1.0645617230769231E-2</v>
      </c>
      <c r="O167">
        <f t="shared" si="17"/>
        <v>7.859844999999999E-3</v>
      </c>
      <c r="P167">
        <f t="shared" si="13"/>
        <v>29.780879418944654</v>
      </c>
      <c r="R167">
        <f t="shared" si="18"/>
        <v>4.4312836805413388E-3</v>
      </c>
    </row>
    <row r="168" spans="1:19" x14ac:dyDescent="0.2">
      <c r="A168" t="s">
        <v>179</v>
      </c>
      <c r="B168">
        <v>5.83264242</v>
      </c>
      <c r="C168">
        <v>0.70596440999999999</v>
      </c>
      <c r="D168">
        <v>6.0055785400000001</v>
      </c>
      <c r="E168">
        <v>0.61238981000000003</v>
      </c>
      <c r="F168">
        <v>3.2500233299999999</v>
      </c>
      <c r="G168">
        <v>1.33046902</v>
      </c>
      <c r="H168">
        <v>2.82274124</v>
      </c>
      <c r="I168">
        <v>9.6783300000000006E-3</v>
      </c>
      <c r="J168">
        <v>1</v>
      </c>
      <c r="K168">
        <v>950005</v>
      </c>
      <c r="L168">
        <f t="shared" si="14"/>
        <v>1.2500089730769231E-2</v>
      </c>
      <c r="M168">
        <f t="shared" si="15"/>
        <v>5.1171885384615383E-3</v>
      </c>
      <c r="N168">
        <f t="shared" si="16"/>
        <v>1.0856697076923078E-2</v>
      </c>
      <c r="O168">
        <f t="shared" si="17"/>
        <v>7.9869428076923075E-3</v>
      </c>
      <c r="P168">
        <f t="shared" si="13"/>
        <v>39.949413510561229</v>
      </c>
      <c r="R168">
        <f t="shared" si="18"/>
        <v>2.8275075622750715E-3</v>
      </c>
    </row>
    <row r="169" spans="1:19" x14ac:dyDescent="0.2">
      <c r="A169" t="s">
        <v>180</v>
      </c>
      <c r="B169">
        <v>5.8731306600000002</v>
      </c>
      <c r="C169">
        <v>0.82597967999999999</v>
      </c>
      <c r="D169">
        <v>6.0414052399999996</v>
      </c>
      <c r="E169">
        <v>0.61238981000000003</v>
      </c>
      <c r="F169">
        <v>3.2624634600000002</v>
      </c>
      <c r="G169">
        <v>1.3358362800000001</v>
      </c>
      <c r="H169">
        <v>2.8512948200000001</v>
      </c>
      <c r="I169">
        <v>9.6783300000000006E-3</v>
      </c>
      <c r="J169">
        <v>1</v>
      </c>
      <c r="K169">
        <v>950005</v>
      </c>
      <c r="L169">
        <f t="shared" si="14"/>
        <v>1.2547936384615386E-2</v>
      </c>
      <c r="M169">
        <f t="shared" si="15"/>
        <v>5.1378318461538465E-3</v>
      </c>
      <c r="N169">
        <f t="shared" si="16"/>
        <v>1.0966518538461539E-2</v>
      </c>
      <c r="O169">
        <f t="shared" si="17"/>
        <v>8.0521751923076923E-3</v>
      </c>
      <c r="P169">
        <f t="shared" si="13"/>
        <v>46.74088852105313</v>
      </c>
      <c r="R169">
        <f t="shared" si="18"/>
        <v>8.4152886678644494E-4</v>
      </c>
    </row>
    <row r="170" spans="1:19" x14ac:dyDescent="0.2">
      <c r="A170" t="s">
        <v>181</v>
      </c>
      <c r="B170">
        <v>5.8816954800000003</v>
      </c>
      <c r="C170">
        <v>0.85264974000000004</v>
      </c>
      <c r="D170">
        <v>6.0511296300000001</v>
      </c>
      <c r="E170">
        <v>0.53337177000000002</v>
      </c>
      <c r="F170">
        <v>3.27742311</v>
      </c>
      <c r="G170">
        <v>1.3369233199999999</v>
      </c>
      <c r="H170">
        <v>2.85942118</v>
      </c>
      <c r="I170">
        <v>9.8609400000000003E-3</v>
      </c>
      <c r="J170">
        <v>1</v>
      </c>
      <c r="K170">
        <v>950005</v>
      </c>
      <c r="L170">
        <f t="shared" si="14"/>
        <v>1.26054735E-2</v>
      </c>
      <c r="M170">
        <f t="shared" si="15"/>
        <v>5.142012769230769E-3</v>
      </c>
      <c r="N170">
        <f t="shared" si="16"/>
        <v>1.099777376923077E-2</v>
      </c>
      <c r="O170">
        <f t="shared" si="17"/>
        <v>8.0698932692307695E-3</v>
      </c>
      <c r="P170">
        <f t="shared" si="13"/>
        <v>48.250105190051329</v>
      </c>
      <c r="R170">
        <f t="shared" si="18"/>
        <v>2.9102573567683362E-4</v>
      </c>
      <c r="S170">
        <f>ABS(SUMIFS($R:$R,$K:$K,K170))</f>
        <v>5.2298155879999982E-3</v>
      </c>
    </row>
    <row r="171" spans="1:19" x14ac:dyDescent="0.2">
      <c r="A171" t="s">
        <v>182</v>
      </c>
      <c r="B171">
        <v>5.8824740999999996</v>
      </c>
      <c r="C171">
        <v>0.85344191999999997</v>
      </c>
      <c r="D171">
        <v>6.0511296300000001</v>
      </c>
      <c r="E171">
        <v>0.53337177000000002</v>
      </c>
      <c r="F171">
        <v>3.2947448100000001</v>
      </c>
      <c r="G171">
        <v>1.3373309600000001</v>
      </c>
      <c r="H171">
        <v>2.8621485199999999</v>
      </c>
      <c r="I171">
        <v>9.6783300000000006E-3</v>
      </c>
      <c r="J171">
        <v>1</v>
      </c>
      <c r="K171">
        <v>950005</v>
      </c>
      <c r="L171">
        <f t="shared" si="14"/>
        <v>1.2672095423076924E-2</v>
      </c>
      <c r="M171">
        <f t="shared" si="15"/>
        <v>5.1435806153846157E-3</v>
      </c>
      <c r="N171">
        <f t="shared" si="16"/>
        <v>1.1008263538461538E-2</v>
      </c>
      <c r="O171">
        <f t="shared" si="17"/>
        <v>8.0759220769230766E-3</v>
      </c>
      <c r="P171">
        <f t="shared" si="13"/>
        <v>48.294933407942359</v>
      </c>
      <c r="R171">
        <f t="shared" si="18"/>
        <v>-3.5522550124849188E-5</v>
      </c>
    </row>
    <row r="172" spans="1:19" x14ac:dyDescent="0.2">
      <c r="A172" t="s">
        <v>183</v>
      </c>
      <c r="B172">
        <v>5.8785809999999996</v>
      </c>
      <c r="C172">
        <v>0.81871802999999999</v>
      </c>
      <c r="D172">
        <v>6.04754696</v>
      </c>
      <c r="E172">
        <v>0.53337177000000002</v>
      </c>
      <c r="F172">
        <v>3.3086021699999999</v>
      </c>
      <c r="G172">
        <v>1.3379424200000001</v>
      </c>
      <c r="H172">
        <v>2.8611466399999999</v>
      </c>
      <c r="I172">
        <v>9.4957199999999992E-3</v>
      </c>
      <c r="J172">
        <v>1</v>
      </c>
      <c r="K172">
        <v>950005</v>
      </c>
      <c r="L172">
        <f t="shared" si="14"/>
        <v>1.2725392961538462E-2</v>
      </c>
      <c r="M172">
        <f t="shared" si="15"/>
        <v>5.1459323846153853E-3</v>
      </c>
      <c r="N172">
        <f t="shared" si="16"/>
        <v>1.1004410153846154E-2</v>
      </c>
      <c r="O172">
        <f t="shared" si="17"/>
        <v>8.0751712692307704E-3</v>
      </c>
      <c r="P172">
        <f t="shared" si="13"/>
        <v>46.3299631903853</v>
      </c>
      <c r="R172">
        <f t="shared" si="18"/>
        <v>-1.0179845630321187E-3</v>
      </c>
    </row>
    <row r="173" spans="1:19" x14ac:dyDescent="0.2">
      <c r="A173" t="s">
        <v>184</v>
      </c>
      <c r="B173">
        <v>5.8643063</v>
      </c>
      <c r="C173">
        <v>0.70913313</v>
      </c>
      <c r="D173">
        <v>6.0337280900000003</v>
      </c>
      <c r="E173">
        <v>0.53337177000000002</v>
      </c>
      <c r="F173">
        <v>3.3177354299999999</v>
      </c>
      <c r="G173">
        <v>1.3379424200000001</v>
      </c>
      <c r="H173">
        <v>2.8489014400000001</v>
      </c>
      <c r="I173">
        <v>9.6783300000000006E-3</v>
      </c>
      <c r="J173">
        <v>1</v>
      </c>
      <c r="K173">
        <v>950005</v>
      </c>
      <c r="L173">
        <f t="shared" si="14"/>
        <v>1.2760520884615384E-2</v>
      </c>
      <c r="M173">
        <f t="shared" si="15"/>
        <v>5.1459323846153853E-3</v>
      </c>
      <c r="N173">
        <f t="shared" si="16"/>
        <v>1.0957313230769232E-2</v>
      </c>
      <c r="O173">
        <f t="shared" si="17"/>
        <v>8.0516228076923067E-3</v>
      </c>
      <c r="P173">
        <f t="shared" si="13"/>
        <v>40.128726382125372</v>
      </c>
      <c r="R173">
        <f t="shared" si="18"/>
        <v>-9.4484381328062016E-4</v>
      </c>
    </row>
    <row r="174" spans="1:19" x14ac:dyDescent="0.2">
      <c r="A174" t="s">
        <v>185</v>
      </c>
      <c r="B174">
        <v>5.84847436</v>
      </c>
      <c r="C174">
        <v>0.61842852000000004</v>
      </c>
      <c r="D174">
        <v>6.0178619800000002</v>
      </c>
      <c r="E174">
        <v>0.47410824000000001</v>
      </c>
      <c r="F174">
        <v>3.3298606199999998</v>
      </c>
      <c r="G174">
        <v>1.3379424200000001</v>
      </c>
      <c r="H174">
        <v>2.8358213399999999</v>
      </c>
      <c r="I174">
        <v>9.8609400000000003E-3</v>
      </c>
      <c r="J174">
        <v>1</v>
      </c>
      <c r="K174">
        <v>950005</v>
      </c>
      <c r="L174">
        <f t="shared" si="14"/>
        <v>1.280715623076923E-2</v>
      </c>
      <c r="M174">
        <f t="shared" si="15"/>
        <v>5.1459323846153853E-3</v>
      </c>
      <c r="N174">
        <f t="shared" si="16"/>
        <v>1.0907005153846154E-2</v>
      </c>
      <c r="O174">
        <f t="shared" si="17"/>
        <v>8.0264687692307695E-3</v>
      </c>
      <c r="P174">
        <f t="shared" si="13"/>
        <v>34.995895433601802</v>
      </c>
      <c r="R174">
        <f t="shared" si="18"/>
        <v>-1.4515740550195215E-3</v>
      </c>
    </row>
    <row r="175" spans="1:19" x14ac:dyDescent="0.2">
      <c r="A175" t="s">
        <v>186</v>
      </c>
      <c r="B175">
        <v>5.8271920799999997</v>
      </c>
      <c r="C175">
        <v>0.52099037999999998</v>
      </c>
      <c r="D175">
        <v>5.9948305299999998</v>
      </c>
      <c r="E175">
        <v>0.47410824000000001</v>
      </c>
      <c r="F175">
        <v>3.33694677</v>
      </c>
      <c r="G175">
        <v>1.33712714</v>
      </c>
      <c r="H175">
        <v>2.8132233800000002</v>
      </c>
      <c r="I175">
        <v>9.8609400000000003E-3</v>
      </c>
      <c r="J175">
        <v>1</v>
      </c>
      <c r="K175">
        <v>950005</v>
      </c>
      <c r="L175">
        <f t="shared" si="14"/>
        <v>1.2834410653846154E-2</v>
      </c>
      <c r="M175">
        <f t="shared" si="15"/>
        <v>5.1427966923076919E-3</v>
      </c>
      <c r="N175">
        <f t="shared" si="16"/>
        <v>1.0820089923076924E-2</v>
      </c>
      <c r="O175">
        <f t="shared" si="17"/>
        <v>7.9814433076923069E-3</v>
      </c>
      <c r="P175">
        <f t="shared" si="13"/>
        <v>29.482024633004418</v>
      </c>
      <c r="R175">
        <f t="shared" si="18"/>
        <v>-2.0522727770666935E-3</v>
      </c>
    </row>
    <row r="176" spans="1:19" x14ac:dyDescent="0.2">
      <c r="A176" t="s">
        <v>187</v>
      </c>
      <c r="B176">
        <v>5.7939709600000002</v>
      </c>
      <c r="C176">
        <v>0.41827103999999998</v>
      </c>
      <c r="D176">
        <v>5.9477440100000001</v>
      </c>
      <c r="E176">
        <v>0.47410824000000001</v>
      </c>
      <c r="F176">
        <v>3.3380490599999999</v>
      </c>
      <c r="G176">
        <v>1.3329827999999999</v>
      </c>
      <c r="H176">
        <v>2.7772113599999999</v>
      </c>
      <c r="I176">
        <v>9.8609400000000003E-3</v>
      </c>
      <c r="J176">
        <v>1</v>
      </c>
      <c r="K176">
        <v>950005</v>
      </c>
      <c r="L176">
        <f t="shared" si="14"/>
        <v>1.283865023076923E-2</v>
      </c>
      <c r="M176">
        <f t="shared" si="15"/>
        <v>5.126856923076923E-3</v>
      </c>
      <c r="N176">
        <f t="shared" si="16"/>
        <v>1.0681582153846153E-2</v>
      </c>
      <c r="O176">
        <f t="shared" si="17"/>
        <v>7.904219538461538E-3</v>
      </c>
      <c r="P176">
        <f t="shared" si="13"/>
        <v>23.669299046466801</v>
      </c>
      <c r="R176">
        <f t="shared" si="18"/>
        <v>-2.1932455244637722E-3</v>
      </c>
    </row>
    <row r="177" spans="1:19" x14ac:dyDescent="0.2">
      <c r="A177" t="s">
        <v>188</v>
      </c>
      <c r="B177">
        <v>5.7472537600000004</v>
      </c>
      <c r="C177">
        <v>0.32479380000000002</v>
      </c>
      <c r="D177">
        <v>5.8945157699999999</v>
      </c>
      <c r="E177">
        <v>0.47410824000000001</v>
      </c>
      <c r="F177">
        <v>3.33694677</v>
      </c>
      <c r="G177">
        <v>1.3251017599999999</v>
      </c>
      <c r="H177">
        <v>2.7308465800000001</v>
      </c>
      <c r="I177">
        <v>9.6783300000000006E-3</v>
      </c>
      <c r="J177">
        <v>1</v>
      </c>
      <c r="K177">
        <v>950005</v>
      </c>
      <c r="L177">
        <f t="shared" si="14"/>
        <v>1.2834410653846154E-2</v>
      </c>
      <c r="M177">
        <f t="shared" si="15"/>
        <v>5.0965452307692302E-3</v>
      </c>
      <c r="N177">
        <f t="shared" si="16"/>
        <v>1.0503256076923078E-2</v>
      </c>
      <c r="O177">
        <f t="shared" si="17"/>
        <v>7.7999006538461545E-3</v>
      </c>
      <c r="P177">
        <f t="shared" si="13"/>
        <v>18.3795693353246</v>
      </c>
      <c r="R177">
        <f t="shared" si="18"/>
        <v>-2.0010800100086841E-3</v>
      </c>
    </row>
    <row r="178" spans="1:19" x14ac:dyDescent="0.2">
      <c r="A178" t="s">
        <v>189</v>
      </c>
      <c r="B178">
        <v>5.6971625399999999</v>
      </c>
      <c r="C178">
        <v>0.24055866000000001</v>
      </c>
      <c r="D178">
        <v>5.8417993399999997</v>
      </c>
      <c r="E178">
        <v>0.47410824000000001</v>
      </c>
      <c r="F178">
        <v>3.3331674900000001</v>
      </c>
      <c r="G178">
        <v>1.31287256</v>
      </c>
      <c r="H178">
        <v>2.6780252400000002</v>
      </c>
      <c r="I178">
        <v>9.8609400000000003E-3</v>
      </c>
      <c r="J178">
        <v>1</v>
      </c>
      <c r="K178">
        <v>950005</v>
      </c>
      <c r="L178">
        <f t="shared" si="14"/>
        <v>1.2819874961538462E-2</v>
      </c>
      <c r="M178">
        <f t="shared" si="15"/>
        <v>5.0495098461538464E-3</v>
      </c>
      <c r="N178">
        <f t="shared" si="16"/>
        <v>1.0300097076923078E-2</v>
      </c>
      <c r="O178">
        <f t="shared" si="17"/>
        <v>7.6748034615384611E-3</v>
      </c>
      <c r="P178">
        <f t="shared" si="13"/>
        <v>13.612835499577812</v>
      </c>
      <c r="R178">
        <f t="shared" si="18"/>
        <v>-1.5205302117531001E-3</v>
      </c>
    </row>
    <row r="179" spans="1:19" x14ac:dyDescent="0.2">
      <c r="A179" t="s">
        <v>190</v>
      </c>
      <c r="B179">
        <v>5.6488880999999997</v>
      </c>
      <c r="C179">
        <v>0.16556562</v>
      </c>
      <c r="D179">
        <v>5.7855002400000002</v>
      </c>
      <c r="E179">
        <v>0.53337177000000002</v>
      </c>
      <c r="F179">
        <v>3.3216721800000002</v>
      </c>
      <c r="G179">
        <v>1.29894486</v>
      </c>
      <c r="H179">
        <v>2.6231444800000001</v>
      </c>
      <c r="I179">
        <v>1.004355E-2</v>
      </c>
      <c r="J179">
        <v>1</v>
      </c>
      <c r="K179">
        <v>950005</v>
      </c>
      <c r="L179">
        <f t="shared" si="14"/>
        <v>1.2775662230769232E-2</v>
      </c>
      <c r="M179">
        <f t="shared" si="15"/>
        <v>4.9959417692307688E-3</v>
      </c>
      <c r="N179">
        <f t="shared" si="16"/>
        <v>1.0089017230769231E-2</v>
      </c>
      <c r="O179">
        <f t="shared" si="17"/>
        <v>7.542479500000001E-3</v>
      </c>
      <c r="P179">
        <f t="shared" si="13"/>
        <v>9.3690975392264413</v>
      </c>
      <c r="R179">
        <f t="shared" si="18"/>
        <v>-9.934949564494209E-4</v>
      </c>
    </row>
    <row r="180" spans="1:19" x14ac:dyDescent="0.2">
      <c r="A180" t="s">
        <v>191</v>
      </c>
      <c r="B180">
        <v>5.5936060799999998</v>
      </c>
      <c r="C180">
        <v>9.9154530000000005E-2</v>
      </c>
      <c r="D180">
        <v>5.732272</v>
      </c>
      <c r="E180">
        <v>0.73091687000000005</v>
      </c>
      <c r="F180">
        <v>3.3034056600000001</v>
      </c>
      <c r="G180">
        <v>1.28379424</v>
      </c>
      <c r="H180">
        <v>2.5693212600000002</v>
      </c>
      <c r="I180">
        <v>1.004355E-2</v>
      </c>
      <c r="J180">
        <v>1</v>
      </c>
      <c r="K180">
        <v>950005</v>
      </c>
      <c r="L180">
        <f t="shared" si="14"/>
        <v>1.2705406384615385E-2</v>
      </c>
      <c r="M180">
        <f t="shared" si="15"/>
        <v>4.9376701538461536E-3</v>
      </c>
      <c r="N180">
        <f t="shared" si="16"/>
        <v>9.8820048461538464E-3</v>
      </c>
      <c r="O180">
        <f t="shared" si="17"/>
        <v>7.4098375000000005E-3</v>
      </c>
      <c r="P180">
        <f t="shared" si="13"/>
        <v>5.6109986060279571</v>
      </c>
      <c r="R180">
        <f t="shared" si="18"/>
        <v>-3.9785086223725251E-4</v>
      </c>
    </row>
    <row r="181" spans="1:19" x14ac:dyDescent="0.2">
      <c r="A181" t="s">
        <v>192</v>
      </c>
      <c r="B181">
        <v>5.5523392200000004</v>
      </c>
      <c r="C181">
        <v>5.4396359999999998E-2</v>
      </c>
      <c r="D181">
        <v>5.6933744400000004</v>
      </c>
      <c r="E181">
        <v>1.0864980500000001</v>
      </c>
      <c r="F181">
        <v>3.28608396</v>
      </c>
      <c r="G181">
        <v>1.2728558999999999</v>
      </c>
      <c r="H181">
        <v>2.5326413200000002</v>
      </c>
      <c r="I181">
        <v>1.004355E-2</v>
      </c>
      <c r="J181">
        <v>1</v>
      </c>
      <c r="K181">
        <v>950005</v>
      </c>
      <c r="L181">
        <f t="shared" si="14"/>
        <v>1.2638784461538462E-2</v>
      </c>
      <c r="M181">
        <f t="shared" si="15"/>
        <v>4.8955996153846153E-3</v>
      </c>
      <c r="N181">
        <f t="shared" si="16"/>
        <v>9.740928153846154E-3</v>
      </c>
      <c r="O181">
        <f t="shared" si="17"/>
        <v>7.3182638846153855E-3</v>
      </c>
      <c r="P181">
        <f t="shared" si="13"/>
        <v>3.0782042951844448</v>
      </c>
      <c r="R181">
        <f t="shared" si="18"/>
        <v>-7.728826695929676E-5</v>
      </c>
    </row>
    <row r="182" spans="1:19" x14ac:dyDescent="0.2">
      <c r="A182" t="s">
        <v>193</v>
      </c>
      <c r="B182">
        <v>5.5404003800000003</v>
      </c>
      <c r="C182">
        <v>5.2019820000000001E-2</v>
      </c>
      <c r="D182">
        <v>5.6836500499999998</v>
      </c>
      <c r="E182">
        <v>1.20502511</v>
      </c>
      <c r="F182">
        <v>3.26781744</v>
      </c>
      <c r="G182">
        <v>1.2695268399999999</v>
      </c>
      <c r="H182">
        <v>2.5226225200000001</v>
      </c>
      <c r="I182">
        <v>9.8609400000000003E-3</v>
      </c>
      <c r="J182">
        <v>1</v>
      </c>
      <c r="K182">
        <v>950005</v>
      </c>
      <c r="L182">
        <f t="shared" si="14"/>
        <v>1.2568528615384615E-2</v>
      </c>
      <c r="M182">
        <f t="shared" si="15"/>
        <v>4.882795538461538E-3</v>
      </c>
      <c r="N182">
        <f t="shared" si="16"/>
        <v>9.7023943076923087E-3</v>
      </c>
      <c r="O182">
        <f t="shared" si="17"/>
        <v>7.2925949230769225E-3</v>
      </c>
      <c r="P182">
        <f t="shared" si="13"/>
        <v>2.9437196415113385</v>
      </c>
      <c r="R182">
        <f t="shared" si="18"/>
        <v>1.8751802640889898E-4</v>
      </c>
    </row>
    <row r="183" spans="1:19" x14ac:dyDescent="0.2">
      <c r="A183" t="s">
        <v>194</v>
      </c>
      <c r="B183">
        <v>5.55856818</v>
      </c>
      <c r="C183">
        <v>0.11077317</v>
      </c>
      <c r="D183">
        <v>5.7025870200000002</v>
      </c>
      <c r="E183">
        <v>1.1457615800000001</v>
      </c>
      <c r="F183">
        <v>3.24718887</v>
      </c>
      <c r="G183">
        <v>1.2693230200000001</v>
      </c>
      <c r="H183">
        <v>2.5439959600000002</v>
      </c>
      <c r="I183">
        <v>9.8609400000000003E-3</v>
      </c>
      <c r="J183">
        <v>1</v>
      </c>
      <c r="K183">
        <v>950005</v>
      </c>
      <c r="L183">
        <f t="shared" si="14"/>
        <v>1.2489187961538462E-2</v>
      </c>
      <c r="M183">
        <f t="shared" si="15"/>
        <v>4.882011615384616E-3</v>
      </c>
      <c r="N183">
        <f t="shared" si="16"/>
        <v>9.7845998461538464E-3</v>
      </c>
      <c r="O183">
        <f t="shared" si="17"/>
        <v>7.3333057307692307E-3</v>
      </c>
      <c r="P183">
        <f t="shared" si="13"/>
        <v>6.268479135096479</v>
      </c>
      <c r="R183">
        <f t="shared" si="18"/>
        <v>7.9958509298900464E-4</v>
      </c>
    </row>
    <row r="184" spans="1:19" x14ac:dyDescent="0.2">
      <c r="A184" t="s">
        <v>195</v>
      </c>
      <c r="B184">
        <v>5.5967205599999996</v>
      </c>
      <c r="C184">
        <v>0.19104741</v>
      </c>
      <c r="D184">
        <v>5.7430200100000004</v>
      </c>
      <c r="E184">
        <v>1.0864980500000001</v>
      </c>
      <c r="F184">
        <v>3.2350636800000001</v>
      </c>
      <c r="G184">
        <v>1.2757093799999999</v>
      </c>
      <c r="H184">
        <v>2.5862975600000002</v>
      </c>
      <c r="I184">
        <v>9.4957199999999992E-3</v>
      </c>
      <c r="J184">
        <v>1</v>
      </c>
      <c r="K184">
        <v>950006</v>
      </c>
      <c r="L184">
        <f t="shared" si="14"/>
        <v>1.2442552615384616E-2</v>
      </c>
      <c r="M184">
        <f t="shared" si="15"/>
        <v>4.9065745384615379E-3</v>
      </c>
      <c r="N184">
        <f t="shared" si="16"/>
        <v>9.9472983076923094E-3</v>
      </c>
      <c r="O184">
        <f t="shared" si="17"/>
        <v>7.4269364230769236E-3</v>
      </c>
      <c r="P184">
        <f t="shared" si="13"/>
        <v>10.811071881388088</v>
      </c>
      <c r="Q184">
        <f t="shared" ref="Q184" si="21">ABS(0.5*(SUMPRODUCT(O184:O202,P185:P203)+O203*P184-(SUMPRODUCT(O185:O203,P184:P202)+O184*P203)))</f>
        <v>5.1832974034784485E-3</v>
      </c>
      <c r="R184">
        <f t="shared" si="18"/>
        <v>1.7946933948735598E-3</v>
      </c>
    </row>
    <row r="185" spans="1:19" x14ac:dyDescent="0.2">
      <c r="A185" t="s">
        <v>196</v>
      </c>
      <c r="B185">
        <v>5.6512239600000003</v>
      </c>
      <c r="C185">
        <v>0.28280825999999998</v>
      </c>
      <c r="D185">
        <v>5.8039253999999998</v>
      </c>
      <c r="E185">
        <v>0.90870746000000002</v>
      </c>
      <c r="F185">
        <v>3.2312843999999998</v>
      </c>
      <c r="G185">
        <v>1.28943326</v>
      </c>
      <c r="H185">
        <v>2.6421801999999999</v>
      </c>
      <c r="I185">
        <v>9.4957199999999992E-3</v>
      </c>
      <c r="J185">
        <v>1</v>
      </c>
      <c r="K185">
        <v>950006</v>
      </c>
      <c r="L185">
        <f t="shared" si="14"/>
        <v>1.2428016923076922E-2</v>
      </c>
      <c r="M185">
        <f t="shared" si="15"/>
        <v>4.9593586923076926E-3</v>
      </c>
      <c r="N185">
        <f t="shared" si="16"/>
        <v>1.0162231538461538E-2</v>
      </c>
      <c r="O185">
        <f t="shared" si="17"/>
        <v>7.5607951153846154E-3</v>
      </c>
      <c r="P185">
        <f t="shared" si="13"/>
        <v>16.003673787099711</v>
      </c>
      <c r="R185">
        <f t="shared" si="18"/>
        <v>2.8735220776295819E-3</v>
      </c>
    </row>
    <row r="186" spans="1:19" x14ac:dyDescent="0.2">
      <c r="A186" t="s">
        <v>197</v>
      </c>
      <c r="B186">
        <v>5.7091013799999999</v>
      </c>
      <c r="C186">
        <v>0.39080880000000001</v>
      </c>
      <c r="D186">
        <v>5.8663662199999997</v>
      </c>
      <c r="E186">
        <v>0.73091687000000005</v>
      </c>
      <c r="F186">
        <v>3.2293947599999999</v>
      </c>
      <c r="G186">
        <v>1.30499152</v>
      </c>
      <c r="H186">
        <v>2.7050203399999999</v>
      </c>
      <c r="I186">
        <v>9.6783300000000006E-3</v>
      </c>
      <c r="J186">
        <v>1</v>
      </c>
      <c r="K186">
        <v>950006</v>
      </c>
      <c r="L186">
        <f t="shared" si="14"/>
        <v>1.2420749076923077E-2</v>
      </c>
      <c r="M186">
        <f t="shared" si="15"/>
        <v>5.0191981538461536E-3</v>
      </c>
      <c r="N186">
        <f t="shared" si="16"/>
        <v>1.0403924384615385E-2</v>
      </c>
      <c r="O186">
        <f t="shared" si="17"/>
        <v>7.7115612692307683E-3</v>
      </c>
      <c r="P186">
        <f t="shared" si="13"/>
        <v>22.115254159577567</v>
      </c>
      <c r="R186">
        <f t="shared" si="18"/>
        <v>3.7970563887656265E-3</v>
      </c>
    </row>
    <row r="187" spans="1:19" x14ac:dyDescent="0.2">
      <c r="A187" t="s">
        <v>198</v>
      </c>
      <c r="B187">
        <v>5.7708719000000004</v>
      </c>
      <c r="C187">
        <v>0.52455518999999995</v>
      </c>
      <c r="D187">
        <v>5.93546057</v>
      </c>
      <c r="E187">
        <v>0.67165333999999999</v>
      </c>
      <c r="F187">
        <v>3.2336464500000002</v>
      </c>
      <c r="G187">
        <v>1.3190550999999999</v>
      </c>
      <c r="H187">
        <v>2.7671925599999998</v>
      </c>
      <c r="I187">
        <v>9.6783300000000006E-3</v>
      </c>
      <c r="J187">
        <v>1</v>
      </c>
      <c r="K187">
        <v>950006</v>
      </c>
      <c r="L187">
        <f t="shared" si="14"/>
        <v>1.2437101730769231E-2</v>
      </c>
      <c r="M187">
        <f t="shared" si="15"/>
        <v>5.0732888461538462E-3</v>
      </c>
      <c r="N187">
        <f t="shared" si="16"/>
        <v>1.0643048307692306E-2</v>
      </c>
      <c r="O187">
        <f t="shared" si="17"/>
        <v>7.8581685769230757E-3</v>
      </c>
      <c r="P187">
        <f t="shared" si="13"/>
        <v>29.683751613514076</v>
      </c>
      <c r="R187">
        <f t="shared" si="18"/>
        <v>4.416475769006281E-3</v>
      </c>
    </row>
    <row r="188" spans="1:19" x14ac:dyDescent="0.2">
      <c r="A188" t="s">
        <v>199</v>
      </c>
      <c r="B188">
        <v>5.8295279400000002</v>
      </c>
      <c r="C188">
        <v>0.70424801999999997</v>
      </c>
      <c r="D188">
        <v>6.0040431099999996</v>
      </c>
      <c r="E188">
        <v>0.61238981000000003</v>
      </c>
      <c r="F188">
        <v>3.2486060999999999</v>
      </c>
      <c r="G188">
        <v>1.3300613800000001</v>
      </c>
      <c r="H188">
        <v>2.8222402999999998</v>
      </c>
      <c r="I188">
        <v>9.6783300000000006E-3</v>
      </c>
      <c r="J188">
        <v>1</v>
      </c>
      <c r="K188">
        <v>950006</v>
      </c>
      <c r="L188">
        <f t="shared" si="14"/>
        <v>1.2494638846153846E-2</v>
      </c>
      <c r="M188">
        <f t="shared" si="15"/>
        <v>5.1156206923076925E-3</v>
      </c>
      <c r="N188">
        <f t="shared" si="16"/>
        <v>1.0854770384615384E-2</v>
      </c>
      <c r="O188">
        <f t="shared" si="17"/>
        <v>7.985195538461538E-3</v>
      </c>
      <c r="P188">
        <f t="shared" si="13"/>
        <v>39.852285705130654</v>
      </c>
      <c r="R188">
        <f t="shared" si="18"/>
        <v>2.8683739672991345E-3</v>
      </c>
    </row>
    <row r="189" spans="1:19" x14ac:dyDescent="0.2">
      <c r="A189" t="s">
        <v>200</v>
      </c>
      <c r="B189">
        <v>5.8692375600000002</v>
      </c>
      <c r="C189">
        <v>0.82558359000000003</v>
      </c>
      <c r="D189">
        <v>6.03526352</v>
      </c>
      <c r="E189">
        <v>0.53337177000000002</v>
      </c>
      <c r="F189">
        <v>3.2649829800000001</v>
      </c>
      <c r="G189">
        <v>1.33563246</v>
      </c>
      <c r="H189">
        <v>2.8511278400000002</v>
      </c>
      <c r="I189">
        <v>9.6783300000000006E-3</v>
      </c>
      <c r="J189">
        <v>1</v>
      </c>
      <c r="K189">
        <v>950006</v>
      </c>
      <c r="L189">
        <f t="shared" si="14"/>
        <v>1.2557626846153847E-2</v>
      </c>
      <c r="M189">
        <f t="shared" si="15"/>
        <v>5.1370479230769235E-3</v>
      </c>
      <c r="N189">
        <f t="shared" si="16"/>
        <v>1.0965876307692309E-2</v>
      </c>
      <c r="O189">
        <f t="shared" si="17"/>
        <v>8.0514621153846156E-3</v>
      </c>
      <c r="P189">
        <f t="shared" si="13"/>
        <v>46.718474412107611</v>
      </c>
      <c r="R189">
        <f t="shared" si="18"/>
        <v>9.6121958886279178E-4</v>
      </c>
    </row>
    <row r="190" spans="1:19" x14ac:dyDescent="0.2">
      <c r="A190" t="s">
        <v>201</v>
      </c>
      <c r="B190">
        <v>5.8809168600000001</v>
      </c>
      <c r="C190">
        <v>0.85212162000000002</v>
      </c>
      <c r="D190">
        <v>6.0526650599999998</v>
      </c>
      <c r="E190">
        <v>0.53337177000000002</v>
      </c>
      <c r="F190">
        <v>3.27742311</v>
      </c>
      <c r="G190">
        <v>1.3375347799999999</v>
      </c>
      <c r="H190">
        <v>2.8597551399999999</v>
      </c>
      <c r="I190">
        <v>9.8609400000000003E-3</v>
      </c>
      <c r="J190">
        <v>1</v>
      </c>
      <c r="K190">
        <v>950006</v>
      </c>
      <c r="L190">
        <f t="shared" si="14"/>
        <v>1.26054735E-2</v>
      </c>
      <c r="M190">
        <f t="shared" si="15"/>
        <v>5.1443645384615377E-3</v>
      </c>
      <c r="N190">
        <f t="shared" si="16"/>
        <v>1.0999058230769231E-2</v>
      </c>
      <c r="O190">
        <f t="shared" si="17"/>
        <v>8.0717113846153835E-3</v>
      </c>
      <c r="P190">
        <f t="shared" si="13"/>
        <v>48.220219711457304</v>
      </c>
      <c r="R190">
        <f t="shared" si="18"/>
        <v>2.1008431120569886E-4</v>
      </c>
    </row>
    <row r="191" spans="1:19" x14ac:dyDescent="0.2">
      <c r="A191" t="s">
        <v>202</v>
      </c>
      <c r="B191">
        <v>5.8832527199999998</v>
      </c>
      <c r="C191">
        <v>0.85383801000000004</v>
      </c>
      <c r="D191">
        <v>6.0542004900000004</v>
      </c>
      <c r="E191">
        <v>0.47410824000000001</v>
      </c>
      <c r="F191">
        <v>3.2947448100000001</v>
      </c>
      <c r="G191">
        <v>1.3377386</v>
      </c>
      <c r="H191">
        <v>2.86181456</v>
      </c>
      <c r="I191">
        <v>9.8609400000000003E-3</v>
      </c>
      <c r="J191">
        <v>1</v>
      </c>
      <c r="K191">
        <v>950006</v>
      </c>
      <c r="L191">
        <f t="shared" si="14"/>
        <v>1.2672095423076924E-2</v>
      </c>
      <c r="M191">
        <f t="shared" si="15"/>
        <v>5.1451484615384615E-3</v>
      </c>
      <c r="N191">
        <f t="shared" si="16"/>
        <v>1.1006979076923077E-2</v>
      </c>
      <c r="O191">
        <f t="shared" si="17"/>
        <v>8.076063769230769E-3</v>
      </c>
      <c r="P191">
        <f t="shared" si="13"/>
        <v>48.317347516887878</v>
      </c>
      <c r="R191">
        <f t="shared" si="18"/>
        <v>-7.6017756527523855E-5</v>
      </c>
      <c r="S191">
        <f>ABS(SUMIFS($R:$R,$K:$K,K191))</f>
        <v>5.1869010123044099E-3</v>
      </c>
    </row>
    <row r="192" spans="1:19" x14ac:dyDescent="0.2">
      <c r="A192" t="s">
        <v>203</v>
      </c>
      <c r="B192">
        <v>5.8824740999999996</v>
      </c>
      <c r="C192">
        <v>0.81951021000000002</v>
      </c>
      <c r="D192">
        <v>6.0542004900000004</v>
      </c>
      <c r="E192">
        <v>0.47410824000000001</v>
      </c>
      <c r="F192">
        <v>3.3090745799999999</v>
      </c>
      <c r="G192">
        <v>1.3377386</v>
      </c>
      <c r="H192">
        <v>2.8609796599999999</v>
      </c>
      <c r="I192">
        <v>9.8609400000000003E-3</v>
      </c>
      <c r="J192">
        <v>1</v>
      </c>
      <c r="K192">
        <v>950006</v>
      </c>
      <c r="L192">
        <f t="shared" si="14"/>
        <v>1.2727209923076922E-2</v>
      </c>
      <c r="M192">
        <f t="shared" si="15"/>
        <v>5.1451484615384615E-3</v>
      </c>
      <c r="N192">
        <f t="shared" si="16"/>
        <v>1.1003767923076923E-2</v>
      </c>
      <c r="O192">
        <f t="shared" si="17"/>
        <v>8.074458192307692E-3</v>
      </c>
      <c r="P192">
        <f t="shared" si="13"/>
        <v>46.374791408276337</v>
      </c>
      <c r="R192">
        <f t="shared" si="18"/>
        <v>-1.0687833012618432E-3</v>
      </c>
    </row>
    <row r="193" spans="1:18" x14ac:dyDescent="0.2">
      <c r="A193" t="s">
        <v>204</v>
      </c>
      <c r="B193">
        <v>5.8635276799999998</v>
      </c>
      <c r="C193">
        <v>0.70596440999999999</v>
      </c>
      <c r="D193">
        <v>6.03526352</v>
      </c>
      <c r="E193">
        <v>0.47410824000000001</v>
      </c>
      <c r="F193">
        <v>3.3202549499999998</v>
      </c>
      <c r="G193">
        <v>1.3379424200000001</v>
      </c>
      <c r="H193">
        <v>2.8478995600000001</v>
      </c>
      <c r="I193">
        <v>9.8609400000000003E-3</v>
      </c>
      <c r="J193">
        <v>1</v>
      </c>
      <c r="K193">
        <v>950006</v>
      </c>
      <c r="L193">
        <f t="shared" si="14"/>
        <v>1.2770211346153845E-2</v>
      </c>
      <c r="M193">
        <f t="shared" si="15"/>
        <v>5.1459323846153853E-3</v>
      </c>
      <c r="N193">
        <f t="shared" si="16"/>
        <v>1.0953459846153847E-2</v>
      </c>
      <c r="O193">
        <f t="shared" si="17"/>
        <v>8.0496961153846153E-3</v>
      </c>
      <c r="P193">
        <f t="shared" si="13"/>
        <v>39.949413510561229</v>
      </c>
      <c r="R193">
        <f t="shared" si="18"/>
        <v>-8.4602440556507535E-4</v>
      </c>
    </row>
    <row r="194" spans="1:18" x14ac:dyDescent="0.2">
      <c r="A194" t="s">
        <v>205</v>
      </c>
      <c r="B194">
        <v>5.84847436</v>
      </c>
      <c r="C194">
        <v>0.62212535999999996</v>
      </c>
      <c r="D194">
        <v>6.0245155099999996</v>
      </c>
      <c r="E194">
        <v>0.47410824000000001</v>
      </c>
      <c r="F194">
        <v>3.3282859199999999</v>
      </c>
      <c r="G194">
        <v>1.3381462399999999</v>
      </c>
      <c r="H194">
        <v>2.8359883199999998</v>
      </c>
      <c r="I194">
        <v>9.8609400000000003E-3</v>
      </c>
      <c r="J194">
        <v>1</v>
      </c>
      <c r="K194">
        <v>950006</v>
      </c>
      <c r="L194">
        <f t="shared" si="14"/>
        <v>1.2801099692307692E-2</v>
      </c>
      <c r="M194">
        <f t="shared" si="15"/>
        <v>5.1467163076923074E-3</v>
      </c>
      <c r="N194">
        <f t="shared" si="16"/>
        <v>1.0907647384615384E-2</v>
      </c>
      <c r="O194">
        <f t="shared" si="17"/>
        <v>8.0271818461538462E-3</v>
      </c>
      <c r="P194">
        <f t="shared" si="13"/>
        <v>35.205093783759963</v>
      </c>
      <c r="R194">
        <f t="shared" si="18"/>
        <v>-1.4932449054308771E-3</v>
      </c>
    </row>
    <row r="195" spans="1:18" x14ac:dyDescent="0.2">
      <c r="A195" t="s">
        <v>206</v>
      </c>
      <c r="B195">
        <v>5.8264134600000004</v>
      </c>
      <c r="C195">
        <v>0.52099037999999998</v>
      </c>
      <c r="D195">
        <v>5.98971243</v>
      </c>
      <c r="E195">
        <v>0.41484471000000001</v>
      </c>
      <c r="F195">
        <v>3.3385214699999999</v>
      </c>
      <c r="G195">
        <v>1.3377386</v>
      </c>
      <c r="H195">
        <v>2.8123884800000001</v>
      </c>
      <c r="I195">
        <v>9.8609400000000003E-3</v>
      </c>
      <c r="J195">
        <v>1</v>
      </c>
      <c r="K195">
        <v>950006</v>
      </c>
      <c r="L195">
        <f t="shared" si="14"/>
        <v>1.2840467192307692E-2</v>
      </c>
      <c r="M195">
        <f t="shared" si="15"/>
        <v>5.1451484615384615E-3</v>
      </c>
      <c r="N195">
        <f t="shared" si="16"/>
        <v>1.081687876923077E-2</v>
      </c>
      <c r="O195">
        <f t="shared" si="17"/>
        <v>7.9810136153846151E-3</v>
      </c>
      <c r="P195">
        <f t="shared" ref="P195:P258" si="22">+C195*4/(PI()*0.15^2)</f>
        <v>29.482024633004418</v>
      </c>
      <c r="R195">
        <f t="shared" si="18"/>
        <v>-2.1280460807242773E-3</v>
      </c>
    </row>
    <row r="196" spans="1:18" x14ac:dyDescent="0.2">
      <c r="A196" t="s">
        <v>207</v>
      </c>
      <c r="B196">
        <v>5.7867038400000004</v>
      </c>
      <c r="C196">
        <v>0.41615856000000001</v>
      </c>
      <c r="D196">
        <v>5.9446731499999999</v>
      </c>
      <c r="E196">
        <v>0.41484471000000001</v>
      </c>
      <c r="F196">
        <v>3.3413559300000002</v>
      </c>
      <c r="G196">
        <v>1.33318662</v>
      </c>
      <c r="H196">
        <v>2.7752075999999999</v>
      </c>
      <c r="I196">
        <v>9.6783300000000006E-3</v>
      </c>
      <c r="J196">
        <v>1</v>
      </c>
      <c r="K196">
        <v>950006</v>
      </c>
      <c r="L196">
        <f t="shared" ref="L196:L259" si="23">+F196/260</f>
        <v>1.2851368961538462E-2</v>
      </c>
      <c r="M196">
        <f t="shared" ref="M196:M259" si="24">+G196/260</f>
        <v>5.1276408461538459E-3</v>
      </c>
      <c r="N196">
        <f t="shared" ref="N196:N259" si="25">+H196/260</f>
        <v>1.0673875384615384E-2</v>
      </c>
      <c r="O196">
        <f t="shared" ref="O196:O259" si="26">(+G196+H196)/520</f>
        <v>7.9007581153846158E-3</v>
      </c>
      <c r="P196">
        <f t="shared" si="22"/>
        <v>23.549757132090708</v>
      </c>
      <c r="R196">
        <f t="shared" ref="R196:R259" si="27">+(P196+P197)/2*(O197-O196)</f>
        <v>-2.2095589606617935E-3</v>
      </c>
    </row>
    <row r="197" spans="1:18" x14ac:dyDescent="0.2">
      <c r="A197" t="s">
        <v>208</v>
      </c>
      <c r="B197">
        <v>5.7446583599999999</v>
      </c>
      <c r="C197">
        <v>0.32109695999999999</v>
      </c>
      <c r="D197">
        <v>5.8960511999999996</v>
      </c>
      <c r="E197">
        <v>0.41484471000000001</v>
      </c>
      <c r="F197">
        <v>3.3374191799999999</v>
      </c>
      <c r="G197">
        <v>1.32469412</v>
      </c>
      <c r="H197">
        <v>2.7286201800000001</v>
      </c>
      <c r="I197">
        <v>9.6783300000000006E-3</v>
      </c>
      <c r="J197">
        <v>1</v>
      </c>
      <c r="K197">
        <v>950006</v>
      </c>
      <c r="L197">
        <f t="shared" si="23"/>
        <v>1.2836227615384615E-2</v>
      </c>
      <c r="M197">
        <f t="shared" si="24"/>
        <v>5.0949773846153843E-3</v>
      </c>
      <c r="N197">
        <f t="shared" si="25"/>
        <v>1.0494692999999999E-2</v>
      </c>
      <c r="O197">
        <f t="shared" si="26"/>
        <v>7.7948351923076932E-3</v>
      </c>
      <c r="P197">
        <f t="shared" si="22"/>
        <v>18.170370985166432</v>
      </c>
      <c r="R197">
        <f t="shared" si="27"/>
        <v>-1.9570151474144768E-3</v>
      </c>
    </row>
    <row r="198" spans="1:18" x14ac:dyDescent="0.2">
      <c r="A198" t="s">
        <v>209</v>
      </c>
      <c r="B198">
        <v>5.6940480600000001</v>
      </c>
      <c r="C198">
        <v>0.23818212</v>
      </c>
      <c r="D198">
        <v>5.8433347700000002</v>
      </c>
      <c r="E198">
        <v>0.41484471000000001</v>
      </c>
      <c r="F198">
        <v>3.3326950800000001</v>
      </c>
      <c r="G198">
        <v>1.31287256</v>
      </c>
      <c r="H198">
        <v>2.6761328</v>
      </c>
      <c r="I198">
        <v>9.4957199999999992E-3</v>
      </c>
      <c r="J198">
        <v>1</v>
      </c>
      <c r="K198">
        <v>950006</v>
      </c>
      <c r="L198">
        <f t="shared" si="23"/>
        <v>1.2818058E-2</v>
      </c>
      <c r="M198">
        <f t="shared" si="24"/>
        <v>5.0495098461538464E-3</v>
      </c>
      <c r="N198">
        <f t="shared" si="25"/>
        <v>1.0292818461538461E-2</v>
      </c>
      <c r="O198">
        <f t="shared" si="26"/>
        <v>7.671164153846154E-3</v>
      </c>
      <c r="P198">
        <f t="shared" si="22"/>
        <v>13.478350845904705</v>
      </c>
      <c r="R198">
        <f t="shared" si="27"/>
        <v>-1.5104288583495369E-3</v>
      </c>
    </row>
    <row r="199" spans="1:18" x14ac:dyDescent="0.2">
      <c r="A199" t="s">
        <v>210</v>
      </c>
      <c r="B199">
        <v>5.6442163799999996</v>
      </c>
      <c r="C199">
        <v>0.16437735000000001</v>
      </c>
      <c r="D199">
        <v>5.7839648099999996</v>
      </c>
      <c r="E199">
        <v>0.41484471000000001</v>
      </c>
      <c r="F199">
        <v>3.3226170000000002</v>
      </c>
      <c r="G199">
        <v>1.2987410399999999</v>
      </c>
      <c r="H199">
        <v>2.6213077</v>
      </c>
      <c r="I199">
        <v>9.4957199999999992E-3</v>
      </c>
      <c r="J199">
        <v>1</v>
      </c>
      <c r="K199">
        <v>950006</v>
      </c>
      <c r="L199">
        <f t="shared" si="23"/>
        <v>1.2779296153846154E-2</v>
      </c>
      <c r="M199">
        <f t="shared" si="24"/>
        <v>4.9951578461538458E-3</v>
      </c>
      <c r="N199">
        <f t="shared" si="25"/>
        <v>1.0081952692307692E-2</v>
      </c>
      <c r="O199">
        <f t="shared" si="26"/>
        <v>7.5385552692307694E-3</v>
      </c>
      <c r="P199">
        <f t="shared" si="22"/>
        <v>9.3018552123898885</v>
      </c>
      <c r="R199">
        <f t="shared" si="27"/>
        <v>-9.7465311766911612E-4</v>
      </c>
    </row>
    <row r="200" spans="1:18" x14ac:dyDescent="0.2">
      <c r="A200" t="s">
        <v>211</v>
      </c>
      <c r="B200">
        <v>5.5917893000000003</v>
      </c>
      <c r="C200">
        <v>9.8362350000000001E-2</v>
      </c>
      <c r="D200">
        <v>5.7292011399999998</v>
      </c>
      <c r="E200">
        <v>0.79018040000000001</v>
      </c>
      <c r="F200">
        <v>3.3052953</v>
      </c>
      <c r="G200">
        <v>1.2833866</v>
      </c>
      <c r="H200">
        <v>2.5684863600000001</v>
      </c>
      <c r="I200">
        <v>9.8609400000000003E-3</v>
      </c>
      <c r="J200">
        <v>1</v>
      </c>
      <c r="K200">
        <v>950006</v>
      </c>
      <c r="L200">
        <f t="shared" si="23"/>
        <v>1.271267423076923E-2</v>
      </c>
      <c r="M200">
        <f t="shared" si="24"/>
        <v>4.9361023076923078E-3</v>
      </c>
      <c r="N200">
        <f t="shared" si="25"/>
        <v>9.8787936923076924E-3</v>
      </c>
      <c r="O200">
        <f t="shared" si="26"/>
        <v>7.4074480000000005E-3</v>
      </c>
      <c r="P200">
        <f t="shared" si="22"/>
        <v>5.5661703881369213</v>
      </c>
      <c r="R200">
        <f t="shared" si="27"/>
        <v>-3.8824629629378928E-4</v>
      </c>
    </row>
    <row r="201" spans="1:18" x14ac:dyDescent="0.2">
      <c r="A201" t="s">
        <v>212</v>
      </c>
      <c r="B201">
        <v>5.5523392200000004</v>
      </c>
      <c r="C201">
        <v>5.4396359999999998E-2</v>
      </c>
      <c r="D201">
        <v>5.69490987</v>
      </c>
      <c r="E201">
        <v>1.0864980500000001</v>
      </c>
      <c r="F201">
        <v>3.28561155</v>
      </c>
      <c r="G201">
        <v>1.2728558999999999</v>
      </c>
      <c r="H201">
        <v>2.5323073599999999</v>
      </c>
      <c r="I201">
        <v>9.8609400000000003E-3</v>
      </c>
      <c r="J201">
        <v>1</v>
      </c>
      <c r="K201">
        <v>950006</v>
      </c>
      <c r="L201">
        <f t="shared" si="23"/>
        <v>1.26369675E-2</v>
      </c>
      <c r="M201">
        <f t="shared" si="24"/>
        <v>4.8955996153846153E-3</v>
      </c>
      <c r="N201">
        <f t="shared" si="25"/>
        <v>9.7396436923076913E-3</v>
      </c>
      <c r="O201">
        <f t="shared" si="26"/>
        <v>7.3176216538461533E-3</v>
      </c>
      <c r="P201">
        <f t="shared" si="22"/>
        <v>3.0782042951844448</v>
      </c>
      <c r="R201">
        <f t="shared" si="27"/>
        <v>-7.5915486408247468E-5</v>
      </c>
    </row>
    <row r="202" spans="1:18" x14ac:dyDescent="0.2">
      <c r="A202" t="s">
        <v>213</v>
      </c>
      <c r="B202">
        <v>5.5411789999999996</v>
      </c>
      <c r="C202">
        <v>5.2811999999999998E-2</v>
      </c>
      <c r="D202">
        <v>5.6805791899999996</v>
      </c>
      <c r="E202">
        <v>1.1457615800000001</v>
      </c>
      <c r="F202">
        <v>3.2687622599999999</v>
      </c>
      <c r="G202">
        <v>1.2695268399999999</v>
      </c>
      <c r="H202">
        <v>2.5226225200000001</v>
      </c>
      <c r="I202">
        <v>9.8609400000000003E-3</v>
      </c>
      <c r="J202">
        <v>1</v>
      </c>
      <c r="K202">
        <v>950006</v>
      </c>
      <c r="L202">
        <f t="shared" si="23"/>
        <v>1.2572162538461539E-2</v>
      </c>
      <c r="M202">
        <f t="shared" si="24"/>
        <v>4.882795538461538E-3</v>
      </c>
      <c r="N202">
        <f t="shared" si="25"/>
        <v>9.7023943076923087E-3</v>
      </c>
      <c r="O202">
        <f t="shared" si="26"/>
        <v>7.2925949230769225E-3</v>
      </c>
      <c r="P202">
        <f t="shared" si="22"/>
        <v>2.9885478594023738</v>
      </c>
      <c r="R202">
        <f t="shared" si="27"/>
        <v>1.7744944228891737E-4</v>
      </c>
    </row>
    <row r="203" spans="1:18" x14ac:dyDescent="0.2">
      <c r="A203" t="s">
        <v>214</v>
      </c>
      <c r="B203">
        <v>5.5577895599999998</v>
      </c>
      <c r="C203">
        <v>0.10918881</v>
      </c>
      <c r="D203">
        <v>5.7010515899999996</v>
      </c>
      <c r="E203">
        <v>1.1457615800000001</v>
      </c>
      <c r="F203">
        <v>3.2500233299999999</v>
      </c>
      <c r="G203">
        <v>1.2691192</v>
      </c>
      <c r="H203">
        <v>2.5431610600000001</v>
      </c>
      <c r="I203">
        <v>9.8609400000000003E-3</v>
      </c>
      <c r="J203">
        <v>1</v>
      </c>
      <c r="K203">
        <v>950006</v>
      </c>
      <c r="L203">
        <f t="shared" si="23"/>
        <v>1.2500089730769231E-2</v>
      </c>
      <c r="M203">
        <f t="shared" si="24"/>
        <v>4.8812276923076922E-3</v>
      </c>
      <c r="N203">
        <f t="shared" si="25"/>
        <v>9.7813886923076923E-3</v>
      </c>
      <c r="O203">
        <f t="shared" si="26"/>
        <v>7.3313081923076923E-3</v>
      </c>
      <c r="P203">
        <f t="shared" si="22"/>
        <v>6.1788226993144075</v>
      </c>
      <c r="R203">
        <f t="shared" si="27"/>
        <v>8.1596038867937342E-4</v>
      </c>
    </row>
    <row r="204" spans="1:18" x14ac:dyDescent="0.2">
      <c r="A204" t="s">
        <v>215</v>
      </c>
      <c r="B204">
        <v>5.5959419400000003</v>
      </c>
      <c r="C204">
        <v>0.19051929000000001</v>
      </c>
      <c r="D204">
        <v>5.7430200100000004</v>
      </c>
      <c r="E204">
        <v>1.0272345199999999</v>
      </c>
      <c r="F204">
        <v>3.2350636800000001</v>
      </c>
      <c r="G204">
        <v>1.2761849599999999</v>
      </c>
      <c r="H204">
        <v>2.5861305799999998</v>
      </c>
      <c r="I204">
        <v>9.6783300000000006E-3</v>
      </c>
      <c r="J204">
        <v>1</v>
      </c>
      <c r="K204">
        <v>950007</v>
      </c>
      <c r="L204">
        <f t="shared" si="23"/>
        <v>1.2442552615384616E-2</v>
      </c>
      <c r="M204">
        <f t="shared" si="24"/>
        <v>4.9084036923076916E-3</v>
      </c>
      <c r="N204">
        <f t="shared" si="25"/>
        <v>9.9466560769230772E-3</v>
      </c>
      <c r="O204">
        <f t="shared" si="26"/>
        <v>7.4275298846153848E-3</v>
      </c>
      <c r="P204">
        <f t="shared" si="22"/>
        <v>10.781186402794065</v>
      </c>
      <c r="Q204">
        <f t="shared" ref="Q204" si="28">ABS(0.5*(SUMPRODUCT(O204:O222,P205:P223)+O223*P204-(SUMPRODUCT(O205:O223,P204:P222)+O204*P223)))</f>
        <v>5.1631176961344227E-3</v>
      </c>
      <c r="R204">
        <f t="shared" si="27"/>
        <v>1.8335598014565851E-3</v>
      </c>
    </row>
    <row r="205" spans="1:18" x14ac:dyDescent="0.2">
      <c r="A205" t="s">
        <v>216</v>
      </c>
      <c r="B205">
        <v>5.6481094799999996</v>
      </c>
      <c r="C205">
        <v>0.28531683000000002</v>
      </c>
      <c r="D205">
        <v>5.8023899700000001</v>
      </c>
      <c r="E205">
        <v>0.73091687000000005</v>
      </c>
      <c r="F205">
        <v>3.2317568099999998</v>
      </c>
      <c r="G205">
        <v>1.29045236</v>
      </c>
      <c r="H205">
        <v>2.6426811400000001</v>
      </c>
      <c r="I205">
        <v>9.4957199999999992E-3</v>
      </c>
      <c r="J205">
        <v>1</v>
      </c>
      <c r="K205">
        <v>950007</v>
      </c>
      <c r="L205">
        <f t="shared" si="23"/>
        <v>1.2429833884615384E-2</v>
      </c>
      <c r="M205">
        <f t="shared" si="24"/>
        <v>4.9632783076923072E-3</v>
      </c>
      <c r="N205">
        <f t="shared" si="25"/>
        <v>1.0164158230769231E-2</v>
      </c>
      <c r="O205">
        <f t="shared" si="26"/>
        <v>7.5637182692307701E-3</v>
      </c>
      <c r="P205">
        <f t="shared" si="22"/>
        <v>16.145629810421326</v>
      </c>
      <c r="R205">
        <f t="shared" si="27"/>
        <v>2.915817645464675E-3</v>
      </c>
    </row>
    <row r="206" spans="1:18" x14ac:dyDescent="0.2">
      <c r="A206" t="s">
        <v>217</v>
      </c>
      <c r="B206">
        <v>5.7083227599999997</v>
      </c>
      <c r="C206">
        <v>0.39371346000000002</v>
      </c>
      <c r="D206">
        <v>5.8699488899999999</v>
      </c>
      <c r="E206">
        <v>0.67165333999999999</v>
      </c>
      <c r="F206">
        <v>3.2331740400000002</v>
      </c>
      <c r="G206">
        <v>1.3058068</v>
      </c>
      <c r="H206">
        <v>2.70624486</v>
      </c>
      <c r="I206">
        <v>9.6783300000000006E-3</v>
      </c>
      <c r="J206">
        <v>1</v>
      </c>
      <c r="K206">
        <v>950007</v>
      </c>
      <c r="L206">
        <f t="shared" si="23"/>
        <v>1.2435284769230771E-2</v>
      </c>
      <c r="M206">
        <f t="shared" si="24"/>
        <v>5.0223338461538461E-3</v>
      </c>
      <c r="N206">
        <f t="shared" si="25"/>
        <v>1.0408634076923077E-2</v>
      </c>
      <c r="O206">
        <f t="shared" si="26"/>
        <v>7.7154839615384612E-3</v>
      </c>
      <c r="P206">
        <f t="shared" si="22"/>
        <v>22.279624291844698</v>
      </c>
      <c r="R206">
        <f t="shared" si="27"/>
        <v>3.8076609288574224E-3</v>
      </c>
    </row>
    <row r="207" spans="1:18" x14ac:dyDescent="0.2">
      <c r="A207" t="s">
        <v>218</v>
      </c>
      <c r="B207">
        <v>5.77320776</v>
      </c>
      <c r="C207">
        <v>0.52666767000000003</v>
      </c>
      <c r="D207">
        <v>5.93546057</v>
      </c>
      <c r="E207">
        <v>0.61238981000000003</v>
      </c>
      <c r="F207">
        <v>3.2375832</v>
      </c>
      <c r="G207">
        <v>1.3196665599999999</v>
      </c>
      <c r="H207">
        <v>2.7684170799999999</v>
      </c>
      <c r="I207">
        <v>9.6783300000000006E-3</v>
      </c>
      <c r="J207">
        <v>1</v>
      </c>
      <c r="K207">
        <v>950007</v>
      </c>
      <c r="L207">
        <f t="shared" si="23"/>
        <v>1.2452243076923077E-2</v>
      </c>
      <c r="M207">
        <f t="shared" si="24"/>
        <v>5.075640615384615E-3</v>
      </c>
      <c r="N207">
        <f t="shared" si="25"/>
        <v>1.0647758E-2</v>
      </c>
      <c r="O207">
        <f t="shared" si="26"/>
        <v>7.8616993076923072E-3</v>
      </c>
      <c r="P207">
        <f t="shared" si="22"/>
        <v>29.803293527890176</v>
      </c>
      <c r="R207">
        <f t="shared" si="27"/>
        <v>4.443407428534888E-3</v>
      </c>
    </row>
    <row r="208" spans="1:18" x14ac:dyDescent="0.2">
      <c r="A208" t="s">
        <v>219</v>
      </c>
      <c r="B208">
        <v>5.8318637999999998</v>
      </c>
      <c r="C208">
        <v>0.70754877000000005</v>
      </c>
      <c r="D208">
        <v>6.0055785400000001</v>
      </c>
      <c r="E208">
        <v>0.53337177000000002</v>
      </c>
      <c r="F208">
        <v>3.2500233299999999</v>
      </c>
      <c r="G208">
        <v>1.3306728400000001</v>
      </c>
      <c r="H208">
        <v>2.8235761400000001</v>
      </c>
      <c r="I208">
        <v>9.6783300000000006E-3</v>
      </c>
      <c r="J208">
        <v>1</v>
      </c>
      <c r="K208">
        <v>950007</v>
      </c>
      <c r="L208">
        <f t="shared" si="23"/>
        <v>1.2500089730769231E-2</v>
      </c>
      <c r="M208">
        <f t="shared" si="24"/>
        <v>5.1179724615384621E-3</v>
      </c>
      <c r="N208">
        <f t="shared" si="25"/>
        <v>1.0859908230769232E-2</v>
      </c>
      <c r="O208">
        <f t="shared" si="26"/>
        <v>7.9889403461538468E-3</v>
      </c>
      <c r="P208">
        <f t="shared" si="22"/>
        <v>40.039069946343304</v>
      </c>
      <c r="R208">
        <f t="shared" si="27"/>
        <v>2.6658774019506885E-3</v>
      </c>
    </row>
    <row r="209" spans="1:19" x14ac:dyDescent="0.2">
      <c r="A209" t="s">
        <v>220</v>
      </c>
      <c r="B209">
        <v>5.8700161800000004</v>
      </c>
      <c r="C209">
        <v>0.82479141</v>
      </c>
      <c r="D209">
        <v>6.0383343800000002</v>
      </c>
      <c r="E209">
        <v>0.53337177000000002</v>
      </c>
      <c r="F209">
        <v>3.26734503</v>
      </c>
      <c r="G209">
        <v>1.3354286399999999</v>
      </c>
      <c r="H209">
        <v>2.8507938799999999</v>
      </c>
      <c r="I209">
        <v>9.6783300000000006E-3</v>
      </c>
      <c r="J209">
        <v>1</v>
      </c>
      <c r="K209">
        <v>950007</v>
      </c>
      <c r="L209">
        <f t="shared" si="23"/>
        <v>1.2566711653846154E-2</v>
      </c>
      <c r="M209">
        <f t="shared" si="24"/>
        <v>5.1362639999999998E-3</v>
      </c>
      <c r="N209">
        <f t="shared" si="25"/>
        <v>1.0964591846153846E-2</v>
      </c>
      <c r="O209">
        <f t="shared" si="26"/>
        <v>8.0504279230769211E-3</v>
      </c>
      <c r="P209">
        <f t="shared" si="22"/>
        <v>46.673646194216573</v>
      </c>
      <c r="R209">
        <f t="shared" si="27"/>
        <v>8.891071877976188E-4</v>
      </c>
    </row>
    <row r="210" spans="1:19" x14ac:dyDescent="0.2">
      <c r="A210" t="s">
        <v>221</v>
      </c>
      <c r="B210">
        <v>5.88013824</v>
      </c>
      <c r="C210">
        <v>0.85093335000000003</v>
      </c>
      <c r="D210">
        <v>6.04754696</v>
      </c>
      <c r="E210">
        <v>0.53337177000000002</v>
      </c>
      <c r="F210">
        <v>3.2816747999999998</v>
      </c>
      <c r="G210">
        <v>1.3367195000000001</v>
      </c>
      <c r="H210">
        <v>2.8592542000000001</v>
      </c>
      <c r="I210">
        <v>9.6783300000000006E-3</v>
      </c>
      <c r="J210">
        <v>1</v>
      </c>
      <c r="K210">
        <v>950007</v>
      </c>
      <c r="L210">
        <f t="shared" si="23"/>
        <v>1.2621826153846154E-2</v>
      </c>
      <c r="M210">
        <f t="shared" si="24"/>
        <v>5.1412288461538461E-3</v>
      </c>
      <c r="N210">
        <f t="shared" si="25"/>
        <v>1.099713153846154E-2</v>
      </c>
      <c r="O210">
        <f t="shared" si="26"/>
        <v>8.0691801923076911E-3</v>
      </c>
      <c r="P210">
        <f t="shared" si="22"/>
        <v>48.152977384620748</v>
      </c>
      <c r="R210">
        <f t="shared" si="27"/>
        <v>2.4408736161441214E-4</v>
      </c>
    </row>
    <row r="211" spans="1:19" x14ac:dyDescent="0.2">
      <c r="A211" t="s">
        <v>222</v>
      </c>
      <c r="B211">
        <v>5.8832527199999998</v>
      </c>
      <c r="C211">
        <v>0.85212162000000002</v>
      </c>
      <c r="D211">
        <v>6.04754696</v>
      </c>
      <c r="E211">
        <v>0.53337177000000002</v>
      </c>
      <c r="F211">
        <v>3.29616204</v>
      </c>
      <c r="G211">
        <v>1.33712714</v>
      </c>
      <c r="H211">
        <v>2.8614806000000002</v>
      </c>
      <c r="I211">
        <v>9.8609400000000003E-3</v>
      </c>
      <c r="J211">
        <v>1</v>
      </c>
      <c r="K211">
        <v>950007</v>
      </c>
      <c r="L211">
        <f t="shared" si="23"/>
        <v>1.2677546307692307E-2</v>
      </c>
      <c r="M211">
        <f t="shared" si="24"/>
        <v>5.1427966923076919E-3</v>
      </c>
      <c r="N211">
        <f t="shared" si="25"/>
        <v>1.1005694615384616E-2</v>
      </c>
      <c r="O211">
        <f t="shared" si="26"/>
        <v>8.0742456538461533E-3</v>
      </c>
      <c r="P211">
        <f t="shared" si="22"/>
        <v>48.220219711457304</v>
      </c>
      <c r="R211">
        <f t="shared" si="27"/>
        <v>-2.3663001543912923E-5</v>
      </c>
    </row>
    <row r="212" spans="1:19" x14ac:dyDescent="0.2">
      <c r="A212" t="s">
        <v>223</v>
      </c>
      <c r="B212">
        <v>5.8793596199999998</v>
      </c>
      <c r="C212">
        <v>0.81871802999999999</v>
      </c>
      <c r="D212">
        <v>6.0490823899999997</v>
      </c>
      <c r="E212">
        <v>0.53337177000000002</v>
      </c>
      <c r="F212">
        <v>3.3120665100000002</v>
      </c>
      <c r="G212">
        <v>1.3375347799999999</v>
      </c>
      <c r="H212">
        <v>2.86081268</v>
      </c>
      <c r="I212">
        <v>9.8609400000000003E-3</v>
      </c>
      <c r="J212">
        <v>1</v>
      </c>
      <c r="K212">
        <v>950007</v>
      </c>
      <c r="L212">
        <f t="shared" si="23"/>
        <v>1.2738717346153847E-2</v>
      </c>
      <c r="M212">
        <f t="shared" si="24"/>
        <v>5.1443645384615377E-3</v>
      </c>
      <c r="N212">
        <f t="shared" si="25"/>
        <v>1.1003125692307693E-2</v>
      </c>
      <c r="O212">
        <f t="shared" si="26"/>
        <v>8.0737451153846153E-3</v>
      </c>
      <c r="P212">
        <f t="shared" si="22"/>
        <v>46.3299631903853</v>
      </c>
      <c r="R212">
        <f t="shared" si="27"/>
        <v>-1.0161372007935654E-3</v>
      </c>
      <c r="S212">
        <f>ABS(SUMIFS($R:$R,$K:$K,K212))</f>
        <v>5.149469155246271E-3</v>
      </c>
    </row>
    <row r="213" spans="1:19" x14ac:dyDescent="0.2">
      <c r="A213" t="s">
        <v>224</v>
      </c>
      <c r="B213">
        <v>5.8650849200000001</v>
      </c>
      <c r="C213">
        <v>0.70636049999999995</v>
      </c>
      <c r="D213">
        <v>6.0367989499999997</v>
      </c>
      <c r="E213">
        <v>0.53337177000000002</v>
      </c>
      <c r="F213">
        <v>3.3245066400000001</v>
      </c>
      <c r="G213">
        <v>1.3375347799999999</v>
      </c>
      <c r="H213">
        <v>2.8485674799999998</v>
      </c>
      <c r="I213">
        <v>9.8609400000000003E-3</v>
      </c>
      <c r="J213">
        <v>1</v>
      </c>
      <c r="K213">
        <v>950007</v>
      </c>
      <c r="L213">
        <f t="shared" si="23"/>
        <v>1.2786564E-2</v>
      </c>
      <c r="M213">
        <f t="shared" si="24"/>
        <v>5.1443645384615377E-3</v>
      </c>
      <c r="N213">
        <f t="shared" si="25"/>
        <v>1.0956028769230769E-2</v>
      </c>
      <c r="O213">
        <f t="shared" si="26"/>
        <v>8.0501966538461533E-3</v>
      </c>
      <c r="P213">
        <f t="shared" si="22"/>
        <v>39.971827619506747</v>
      </c>
      <c r="R213">
        <f t="shared" si="27"/>
        <v>-1.0704069166693028E-3</v>
      </c>
    </row>
    <row r="214" spans="1:19" x14ac:dyDescent="0.2">
      <c r="A214" t="s">
        <v>225</v>
      </c>
      <c r="B214">
        <v>5.8438026399999998</v>
      </c>
      <c r="C214">
        <v>0.61077077999999996</v>
      </c>
      <c r="D214">
        <v>6.0163265499999996</v>
      </c>
      <c r="E214">
        <v>0.53337177000000002</v>
      </c>
      <c r="F214">
        <v>3.3317502600000002</v>
      </c>
      <c r="G214">
        <v>1.3377386</v>
      </c>
      <c r="H214">
        <v>2.8334279599999999</v>
      </c>
      <c r="I214">
        <v>9.8609400000000003E-3</v>
      </c>
      <c r="J214">
        <v>1</v>
      </c>
      <c r="K214">
        <v>950007</v>
      </c>
      <c r="L214">
        <f t="shared" si="23"/>
        <v>1.2814424076923077E-2</v>
      </c>
      <c r="M214">
        <f t="shared" si="24"/>
        <v>5.1451484615384615E-3</v>
      </c>
      <c r="N214">
        <f t="shared" si="25"/>
        <v>1.0897799846153846E-2</v>
      </c>
      <c r="O214">
        <f t="shared" si="26"/>
        <v>8.0214741538461535E-3</v>
      </c>
      <c r="P214">
        <f t="shared" si="22"/>
        <v>34.562555993988454</v>
      </c>
      <c r="R214">
        <f t="shared" si="27"/>
        <v>-1.3024450771739451E-3</v>
      </c>
    </row>
    <row r="215" spans="1:19" x14ac:dyDescent="0.2">
      <c r="A215" t="s">
        <v>226</v>
      </c>
      <c r="B215">
        <v>5.8256348400000002</v>
      </c>
      <c r="C215">
        <v>0.52099037999999998</v>
      </c>
      <c r="D215">
        <v>5.9881770000000003</v>
      </c>
      <c r="E215">
        <v>0.53337177000000002</v>
      </c>
      <c r="F215">
        <v>3.3380490599999999</v>
      </c>
      <c r="G215">
        <v>1.33712714</v>
      </c>
      <c r="H215">
        <v>2.8128894199999999</v>
      </c>
      <c r="I215">
        <v>9.6783300000000006E-3</v>
      </c>
      <c r="J215">
        <v>1</v>
      </c>
      <c r="K215">
        <v>950007</v>
      </c>
      <c r="L215">
        <f t="shared" si="23"/>
        <v>1.283865023076923E-2</v>
      </c>
      <c r="M215">
        <f t="shared" si="24"/>
        <v>5.1427966923076919E-3</v>
      </c>
      <c r="N215">
        <f t="shared" si="25"/>
        <v>1.0818805461538461E-2</v>
      </c>
      <c r="O215">
        <f t="shared" si="26"/>
        <v>7.9808010769230765E-3</v>
      </c>
      <c r="P215">
        <f t="shared" si="22"/>
        <v>29.482024633004418</v>
      </c>
      <c r="R215">
        <f t="shared" si="27"/>
        <v>-1.9835766711239163E-3</v>
      </c>
    </row>
    <row r="216" spans="1:19" x14ac:dyDescent="0.2">
      <c r="A216" t="s">
        <v>227</v>
      </c>
      <c r="B216">
        <v>5.7924137199999999</v>
      </c>
      <c r="C216">
        <v>0.41985539999999999</v>
      </c>
      <c r="D216">
        <v>5.9477440100000001</v>
      </c>
      <c r="E216">
        <v>0.53337177000000002</v>
      </c>
      <c r="F216">
        <v>3.3427731600000001</v>
      </c>
      <c r="G216">
        <v>1.3333904400000001</v>
      </c>
      <c r="H216">
        <v>2.7778792800000001</v>
      </c>
      <c r="I216">
        <v>1.004355E-2</v>
      </c>
      <c r="J216">
        <v>1</v>
      </c>
      <c r="K216">
        <v>950007</v>
      </c>
      <c r="L216">
        <f t="shared" si="23"/>
        <v>1.2856819846153847E-2</v>
      </c>
      <c r="M216">
        <f t="shared" si="24"/>
        <v>5.1284247692307697E-3</v>
      </c>
      <c r="N216">
        <f t="shared" si="25"/>
        <v>1.0684151076923077E-2</v>
      </c>
      <c r="O216">
        <f t="shared" si="26"/>
        <v>7.9062879230769236E-3</v>
      </c>
      <c r="P216">
        <f t="shared" si="22"/>
        <v>23.758955482248872</v>
      </c>
      <c r="R216">
        <f t="shared" si="27"/>
        <v>-2.2465732142778858E-3</v>
      </c>
    </row>
    <row r="217" spans="1:19" x14ac:dyDescent="0.2">
      <c r="A217" t="s">
        <v>228</v>
      </c>
      <c r="B217">
        <v>5.7464751400000003</v>
      </c>
      <c r="C217">
        <v>0.32598207000000001</v>
      </c>
      <c r="D217">
        <v>5.8975866300000002</v>
      </c>
      <c r="E217">
        <v>0.53337177000000002</v>
      </c>
      <c r="F217">
        <v>3.3404111099999998</v>
      </c>
      <c r="G217">
        <v>1.3248979400000001</v>
      </c>
      <c r="H217">
        <v>2.7310135600000001</v>
      </c>
      <c r="I217">
        <v>1.004355E-2</v>
      </c>
      <c r="J217">
        <v>1</v>
      </c>
      <c r="K217">
        <v>950007</v>
      </c>
      <c r="L217">
        <f t="shared" si="23"/>
        <v>1.2847735038461539E-2</v>
      </c>
      <c r="M217">
        <f t="shared" si="24"/>
        <v>5.0957613076923081E-3</v>
      </c>
      <c r="N217">
        <f t="shared" si="25"/>
        <v>1.0503898307692308E-2</v>
      </c>
      <c r="O217">
        <f t="shared" si="26"/>
        <v>7.7998298076923092E-3</v>
      </c>
      <c r="P217">
        <f t="shared" si="22"/>
        <v>18.446811662161153</v>
      </c>
      <c r="R217">
        <f t="shared" si="27"/>
        <v>-1.9855526024155287E-3</v>
      </c>
    </row>
    <row r="218" spans="1:19" x14ac:dyDescent="0.2">
      <c r="A218" t="s">
        <v>229</v>
      </c>
      <c r="B218">
        <v>5.7005365599999998</v>
      </c>
      <c r="C218">
        <v>0.24095475</v>
      </c>
      <c r="D218">
        <v>5.84026391</v>
      </c>
      <c r="E218">
        <v>0.53337177000000002</v>
      </c>
      <c r="F218">
        <v>3.3331674900000001</v>
      </c>
      <c r="G218">
        <v>1.3136878400000001</v>
      </c>
      <c r="H218">
        <v>2.6778582599999998</v>
      </c>
      <c r="I218">
        <v>9.6783300000000006E-3</v>
      </c>
      <c r="J218">
        <v>1</v>
      </c>
      <c r="K218">
        <v>950007</v>
      </c>
      <c r="L218">
        <f t="shared" si="23"/>
        <v>1.2819874961538462E-2</v>
      </c>
      <c r="M218">
        <f t="shared" si="24"/>
        <v>5.052645538461539E-3</v>
      </c>
      <c r="N218">
        <f t="shared" si="25"/>
        <v>1.0299454846153846E-2</v>
      </c>
      <c r="O218">
        <f t="shared" si="26"/>
        <v>7.6760501923076917E-3</v>
      </c>
      <c r="P218">
        <f t="shared" si="22"/>
        <v>13.635249608523331</v>
      </c>
      <c r="R218">
        <f t="shared" si="27"/>
        <v>-1.5310299928974565E-3</v>
      </c>
    </row>
    <row r="219" spans="1:19" x14ac:dyDescent="0.2">
      <c r="A219" t="s">
        <v>230</v>
      </c>
      <c r="B219">
        <v>5.6465522400000001</v>
      </c>
      <c r="C219">
        <v>0.16556562</v>
      </c>
      <c r="D219">
        <v>5.7839648099999996</v>
      </c>
      <c r="E219">
        <v>0.53337177000000002</v>
      </c>
      <c r="F219">
        <v>3.32497905</v>
      </c>
      <c r="G219">
        <v>1.2993524999999999</v>
      </c>
      <c r="H219">
        <v>2.6229775000000002</v>
      </c>
      <c r="I219">
        <v>9.6783300000000006E-3</v>
      </c>
      <c r="J219">
        <v>1</v>
      </c>
      <c r="K219">
        <v>950007</v>
      </c>
      <c r="L219">
        <f t="shared" si="23"/>
        <v>1.2788380961538462E-2</v>
      </c>
      <c r="M219">
        <f t="shared" si="24"/>
        <v>4.9975096153846155E-3</v>
      </c>
      <c r="N219">
        <f t="shared" si="25"/>
        <v>1.0088375E-2</v>
      </c>
      <c r="O219">
        <f t="shared" si="26"/>
        <v>7.5429423076923078E-3</v>
      </c>
      <c r="P219">
        <f t="shared" si="22"/>
        <v>9.3690975392264413</v>
      </c>
      <c r="R219">
        <f t="shared" si="27"/>
        <v>-9.9267262963194901E-4</v>
      </c>
    </row>
    <row r="220" spans="1:19" x14ac:dyDescent="0.2">
      <c r="A220" t="s">
        <v>231</v>
      </c>
      <c r="B220">
        <v>5.5951633200000002</v>
      </c>
      <c r="C220">
        <v>0.1003428</v>
      </c>
      <c r="D220">
        <v>5.7292011399999998</v>
      </c>
      <c r="E220">
        <v>0.79018040000000001</v>
      </c>
      <c r="F220">
        <v>3.3076573499999999</v>
      </c>
      <c r="G220">
        <v>1.2840659999999999</v>
      </c>
      <c r="H220">
        <v>2.56965522</v>
      </c>
      <c r="I220">
        <v>9.8609400000000003E-3</v>
      </c>
      <c r="J220">
        <v>1</v>
      </c>
      <c r="K220">
        <v>950007</v>
      </c>
      <c r="L220">
        <f t="shared" si="23"/>
        <v>1.2721759038461539E-2</v>
      </c>
      <c r="M220">
        <f t="shared" si="24"/>
        <v>4.9387153846153845E-3</v>
      </c>
      <c r="N220">
        <f t="shared" si="25"/>
        <v>9.8832893076923074E-3</v>
      </c>
      <c r="O220">
        <f t="shared" si="26"/>
        <v>7.4110023461538459E-3</v>
      </c>
      <c r="P220">
        <f t="shared" si="22"/>
        <v>5.6782409328645098</v>
      </c>
      <c r="R220">
        <f t="shared" si="27"/>
        <v>-4.0156532521074006E-4</v>
      </c>
    </row>
    <row r="221" spans="1:19" x14ac:dyDescent="0.2">
      <c r="A221" t="s">
        <v>232</v>
      </c>
      <c r="B221">
        <v>5.5531178399999996</v>
      </c>
      <c r="C221">
        <v>5.2811999999999998E-2</v>
      </c>
      <c r="D221">
        <v>5.6903035800000001</v>
      </c>
      <c r="E221">
        <v>1.1457615800000001</v>
      </c>
      <c r="F221">
        <v>3.28655637</v>
      </c>
      <c r="G221">
        <v>1.27305972</v>
      </c>
      <c r="H221">
        <v>2.5324743399999998</v>
      </c>
      <c r="I221">
        <v>9.8609400000000003E-3</v>
      </c>
      <c r="J221">
        <v>1</v>
      </c>
      <c r="K221">
        <v>950007</v>
      </c>
      <c r="L221">
        <f t="shared" si="23"/>
        <v>1.2640601423076924E-2</v>
      </c>
      <c r="M221">
        <f t="shared" si="24"/>
        <v>4.8963835384615382E-3</v>
      </c>
      <c r="N221">
        <f t="shared" si="25"/>
        <v>9.7402859230769218E-3</v>
      </c>
      <c r="O221">
        <f t="shared" si="26"/>
        <v>7.3183347307692308E-3</v>
      </c>
      <c r="P221">
        <f t="shared" si="22"/>
        <v>2.9885478594023738</v>
      </c>
      <c r="R221">
        <f t="shared" si="27"/>
        <v>-8.2381512148854951E-5</v>
      </c>
    </row>
    <row r="222" spans="1:19" x14ac:dyDescent="0.2">
      <c r="A222" t="s">
        <v>233</v>
      </c>
      <c r="B222">
        <v>5.5411789999999996</v>
      </c>
      <c r="C222">
        <v>5.0303430000000003E-2</v>
      </c>
      <c r="D222">
        <v>5.6805791899999996</v>
      </c>
      <c r="E222">
        <v>1.26428864</v>
      </c>
      <c r="F222">
        <v>3.2682898499999999</v>
      </c>
      <c r="G222">
        <v>1.2691192</v>
      </c>
      <c r="H222">
        <v>2.5217319599999999</v>
      </c>
      <c r="I222">
        <v>9.8609400000000003E-3</v>
      </c>
      <c r="J222">
        <v>1</v>
      </c>
      <c r="K222">
        <v>950007</v>
      </c>
      <c r="L222">
        <f t="shared" si="23"/>
        <v>1.2570345576923077E-2</v>
      </c>
      <c r="M222">
        <f t="shared" si="24"/>
        <v>4.8812276923076922E-3</v>
      </c>
      <c r="N222">
        <f t="shared" si="25"/>
        <v>9.6989690769230773E-3</v>
      </c>
      <c r="O222">
        <f t="shared" si="26"/>
        <v>7.2900983846153847E-3</v>
      </c>
      <c r="P222">
        <f t="shared" si="22"/>
        <v>2.8465918360807612</v>
      </c>
      <c r="R222">
        <f t="shared" si="27"/>
        <v>1.776184340380283E-4</v>
      </c>
    </row>
    <row r="223" spans="1:19" x14ac:dyDescent="0.2">
      <c r="A223" t="s">
        <v>234</v>
      </c>
      <c r="B223">
        <v>5.5554537000000002</v>
      </c>
      <c r="C223">
        <v>0.10720836</v>
      </c>
      <c r="D223">
        <v>5.7056578800000004</v>
      </c>
      <c r="E223">
        <v>1.26428864</v>
      </c>
      <c r="F223">
        <v>3.2514405599999998</v>
      </c>
      <c r="G223">
        <v>1.2689153799999999</v>
      </c>
      <c r="H223">
        <v>2.5426601199999999</v>
      </c>
      <c r="I223">
        <v>9.6783300000000006E-3</v>
      </c>
      <c r="J223">
        <v>1</v>
      </c>
      <c r="K223">
        <v>950007</v>
      </c>
      <c r="L223">
        <f t="shared" si="23"/>
        <v>1.2505540615384614E-2</v>
      </c>
      <c r="M223">
        <f t="shared" si="24"/>
        <v>4.8804437692307693E-3</v>
      </c>
      <c r="N223">
        <f t="shared" si="25"/>
        <v>9.7794619999999992E-3</v>
      </c>
      <c r="O223">
        <f t="shared" si="26"/>
        <v>7.3299528846153842E-3</v>
      </c>
      <c r="P223">
        <f t="shared" si="22"/>
        <v>6.066752154586819</v>
      </c>
      <c r="R223">
        <f t="shared" si="27"/>
        <v>8.083371094190126E-4</v>
      </c>
    </row>
    <row r="224" spans="1:19" x14ac:dyDescent="0.2">
      <c r="A224" t="s">
        <v>235</v>
      </c>
      <c r="B224">
        <v>5.5982778</v>
      </c>
      <c r="C224">
        <v>0.18933101999999999</v>
      </c>
      <c r="D224">
        <v>5.7445554400000001</v>
      </c>
      <c r="E224">
        <v>1.20502511</v>
      </c>
      <c r="F224">
        <v>3.23711079</v>
      </c>
      <c r="G224">
        <v>1.2757093799999999</v>
      </c>
      <c r="H224">
        <v>2.5859635999999999</v>
      </c>
      <c r="I224">
        <v>9.6783300000000006E-3</v>
      </c>
      <c r="J224">
        <v>1</v>
      </c>
      <c r="K224">
        <v>950008</v>
      </c>
      <c r="L224">
        <f t="shared" si="23"/>
        <v>1.2450426115384616E-2</v>
      </c>
      <c r="M224">
        <f t="shared" si="24"/>
        <v>4.9065745384615379E-3</v>
      </c>
      <c r="N224">
        <f t="shared" si="25"/>
        <v>9.946013846153845E-3</v>
      </c>
      <c r="O224">
        <f t="shared" si="26"/>
        <v>7.4262941923076923E-3</v>
      </c>
      <c r="P224">
        <f t="shared" si="22"/>
        <v>10.71394407595751</v>
      </c>
      <c r="Q224">
        <f t="shared" ref="Q224" si="29">ABS(0.5*(SUMPRODUCT(O224:O242,P225:P243)+O243*P224-(SUMPRODUCT(O225:O243,P224:P242)+O224*P243)))</f>
        <v>5.1508595251248401E-3</v>
      </c>
      <c r="R224">
        <f t="shared" si="27"/>
        <v>1.7967721324988434E-3</v>
      </c>
    </row>
    <row r="225" spans="1:19" x14ac:dyDescent="0.2">
      <c r="A225" t="s">
        <v>236</v>
      </c>
      <c r="B225">
        <v>5.6465522400000001</v>
      </c>
      <c r="C225">
        <v>0.28280825999999998</v>
      </c>
      <c r="D225">
        <v>5.8023899700000001</v>
      </c>
      <c r="E225">
        <v>0.96797098999999998</v>
      </c>
      <c r="F225">
        <v>3.2293947599999999</v>
      </c>
      <c r="G225">
        <v>1.28943326</v>
      </c>
      <c r="H225">
        <v>2.6421801999999999</v>
      </c>
      <c r="I225">
        <v>9.8609400000000003E-3</v>
      </c>
      <c r="J225">
        <v>1</v>
      </c>
      <c r="K225">
        <v>950008</v>
      </c>
      <c r="L225">
        <f t="shared" si="23"/>
        <v>1.2420749076923077E-2</v>
      </c>
      <c r="M225">
        <f t="shared" si="24"/>
        <v>4.9593586923076926E-3</v>
      </c>
      <c r="N225">
        <f t="shared" si="25"/>
        <v>1.0162231538461538E-2</v>
      </c>
      <c r="O225">
        <f t="shared" si="26"/>
        <v>7.5607951153846154E-3</v>
      </c>
      <c r="P225">
        <f t="shared" si="22"/>
        <v>16.003673787099711</v>
      </c>
      <c r="R225">
        <f t="shared" si="27"/>
        <v>2.8785910111259888E-3</v>
      </c>
    </row>
    <row r="226" spans="1:19" x14ac:dyDescent="0.2">
      <c r="A226" t="s">
        <v>237</v>
      </c>
      <c r="B226">
        <v>5.7083227599999997</v>
      </c>
      <c r="C226">
        <v>0.39199707</v>
      </c>
      <c r="D226">
        <v>5.8714843200000004</v>
      </c>
      <c r="E226">
        <v>0.79018040000000001</v>
      </c>
      <c r="F226">
        <v>3.2317568099999998</v>
      </c>
      <c r="G226">
        <v>1.30499152</v>
      </c>
      <c r="H226">
        <v>2.7050203399999999</v>
      </c>
      <c r="I226">
        <v>9.8609400000000003E-3</v>
      </c>
      <c r="J226">
        <v>1</v>
      </c>
      <c r="K226">
        <v>950008</v>
      </c>
      <c r="L226">
        <f t="shared" si="23"/>
        <v>1.2429833884615384E-2</v>
      </c>
      <c r="M226">
        <f t="shared" si="24"/>
        <v>5.0191981538461536E-3</v>
      </c>
      <c r="N226">
        <f t="shared" si="25"/>
        <v>1.0403924384615385E-2</v>
      </c>
      <c r="O226">
        <f t="shared" si="26"/>
        <v>7.7115612692307683E-3</v>
      </c>
      <c r="P226">
        <f t="shared" si="22"/>
        <v>22.18249648641412</v>
      </c>
      <c r="R226">
        <f t="shared" si="27"/>
        <v>3.8524617324254265E-3</v>
      </c>
    </row>
    <row r="227" spans="1:19" x14ac:dyDescent="0.2">
      <c r="A227" t="s">
        <v>238</v>
      </c>
      <c r="B227">
        <v>5.7724291399999998</v>
      </c>
      <c r="C227">
        <v>0.52534736999999998</v>
      </c>
      <c r="D227">
        <v>5.9385314300000003</v>
      </c>
      <c r="E227">
        <v>0.67165333999999999</v>
      </c>
      <c r="F227">
        <v>3.23663838</v>
      </c>
      <c r="G227">
        <v>1.3196665599999999</v>
      </c>
      <c r="H227">
        <v>2.7675265200000001</v>
      </c>
      <c r="I227">
        <v>9.8609400000000003E-3</v>
      </c>
      <c r="J227">
        <v>1</v>
      </c>
      <c r="K227">
        <v>950008</v>
      </c>
      <c r="L227">
        <f t="shared" si="23"/>
        <v>1.2448609153846154E-2</v>
      </c>
      <c r="M227">
        <f t="shared" si="24"/>
        <v>5.075640615384615E-3</v>
      </c>
      <c r="N227">
        <f t="shared" si="25"/>
        <v>1.0644332769230769E-2</v>
      </c>
      <c r="O227">
        <f t="shared" si="26"/>
        <v>7.8599866923076932E-3</v>
      </c>
      <c r="P227">
        <f t="shared" si="22"/>
        <v>29.728579831405114</v>
      </c>
      <c r="R227">
        <f t="shared" si="27"/>
        <v>4.4056864536096011E-3</v>
      </c>
    </row>
    <row r="228" spans="1:19" x14ac:dyDescent="0.2">
      <c r="A228" t="s">
        <v>239</v>
      </c>
      <c r="B228">
        <v>5.83264242</v>
      </c>
      <c r="C228">
        <v>0.70424801999999997</v>
      </c>
      <c r="D228">
        <v>6.0055785400000001</v>
      </c>
      <c r="E228">
        <v>0.67165333999999999</v>
      </c>
      <c r="F228">
        <v>3.24718887</v>
      </c>
      <c r="G228">
        <v>1.33046902</v>
      </c>
      <c r="H228">
        <v>2.8225742600000001</v>
      </c>
      <c r="I228">
        <v>9.6783300000000006E-3</v>
      </c>
      <c r="J228">
        <v>1</v>
      </c>
      <c r="K228">
        <v>950008</v>
      </c>
      <c r="L228">
        <f t="shared" si="23"/>
        <v>1.2489187961538462E-2</v>
      </c>
      <c r="M228">
        <f t="shared" si="24"/>
        <v>5.1171885384615383E-3</v>
      </c>
      <c r="N228">
        <f t="shared" si="25"/>
        <v>1.0856054846153847E-2</v>
      </c>
      <c r="O228">
        <f t="shared" si="26"/>
        <v>7.9866216923076931E-3</v>
      </c>
      <c r="P228">
        <f t="shared" si="22"/>
        <v>39.852285705130654</v>
      </c>
      <c r="R228">
        <f t="shared" si="27"/>
        <v>2.792742754580471E-3</v>
      </c>
    </row>
    <row r="229" spans="1:19" x14ac:dyDescent="0.2">
      <c r="A229" t="s">
        <v>240</v>
      </c>
      <c r="B229">
        <v>5.8715734199999998</v>
      </c>
      <c r="C229">
        <v>0.82558359000000003</v>
      </c>
      <c r="D229">
        <v>6.0398698099999999</v>
      </c>
      <c r="E229">
        <v>0.53337177000000002</v>
      </c>
      <c r="F229">
        <v>3.2640381600000001</v>
      </c>
      <c r="G229">
        <v>1.33563246</v>
      </c>
      <c r="H229">
        <v>2.8509608599999998</v>
      </c>
      <c r="I229">
        <v>9.6783300000000006E-3</v>
      </c>
      <c r="J229">
        <v>1</v>
      </c>
      <c r="K229">
        <v>950008</v>
      </c>
      <c r="L229">
        <f t="shared" si="23"/>
        <v>1.2553992923076924E-2</v>
      </c>
      <c r="M229">
        <f t="shared" si="24"/>
        <v>5.1370479230769235E-3</v>
      </c>
      <c r="N229">
        <f t="shared" si="25"/>
        <v>1.0965234076923076E-2</v>
      </c>
      <c r="O229">
        <f t="shared" si="26"/>
        <v>8.0511409999999995E-3</v>
      </c>
      <c r="P229">
        <f t="shared" si="22"/>
        <v>46.718474412107611</v>
      </c>
      <c r="R229">
        <f t="shared" si="27"/>
        <v>9.5449354753303611E-4</v>
      </c>
    </row>
    <row r="230" spans="1:19" x14ac:dyDescent="0.2">
      <c r="A230" t="s">
        <v>241</v>
      </c>
      <c r="B230">
        <v>5.88429088</v>
      </c>
      <c r="C230">
        <v>0.85212162000000002</v>
      </c>
      <c r="D230">
        <v>6.0511296300000001</v>
      </c>
      <c r="E230">
        <v>0.53337177000000002</v>
      </c>
      <c r="F230">
        <v>3.2812023899999998</v>
      </c>
      <c r="G230">
        <v>1.33712714</v>
      </c>
      <c r="H230">
        <v>2.8599221199999998</v>
      </c>
      <c r="I230">
        <v>9.6783300000000006E-3</v>
      </c>
      <c r="J230">
        <v>1</v>
      </c>
      <c r="K230">
        <v>950008</v>
      </c>
      <c r="L230">
        <f t="shared" si="23"/>
        <v>1.2620009192307692E-2</v>
      </c>
      <c r="M230">
        <f t="shared" si="24"/>
        <v>5.1427966923076919E-3</v>
      </c>
      <c r="N230">
        <f t="shared" si="25"/>
        <v>1.0999700461538461E-2</v>
      </c>
      <c r="O230">
        <f t="shared" si="26"/>
        <v>8.0712485769230766E-3</v>
      </c>
      <c r="P230">
        <f t="shared" si="22"/>
        <v>48.220219711457304</v>
      </c>
      <c r="R230">
        <f t="shared" si="27"/>
        <v>2.2911015818229892E-4</v>
      </c>
    </row>
    <row r="231" spans="1:19" x14ac:dyDescent="0.2">
      <c r="A231" t="s">
        <v>242</v>
      </c>
      <c r="B231">
        <v>5.88429088</v>
      </c>
      <c r="C231">
        <v>0.85463018999999996</v>
      </c>
      <c r="D231">
        <v>6.0490823899999997</v>
      </c>
      <c r="E231">
        <v>0.47410824000000001</v>
      </c>
      <c r="F231">
        <v>3.2942724000000001</v>
      </c>
      <c r="G231">
        <v>1.3375347799999999</v>
      </c>
      <c r="H231">
        <v>2.8619815399999999</v>
      </c>
      <c r="I231">
        <v>9.4957199999999992E-3</v>
      </c>
      <c r="J231">
        <v>1</v>
      </c>
      <c r="K231">
        <v>950008</v>
      </c>
      <c r="L231">
        <f t="shared" si="23"/>
        <v>1.2670278461538462E-2</v>
      </c>
      <c r="M231">
        <f t="shared" si="24"/>
        <v>5.1443645384615377E-3</v>
      </c>
      <c r="N231">
        <f t="shared" si="25"/>
        <v>1.1007621307692308E-2</v>
      </c>
      <c r="O231">
        <f t="shared" si="26"/>
        <v>8.0759929230769228E-3</v>
      </c>
      <c r="P231">
        <f t="shared" si="22"/>
        <v>48.362175734778916</v>
      </c>
      <c r="R231">
        <f t="shared" si="27"/>
        <v>-1.1827412352281223E-4</v>
      </c>
    </row>
    <row r="232" spans="1:19" x14ac:dyDescent="0.2">
      <c r="A232" t="s">
        <v>243</v>
      </c>
      <c r="B232">
        <v>5.88013824</v>
      </c>
      <c r="C232">
        <v>0.81871802999999999</v>
      </c>
      <c r="D232">
        <v>6.0460115300000004</v>
      </c>
      <c r="E232">
        <v>0.41484471000000001</v>
      </c>
      <c r="F232">
        <v>3.3086021699999999</v>
      </c>
      <c r="G232">
        <v>1.3377386</v>
      </c>
      <c r="H232">
        <v>2.8604787200000001</v>
      </c>
      <c r="I232">
        <v>9.6783300000000006E-3</v>
      </c>
      <c r="J232">
        <v>1</v>
      </c>
      <c r="K232">
        <v>950008</v>
      </c>
      <c r="L232">
        <f t="shared" si="23"/>
        <v>1.2725392961538462E-2</v>
      </c>
      <c r="M232">
        <f t="shared" si="24"/>
        <v>5.1451484615384615E-3</v>
      </c>
      <c r="N232">
        <f t="shared" si="25"/>
        <v>1.1001841230769232E-2</v>
      </c>
      <c r="O232">
        <f t="shared" si="26"/>
        <v>8.0734948461538471E-3</v>
      </c>
      <c r="P232">
        <f t="shared" si="22"/>
        <v>46.3299631903853</v>
      </c>
      <c r="R232">
        <f t="shared" si="27"/>
        <v>-1.0737826475708662E-3</v>
      </c>
    </row>
    <row r="233" spans="1:19" x14ac:dyDescent="0.2">
      <c r="A233" t="s">
        <v>244</v>
      </c>
      <c r="B233">
        <v>5.8643063</v>
      </c>
      <c r="C233">
        <v>0.70517222999999996</v>
      </c>
      <c r="D233">
        <v>6.0337280900000003</v>
      </c>
      <c r="E233">
        <v>0.41484471000000001</v>
      </c>
      <c r="F233">
        <v>3.3230894100000001</v>
      </c>
      <c r="G233">
        <v>1.3375347799999999</v>
      </c>
      <c r="H233">
        <v>2.8477325800000002</v>
      </c>
      <c r="I233">
        <v>9.6783300000000006E-3</v>
      </c>
      <c r="J233">
        <v>1</v>
      </c>
      <c r="K233">
        <v>950008</v>
      </c>
      <c r="L233">
        <f t="shared" si="23"/>
        <v>1.2781113115384615E-2</v>
      </c>
      <c r="M233">
        <f t="shared" si="24"/>
        <v>5.1443645384615377E-3</v>
      </c>
      <c r="N233">
        <f t="shared" si="25"/>
        <v>1.0952817615384617E-2</v>
      </c>
      <c r="O233">
        <f t="shared" si="26"/>
        <v>8.0485910769230763E-3</v>
      </c>
      <c r="P233">
        <f t="shared" si="22"/>
        <v>39.904585292670191</v>
      </c>
      <c r="R233">
        <f t="shared" si="27"/>
        <v>-1.0349627016999299E-3</v>
      </c>
      <c r="S233">
        <f>ABS(SUMIFS($R:$R,$K:$K,K233))</f>
        <v>5.1499851648163092E-3</v>
      </c>
    </row>
    <row r="234" spans="1:19" x14ac:dyDescent="0.2">
      <c r="A234" t="s">
        <v>245</v>
      </c>
      <c r="B234">
        <v>5.8461385000000003</v>
      </c>
      <c r="C234">
        <v>0.60918642000000001</v>
      </c>
      <c r="D234">
        <v>6.0147911199999999</v>
      </c>
      <c r="E234">
        <v>0.41484471000000001</v>
      </c>
      <c r="F234">
        <v>3.3308054399999998</v>
      </c>
      <c r="G234">
        <v>1.3375347799999999</v>
      </c>
      <c r="H234">
        <v>2.8332609799999999</v>
      </c>
      <c r="I234">
        <v>9.4957199999999992E-3</v>
      </c>
      <c r="J234">
        <v>1</v>
      </c>
      <c r="K234">
        <v>950008</v>
      </c>
      <c r="L234">
        <f t="shared" si="23"/>
        <v>1.2810790153846154E-2</v>
      </c>
      <c r="M234">
        <f t="shared" si="24"/>
        <v>5.1443645384615377E-3</v>
      </c>
      <c r="N234">
        <f t="shared" si="25"/>
        <v>1.0897157615384616E-2</v>
      </c>
      <c r="O234">
        <f t="shared" si="26"/>
        <v>8.0207610769230768E-3</v>
      </c>
      <c r="P234">
        <f t="shared" si="22"/>
        <v>34.472899558206386</v>
      </c>
      <c r="R234">
        <f t="shared" si="27"/>
        <v>-1.2969912011842626E-3</v>
      </c>
    </row>
    <row r="235" spans="1:19" x14ac:dyDescent="0.2">
      <c r="A235" t="s">
        <v>246</v>
      </c>
      <c r="B235">
        <v>5.82485622</v>
      </c>
      <c r="C235">
        <v>0.51980210999999998</v>
      </c>
      <c r="D235">
        <v>5.98971243</v>
      </c>
      <c r="E235">
        <v>0.41484471000000001</v>
      </c>
      <c r="F235">
        <v>3.33505713</v>
      </c>
      <c r="G235">
        <v>1.33712714</v>
      </c>
      <c r="H235">
        <v>2.81255546</v>
      </c>
      <c r="I235">
        <v>9.4957199999999992E-3</v>
      </c>
      <c r="J235">
        <v>1</v>
      </c>
      <c r="K235">
        <v>950008</v>
      </c>
      <c r="L235">
        <f t="shared" si="23"/>
        <v>1.2827142807692309E-2</v>
      </c>
      <c r="M235">
        <f t="shared" si="24"/>
        <v>5.1427966923076919E-3</v>
      </c>
      <c r="N235">
        <f t="shared" si="25"/>
        <v>1.0817521E-2</v>
      </c>
      <c r="O235">
        <f t="shared" si="26"/>
        <v>7.980158846153846E-3</v>
      </c>
      <c r="P235">
        <f t="shared" si="22"/>
        <v>29.414782306167865</v>
      </c>
      <c r="R235">
        <f t="shared" si="27"/>
        <v>-2.024961906016426E-3</v>
      </c>
    </row>
    <row r="236" spans="1:19" x14ac:dyDescent="0.2">
      <c r="A236" t="s">
        <v>247</v>
      </c>
      <c r="B236">
        <v>5.7913755599999996</v>
      </c>
      <c r="C236">
        <v>0.41866713</v>
      </c>
      <c r="D236">
        <v>5.9477440100000001</v>
      </c>
      <c r="E236">
        <v>0.41484471000000001</v>
      </c>
      <c r="F236">
        <v>3.3404111099999998</v>
      </c>
      <c r="G236">
        <v>1.3329827999999999</v>
      </c>
      <c r="H236">
        <v>2.77704438</v>
      </c>
      <c r="I236">
        <v>9.6783300000000006E-3</v>
      </c>
      <c r="J236">
        <v>1</v>
      </c>
      <c r="K236">
        <v>950008</v>
      </c>
      <c r="L236">
        <f t="shared" si="23"/>
        <v>1.2847735038461539E-2</v>
      </c>
      <c r="M236">
        <f t="shared" si="24"/>
        <v>5.126856923076923E-3</v>
      </c>
      <c r="N236">
        <f t="shared" si="25"/>
        <v>1.0680939923076923E-2</v>
      </c>
      <c r="O236">
        <f t="shared" si="26"/>
        <v>7.9038984230769219E-3</v>
      </c>
      <c r="P236">
        <f t="shared" si="22"/>
        <v>23.691713155412319</v>
      </c>
      <c r="R236">
        <f t="shared" si="27"/>
        <v>-2.2043954531315527E-3</v>
      </c>
    </row>
    <row r="237" spans="1:19" x14ac:dyDescent="0.2">
      <c r="A237" t="s">
        <v>248</v>
      </c>
      <c r="B237">
        <v>5.7472537600000004</v>
      </c>
      <c r="C237">
        <v>0.32360552999999997</v>
      </c>
      <c r="D237">
        <v>5.8960511999999996</v>
      </c>
      <c r="E237">
        <v>0.41484471000000001</v>
      </c>
      <c r="F237">
        <v>3.3404111099999998</v>
      </c>
      <c r="G237">
        <v>1.3251017599999999</v>
      </c>
      <c r="H237">
        <v>2.7303456399999999</v>
      </c>
      <c r="I237">
        <v>9.6783300000000006E-3</v>
      </c>
      <c r="J237">
        <v>1</v>
      </c>
      <c r="K237">
        <v>950008</v>
      </c>
      <c r="L237">
        <f t="shared" si="23"/>
        <v>1.2847735038461539E-2</v>
      </c>
      <c r="M237">
        <f t="shared" si="24"/>
        <v>5.0965452307692302E-3</v>
      </c>
      <c r="N237">
        <f t="shared" si="25"/>
        <v>1.0501329384615385E-2</v>
      </c>
      <c r="O237">
        <f t="shared" si="26"/>
        <v>7.798937307692308E-3</v>
      </c>
      <c r="P237">
        <f t="shared" si="22"/>
        <v>18.312327008488044</v>
      </c>
      <c r="R237">
        <f t="shared" si="27"/>
        <v>-1.9692338776372323E-3</v>
      </c>
    </row>
    <row r="238" spans="1:19" x14ac:dyDescent="0.2">
      <c r="A238" t="s">
        <v>249</v>
      </c>
      <c r="B238">
        <v>5.6971625399999999</v>
      </c>
      <c r="C238">
        <v>0.24095475</v>
      </c>
      <c r="D238">
        <v>5.84026391</v>
      </c>
      <c r="E238">
        <v>0.41484471000000001</v>
      </c>
      <c r="F238">
        <v>3.3317502600000002</v>
      </c>
      <c r="G238">
        <v>1.31348402</v>
      </c>
      <c r="H238">
        <v>2.6778582599999998</v>
      </c>
      <c r="I238">
        <v>9.6783300000000006E-3</v>
      </c>
      <c r="J238">
        <v>1</v>
      </c>
      <c r="K238">
        <v>950008</v>
      </c>
      <c r="L238">
        <f t="shared" si="23"/>
        <v>1.2814424076923077E-2</v>
      </c>
      <c r="M238">
        <f t="shared" si="24"/>
        <v>5.0518616153846152E-3</v>
      </c>
      <c r="N238">
        <f t="shared" si="25"/>
        <v>1.0299454846153846E-2</v>
      </c>
      <c r="O238">
        <f t="shared" si="26"/>
        <v>7.6756582307692302E-3</v>
      </c>
      <c r="P238">
        <f t="shared" si="22"/>
        <v>13.635249608523331</v>
      </c>
      <c r="R238">
        <f t="shared" si="27"/>
        <v>-1.5257955700001397E-3</v>
      </c>
    </row>
    <row r="239" spans="1:19" x14ac:dyDescent="0.2">
      <c r="A239" t="s">
        <v>250</v>
      </c>
      <c r="B239">
        <v>5.6465522400000001</v>
      </c>
      <c r="C239">
        <v>0.1663578</v>
      </c>
      <c r="D239">
        <v>5.7855002400000002</v>
      </c>
      <c r="E239">
        <v>0.47410824000000001</v>
      </c>
      <c r="F239">
        <v>3.3211997700000002</v>
      </c>
      <c r="G239">
        <v>1.2993524999999999</v>
      </c>
      <c r="H239">
        <v>2.6231444800000001</v>
      </c>
      <c r="I239">
        <v>9.4957199999999992E-3</v>
      </c>
      <c r="J239">
        <v>1</v>
      </c>
      <c r="K239">
        <v>950008</v>
      </c>
      <c r="L239">
        <f t="shared" si="23"/>
        <v>1.277384526923077E-2</v>
      </c>
      <c r="M239">
        <f t="shared" si="24"/>
        <v>4.9975096153846155E-3</v>
      </c>
      <c r="N239">
        <f t="shared" si="25"/>
        <v>1.0089017230769231E-2</v>
      </c>
      <c r="O239">
        <f t="shared" si="26"/>
        <v>7.543263423076923E-3</v>
      </c>
      <c r="P239">
        <f t="shared" si="22"/>
        <v>9.413925757117477</v>
      </c>
      <c r="R239">
        <f t="shared" si="27"/>
        <v>-9.9566956554058184E-4</v>
      </c>
    </row>
    <row r="240" spans="1:19" x14ac:dyDescent="0.2">
      <c r="A240" t="s">
        <v>251</v>
      </c>
      <c r="B240">
        <v>5.5917893000000003</v>
      </c>
      <c r="C240">
        <v>9.9946709999999994E-2</v>
      </c>
      <c r="D240">
        <v>5.7338074299999997</v>
      </c>
      <c r="E240">
        <v>0.67165333999999999</v>
      </c>
      <c r="F240">
        <v>3.30671253</v>
      </c>
      <c r="G240">
        <v>1.28379424</v>
      </c>
      <c r="H240">
        <v>2.5699891799999999</v>
      </c>
      <c r="I240">
        <v>9.6783300000000006E-3</v>
      </c>
      <c r="J240">
        <v>1</v>
      </c>
      <c r="K240">
        <v>950008</v>
      </c>
      <c r="L240">
        <f t="shared" si="23"/>
        <v>1.2718125115384615E-2</v>
      </c>
      <c r="M240">
        <f t="shared" si="24"/>
        <v>4.9376701538461536E-3</v>
      </c>
      <c r="N240">
        <f t="shared" si="25"/>
        <v>9.8845737692307683E-3</v>
      </c>
      <c r="O240">
        <f t="shared" si="26"/>
        <v>7.4111219615384614E-3</v>
      </c>
      <c r="P240">
        <f t="shared" si="22"/>
        <v>5.6558268239189919</v>
      </c>
      <c r="R240">
        <f t="shared" si="27"/>
        <v>-3.9890339862049505E-4</v>
      </c>
    </row>
    <row r="241" spans="1:19" x14ac:dyDescent="0.2">
      <c r="A241" t="s">
        <v>252</v>
      </c>
      <c r="B241">
        <v>5.5515606000000002</v>
      </c>
      <c r="C241">
        <v>5.4792449999999999E-2</v>
      </c>
      <c r="D241">
        <v>5.6979807300000003</v>
      </c>
      <c r="E241">
        <v>0.96797098999999998</v>
      </c>
      <c r="F241">
        <v>3.2851391400000001</v>
      </c>
      <c r="G241">
        <v>1.2732635400000001</v>
      </c>
      <c r="H241">
        <v>2.53314226</v>
      </c>
      <c r="I241">
        <v>9.6783300000000006E-3</v>
      </c>
      <c r="J241">
        <v>1</v>
      </c>
      <c r="K241">
        <v>950008</v>
      </c>
      <c r="L241">
        <f t="shared" si="23"/>
        <v>1.2635150538461539E-2</v>
      </c>
      <c r="M241">
        <f t="shared" si="24"/>
        <v>4.897167461538462E-3</v>
      </c>
      <c r="N241">
        <f t="shared" si="25"/>
        <v>9.7428548461538454E-3</v>
      </c>
      <c r="O241">
        <f t="shared" si="26"/>
        <v>7.3200111538461541E-3</v>
      </c>
      <c r="P241">
        <f t="shared" si="22"/>
        <v>3.1006184041299627</v>
      </c>
      <c r="R241">
        <f t="shared" si="27"/>
        <v>-7.6321400748763658E-5</v>
      </c>
    </row>
    <row r="242" spans="1:19" x14ac:dyDescent="0.2">
      <c r="A242" t="s">
        <v>253</v>
      </c>
      <c r="B242">
        <v>5.5404003800000003</v>
      </c>
      <c r="C242">
        <v>5.162373E-2</v>
      </c>
      <c r="D242">
        <v>5.6836500499999998</v>
      </c>
      <c r="E242">
        <v>1.0864980500000001</v>
      </c>
      <c r="F242">
        <v>3.2645105700000001</v>
      </c>
      <c r="G242">
        <v>1.2699344800000001</v>
      </c>
      <c r="H242">
        <v>2.5232904399999998</v>
      </c>
      <c r="I242">
        <v>9.4957199999999992E-3</v>
      </c>
      <c r="J242">
        <v>1</v>
      </c>
      <c r="K242">
        <v>950008</v>
      </c>
      <c r="L242">
        <f t="shared" si="23"/>
        <v>1.2555809884615386E-2</v>
      </c>
      <c r="M242">
        <f t="shared" si="24"/>
        <v>4.8843633846153848E-3</v>
      </c>
      <c r="N242">
        <f t="shared" si="25"/>
        <v>9.7049632307692306E-3</v>
      </c>
      <c r="O242">
        <f t="shared" si="26"/>
        <v>7.2946633076923081E-3</v>
      </c>
      <c r="P242">
        <f t="shared" si="22"/>
        <v>2.9213055325658206</v>
      </c>
      <c r="R242">
        <f t="shared" si="27"/>
        <v>1.7049537403900726E-4</v>
      </c>
    </row>
    <row r="243" spans="1:19" x14ac:dyDescent="0.2">
      <c r="A243" t="s">
        <v>254</v>
      </c>
      <c r="B243">
        <v>5.5577895599999998</v>
      </c>
      <c r="C243">
        <v>0.10800054000000001</v>
      </c>
      <c r="D243">
        <v>5.7056578800000004</v>
      </c>
      <c r="E243">
        <v>1.0864980500000001</v>
      </c>
      <c r="F243">
        <v>3.2500233299999999</v>
      </c>
      <c r="G243">
        <v>1.2695268399999999</v>
      </c>
      <c r="H243">
        <v>2.54332804</v>
      </c>
      <c r="I243">
        <v>9.6783300000000006E-3</v>
      </c>
      <c r="J243">
        <v>1</v>
      </c>
      <c r="K243">
        <v>950008</v>
      </c>
      <c r="L243">
        <f t="shared" si="23"/>
        <v>1.2500089730769231E-2</v>
      </c>
      <c r="M243">
        <f t="shared" si="24"/>
        <v>4.882795538461538E-3</v>
      </c>
      <c r="N243">
        <f t="shared" si="25"/>
        <v>9.7820309230769228E-3</v>
      </c>
      <c r="O243">
        <f t="shared" si="26"/>
        <v>7.3324132307692304E-3</v>
      </c>
      <c r="P243">
        <f t="shared" si="22"/>
        <v>6.1115803724778548</v>
      </c>
      <c r="R243">
        <f t="shared" si="27"/>
        <v>7.8892384649469733E-4</v>
      </c>
    </row>
    <row r="244" spans="1:19" x14ac:dyDescent="0.2">
      <c r="A244" t="s">
        <v>255</v>
      </c>
      <c r="B244">
        <v>5.5974991799999998</v>
      </c>
      <c r="C244">
        <v>0.18814275</v>
      </c>
      <c r="D244">
        <v>5.7476263000000003</v>
      </c>
      <c r="E244">
        <v>1.0272345199999999</v>
      </c>
      <c r="F244">
        <v>3.23711079</v>
      </c>
      <c r="G244">
        <v>1.2761849599999999</v>
      </c>
      <c r="H244">
        <v>2.5856296400000001</v>
      </c>
      <c r="I244">
        <v>9.6783300000000006E-3</v>
      </c>
      <c r="J244">
        <v>1</v>
      </c>
      <c r="K244">
        <v>950009</v>
      </c>
      <c r="L244">
        <f t="shared" si="23"/>
        <v>1.2450426115384616E-2</v>
      </c>
      <c r="M244">
        <f t="shared" si="24"/>
        <v>4.9084036923076916E-3</v>
      </c>
      <c r="N244">
        <f t="shared" si="25"/>
        <v>9.9447293846153841E-3</v>
      </c>
      <c r="O244">
        <f t="shared" si="26"/>
        <v>7.4265665384615383E-3</v>
      </c>
      <c r="P244">
        <f t="shared" si="22"/>
        <v>10.646701749120957</v>
      </c>
      <c r="Q244">
        <f t="shared" ref="Q244" si="30">ABS(0.5*(SUMPRODUCT(O244:O262,P245:P263)+O263*P244-(SUMPRODUCT(O245:O263,P244:P262)+O244*P263)))</f>
        <v>5.1797828538109325E-3</v>
      </c>
      <c r="R244">
        <f t="shared" si="27"/>
        <v>1.7957320290494197E-3</v>
      </c>
    </row>
    <row r="245" spans="1:19" x14ac:dyDescent="0.2">
      <c r="A245" t="s">
        <v>256</v>
      </c>
      <c r="B245">
        <v>5.6473308600000003</v>
      </c>
      <c r="C245">
        <v>0.28280825999999998</v>
      </c>
      <c r="D245">
        <v>5.8039253999999998</v>
      </c>
      <c r="E245">
        <v>0.79018040000000001</v>
      </c>
      <c r="F245">
        <v>3.2259304200000001</v>
      </c>
      <c r="G245">
        <v>1.29004472</v>
      </c>
      <c r="H245">
        <v>2.64184624</v>
      </c>
      <c r="I245">
        <v>9.6783300000000006E-3</v>
      </c>
      <c r="J245">
        <v>1</v>
      </c>
      <c r="K245">
        <v>950009</v>
      </c>
      <c r="L245">
        <f t="shared" si="23"/>
        <v>1.2407424692307692E-2</v>
      </c>
      <c r="M245">
        <f t="shared" si="24"/>
        <v>4.9617104615384613E-3</v>
      </c>
      <c r="N245">
        <f t="shared" si="25"/>
        <v>1.0160947076923077E-2</v>
      </c>
      <c r="O245">
        <f t="shared" si="26"/>
        <v>7.5613287692307693E-3</v>
      </c>
      <c r="P245">
        <f t="shared" si="22"/>
        <v>16.003673787099711</v>
      </c>
      <c r="R245">
        <f t="shared" si="27"/>
        <v>2.8847573264651929E-3</v>
      </c>
    </row>
    <row r="246" spans="1:19" x14ac:dyDescent="0.2">
      <c r="A246" t="s">
        <v>257</v>
      </c>
      <c r="B246">
        <v>5.7067655200000003</v>
      </c>
      <c r="C246">
        <v>0.39120489000000003</v>
      </c>
      <c r="D246">
        <v>5.8679016500000003</v>
      </c>
      <c r="E246">
        <v>0.67165333999999999</v>
      </c>
      <c r="F246">
        <v>3.2289223499999999</v>
      </c>
      <c r="G246">
        <v>1.30519534</v>
      </c>
      <c r="H246">
        <v>2.7053543000000002</v>
      </c>
      <c r="I246">
        <v>9.4957199999999992E-3</v>
      </c>
      <c r="J246">
        <v>1</v>
      </c>
      <c r="K246">
        <v>950009</v>
      </c>
      <c r="L246">
        <f t="shared" si="23"/>
        <v>1.2418932115384616E-2</v>
      </c>
      <c r="M246">
        <f t="shared" si="24"/>
        <v>5.0199820769230774E-3</v>
      </c>
      <c r="N246">
        <f t="shared" si="25"/>
        <v>1.0405208846153848E-2</v>
      </c>
      <c r="O246">
        <f t="shared" si="26"/>
        <v>7.7125954615384629E-3</v>
      </c>
      <c r="P246">
        <f t="shared" si="22"/>
        <v>22.137668268523086</v>
      </c>
      <c r="R246">
        <f t="shared" si="27"/>
        <v>3.8072079977624022E-3</v>
      </c>
    </row>
    <row r="247" spans="1:19" x14ac:dyDescent="0.2">
      <c r="A247" t="s">
        <v>258</v>
      </c>
      <c r="B247">
        <v>5.7677574199999997</v>
      </c>
      <c r="C247">
        <v>0.52415909999999999</v>
      </c>
      <c r="D247">
        <v>5.9369959999999997</v>
      </c>
      <c r="E247">
        <v>0.53337177000000002</v>
      </c>
      <c r="F247">
        <v>3.2361659700000001</v>
      </c>
      <c r="G247">
        <v>1.3194627400000001</v>
      </c>
      <c r="H247">
        <v>2.7675265200000001</v>
      </c>
      <c r="I247">
        <v>9.4957199999999992E-3</v>
      </c>
      <c r="J247">
        <v>1</v>
      </c>
      <c r="K247">
        <v>950009</v>
      </c>
      <c r="L247">
        <f t="shared" si="23"/>
        <v>1.2446792192307692E-2</v>
      </c>
      <c r="M247">
        <f t="shared" si="24"/>
        <v>5.0748566923076929E-3</v>
      </c>
      <c r="N247">
        <f t="shared" si="25"/>
        <v>1.0644332769230769E-2</v>
      </c>
      <c r="O247">
        <f t="shared" si="26"/>
        <v>7.8595947307692308E-3</v>
      </c>
      <c r="P247">
        <f t="shared" si="22"/>
        <v>29.661337504568561</v>
      </c>
      <c r="R247">
        <f t="shared" si="27"/>
        <v>4.4281160469687077E-3</v>
      </c>
    </row>
    <row r="248" spans="1:19" x14ac:dyDescent="0.2">
      <c r="A248" t="s">
        <v>259</v>
      </c>
      <c r="B248">
        <v>5.8318637999999998</v>
      </c>
      <c r="C248">
        <v>0.70477614</v>
      </c>
      <c r="D248">
        <v>6.0055785400000001</v>
      </c>
      <c r="E248">
        <v>0.47410824000000001</v>
      </c>
      <c r="F248">
        <v>3.24718887</v>
      </c>
      <c r="G248">
        <v>1.33046902</v>
      </c>
      <c r="H248">
        <v>2.82274124</v>
      </c>
      <c r="I248">
        <v>9.3131099999999994E-3</v>
      </c>
      <c r="J248">
        <v>1</v>
      </c>
      <c r="K248">
        <v>950009</v>
      </c>
      <c r="L248">
        <f t="shared" si="23"/>
        <v>1.2489187961538462E-2</v>
      </c>
      <c r="M248">
        <f t="shared" si="24"/>
        <v>5.1171885384615383E-3</v>
      </c>
      <c r="N248">
        <f t="shared" si="25"/>
        <v>1.0856697076923078E-2</v>
      </c>
      <c r="O248">
        <f t="shared" si="26"/>
        <v>7.9869428076923075E-3</v>
      </c>
      <c r="P248">
        <f t="shared" si="22"/>
        <v>39.88217118372468</v>
      </c>
      <c r="R248">
        <f t="shared" si="27"/>
        <v>2.7794102047834462E-3</v>
      </c>
    </row>
    <row r="249" spans="1:19" x14ac:dyDescent="0.2">
      <c r="A249" t="s">
        <v>260</v>
      </c>
      <c r="B249">
        <v>5.8681994</v>
      </c>
      <c r="C249">
        <v>0.82875231000000005</v>
      </c>
      <c r="D249">
        <v>6.0367989499999997</v>
      </c>
      <c r="E249">
        <v>0.47410824000000001</v>
      </c>
      <c r="F249">
        <v>3.2624634600000002</v>
      </c>
      <c r="G249">
        <v>1.3352248200000001</v>
      </c>
      <c r="H249">
        <v>2.8512948200000001</v>
      </c>
      <c r="I249">
        <v>9.4957199999999992E-3</v>
      </c>
      <c r="J249">
        <v>1</v>
      </c>
      <c r="K249">
        <v>950009</v>
      </c>
      <c r="L249">
        <f t="shared" si="23"/>
        <v>1.2547936384615386E-2</v>
      </c>
      <c r="M249">
        <f t="shared" si="24"/>
        <v>5.1354800769230768E-3</v>
      </c>
      <c r="N249">
        <f t="shared" si="25"/>
        <v>1.0966518538461539E-2</v>
      </c>
      <c r="O249">
        <f t="shared" si="26"/>
        <v>8.0509993076923088E-3</v>
      </c>
      <c r="P249">
        <f t="shared" si="22"/>
        <v>46.897787283671754</v>
      </c>
      <c r="R249">
        <f t="shared" si="27"/>
        <v>9.6155019941229769E-4</v>
      </c>
    </row>
    <row r="250" spans="1:19" x14ac:dyDescent="0.2">
      <c r="A250" t="s">
        <v>261</v>
      </c>
      <c r="B250">
        <v>5.8824740999999996</v>
      </c>
      <c r="C250">
        <v>0.85542236999999999</v>
      </c>
      <c r="D250">
        <v>6.0490823899999997</v>
      </c>
      <c r="E250">
        <v>0.41484471000000001</v>
      </c>
      <c r="F250">
        <v>3.2816747999999998</v>
      </c>
      <c r="G250">
        <v>1.3369233199999999</v>
      </c>
      <c r="H250">
        <v>2.8600891000000002</v>
      </c>
      <c r="I250">
        <v>9.4957199999999992E-3</v>
      </c>
      <c r="J250">
        <v>1</v>
      </c>
      <c r="K250">
        <v>950009</v>
      </c>
      <c r="L250">
        <f t="shared" si="23"/>
        <v>1.2621826153846154E-2</v>
      </c>
      <c r="M250">
        <f t="shared" si="24"/>
        <v>5.142012769230769E-3</v>
      </c>
      <c r="N250">
        <f t="shared" si="25"/>
        <v>1.1000342692307694E-2</v>
      </c>
      <c r="O250">
        <f t="shared" si="26"/>
        <v>8.0711777307692304E-3</v>
      </c>
      <c r="P250">
        <f t="shared" si="22"/>
        <v>48.407003952669953</v>
      </c>
      <c r="R250">
        <f t="shared" si="27"/>
        <v>2.5731860035746424E-4</v>
      </c>
    </row>
    <row r="251" spans="1:19" x14ac:dyDescent="0.2">
      <c r="A251" t="s">
        <v>262</v>
      </c>
      <c r="B251">
        <v>5.8850695000000002</v>
      </c>
      <c r="C251">
        <v>0.85542236999999999</v>
      </c>
      <c r="D251">
        <v>6.05573592</v>
      </c>
      <c r="E251">
        <v>0.41484471000000001</v>
      </c>
      <c r="F251">
        <v>3.29616204</v>
      </c>
      <c r="G251">
        <v>1.33712714</v>
      </c>
      <c r="H251">
        <v>2.8626494600000001</v>
      </c>
      <c r="I251">
        <v>9.4957199999999992E-3</v>
      </c>
      <c r="J251">
        <v>1</v>
      </c>
      <c r="K251">
        <v>950009</v>
      </c>
      <c r="L251">
        <f t="shared" si="23"/>
        <v>1.2677546307692307E-2</v>
      </c>
      <c r="M251">
        <f t="shared" si="24"/>
        <v>5.1427966923076919E-3</v>
      </c>
      <c r="N251">
        <f t="shared" si="25"/>
        <v>1.1010190230769231E-2</v>
      </c>
      <c r="O251">
        <f t="shared" si="26"/>
        <v>8.0764934615384608E-3</v>
      </c>
      <c r="P251">
        <f t="shared" si="22"/>
        <v>48.407003952669953</v>
      </c>
      <c r="R251">
        <f t="shared" si="27"/>
        <v>-1.3003098531202121E-4</v>
      </c>
    </row>
    <row r="252" spans="1:19" x14ac:dyDescent="0.2">
      <c r="A252" t="s">
        <v>263</v>
      </c>
      <c r="B252">
        <v>5.8809168600000001</v>
      </c>
      <c r="C252">
        <v>0.81673757999999996</v>
      </c>
      <c r="D252">
        <v>6.04754696</v>
      </c>
      <c r="E252">
        <v>0.41484471000000001</v>
      </c>
      <c r="F252">
        <v>3.30671253</v>
      </c>
      <c r="G252">
        <v>1.3375347799999999</v>
      </c>
      <c r="H252">
        <v>2.86081268</v>
      </c>
      <c r="I252">
        <v>9.6783300000000006E-3</v>
      </c>
      <c r="J252">
        <v>1</v>
      </c>
      <c r="K252">
        <v>950009</v>
      </c>
      <c r="L252">
        <f t="shared" si="23"/>
        <v>1.2718125115384615E-2</v>
      </c>
      <c r="M252">
        <f t="shared" si="24"/>
        <v>5.1443645384615377E-3</v>
      </c>
      <c r="N252">
        <f t="shared" si="25"/>
        <v>1.1003125692307693E-2</v>
      </c>
      <c r="O252">
        <f t="shared" si="26"/>
        <v>8.0737451153846153E-3</v>
      </c>
      <c r="P252">
        <f t="shared" si="22"/>
        <v>46.217892645657713</v>
      </c>
      <c r="R252">
        <f t="shared" si="27"/>
        <v>-9.7431483905171135E-4</v>
      </c>
    </row>
    <row r="253" spans="1:19" x14ac:dyDescent="0.2">
      <c r="A253" t="s">
        <v>264</v>
      </c>
      <c r="B253">
        <v>5.8658635400000003</v>
      </c>
      <c r="C253">
        <v>0.70794486000000001</v>
      </c>
      <c r="D253">
        <v>6.0367989499999997</v>
      </c>
      <c r="E253">
        <v>0.41484471000000001</v>
      </c>
      <c r="F253">
        <v>3.3191526599999999</v>
      </c>
      <c r="G253">
        <v>1.3375347799999999</v>
      </c>
      <c r="H253">
        <v>2.84906842</v>
      </c>
      <c r="I253">
        <v>9.6783300000000006E-3</v>
      </c>
      <c r="J253">
        <v>1</v>
      </c>
      <c r="K253">
        <v>950009</v>
      </c>
      <c r="L253">
        <f t="shared" si="23"/>
        <v>1.2765971769230769E-2</v>
      </c>
      <c r="M253">
        <f t="shared" si="24"/>
        <v>5.1443645384615377E-3</v>
      </c>
      <c r="N253">
        <f t="shared" si="25"/>
        <v>1.0957955461538462E-2</v>
      </c>
      <c r="O253">
        <f t="shared" si="26"/>
        <v>8.0511600000000016E-3</v>
      </c>
      <c r="P253">
        <f t="shared" si="22"/>
        <v>40.061484055288823</v>
      </c>
      <c r="R253">
        <f t="shared" si="27"/>
        <v>-1.0844354433713298E-3</v>
      </c>
    </row>
    <row r="254" spans="1:19" x14ac:dyDescent="0.2">
      <c r="A254" t="s">
        <v>265</v>
      </c>
      <c r="B254">
        <v>5.84847436</v>
      </c>
      <c r="C254">
        <v>0.61169499000000005</v>
      </c>
      <c r="D254">
        <v>6.0193974099999998</v>
      </c>
      <c r="E254">
        <v>0.41484471000000001</v>
      </c>
      <c r="F254">
        <v>3.3312778500000002</v>
      </c>
      <c r="G254">
        <v>1.3377386</v>
      </c>
      <c r="H254">
        <v>2.8337619200000002</v>
      </c>
      <c r="I254">
        <v>9.4957199999999992E-3</v>
      </c>
      <c r="J254">
        <v>1</v>
      </c>
      <c r="K254">
        <v>950009</v>
      </c>
      <c r="L254">
        <f t="shared" si="23"/>
        <v>1.2812607115384617E-2</v>
      </c>
      <c r="M254">
        <f t="shared" si="24"/>
        <v>5.1451484615384615E-3</v>
      </c>
      <c r="N254">
        <f t="shared" si="25"/>
        <v>1.0899084307692309E-2</v>
      </c>
      <c r="O254">
        <f t="shared" si="26"/>
        <v>8.0221163846153857E-3</v>
      </c>
      <c r="P254">
        <f t="shared" si="22"/>
        <v>34.614855581527998</v>
      </c>
      <c r="R254">
        <f t="shared" si="27"/>
        <v>-1.2730298303497776E-3</v>
      </c>
      <c r="S254">
        <f>ABS(SUMIFS($R:$R,$K:$K,K254))</f>
        <v>5.1755338547135208E-3</v>
      </c>
    </row>
    <row r="255" spans="1:19" x14ac:dyDescent="0.2">
      <c r="A255" t="s">
        <v>266</v>
      </c>
      <c r="B255">
        <v>5.82485622</v>
      </c>
      <c r="C255">
        <v>0.52336691999999996</v>
      </c>
      <c r="D255">
        <v>5.9932951000000001</v>
      </c>
      <c r="E255">
        <v>0.41484471000000001</v>
      </c>
      <c r="F255">
        <v>3.33505713</v>
      </c>
      <c r="G255">
        <v>1.3373309600000001</v>
      </c>
      <c r="H255">
        <v>2.81355734</v>
      </c>
      <c r="I255">
        <v>9.8609400000000003E-3</v>
      </c>
      <c r="J255">
        <v>1</v>
      </c>
      <c r="K255">
        <v>950009</v>
      </c>
      <c r="L255">
        <f t="shared" si="23"/>
        <v>1.2827142807692309E-2</v>
      </c>
      <c r="M255">
        <f t="shared" si="24"/>
        <v>5.1435806153846157E-3</v>
      </c>
      <c r="N255">
        <f t="shared" si="25"/>
        <v>1.0821374384615385E-2</v>
      </c>
      <c r="O255">
        <f t="shared" si="26"/>
        <v>7.9824774999999997E-3</v>
      </c>
      <c r="P255">
        <f t="shared" si="22"/>
        <v>29.616509286677523</v>
      </c>
      <c r="R255">
        <f t="shared" si="27"/>
        <v>-1.9945247095905002E-3</v>
      </c>
    </row>
    <row r="256" spans="1:19" x14ac:dyDescent="0.2">
      <c r="A256" t="s">
        <v>267</v>
      </c>
      <c r="B256">
        <v>5.7924137199999999</v>
      </c>
      <c r="C256">
        <v>0.42223193999999997</v>
      </c>
      <c r="D256">
        <v>5.9523503</v>
      </c>
      <c r="E256">
        <v>0.41484471000000001</v>
      </c>
      <c r="F256">
        <v>3.3394662899999998</v>
      </c>
      <c r="G256">
        <v>1.33318662</v>
      </c>
      <c r="H256">
        <v>2.7789368200000002</v>
      </c>
      <c r="I256">
        <v>9.4957199999999992E-3</v>
      </c>
      <c r="J256">
        <v>1</v>
      </c>
      <c r="K256">
        <v>950009</v>
      </c>
      <c r="L256">
        <f t="shared" si="23"/>
        <v>1.2844101115384615E-2</v>
      </c>
      <c r="M256">
        <f t="shared" si="24"/>
        <v>5.1276408461538459E-3</v>
      </c>
      <c r="N256">
        <f t="shared" si="25"/>
        <v>1.0688218538461539E-2</v>
      </c>
      <c r="O256">
        <f t="shared" si="26"/>
        <v>7.9079296923076931E-3</v>
      </c>
      <c r="P256">
        <f t="shared" si="22"/>
        <v>23.893440135921978</v>
      </c>
      <c r="R256">
        <f t="shared" si="27"/>
        <v>-2.2435119034679178E-3</v>
      </c>
    </row>
    <row r="257" spans="1:18" x14ac:dyDescent="0.2">
      <c r="A257" t="s">
        <v>268</v>
      </c>
      <c r="B257">
        <v>5.7495896200000001</v>
      </c>
      <c r="C257">
        <v>0.32558598</v>
      </c>
      <c r="D257">
        <v>5.8975866300000002</v>
      </c>
      <c r="E257">
        <v>0.41484471000000001</v>
      </c>
      <c r="F257">
        <v>3.3399386999999998</v>
      </c>
      <c r="G257">
        <v>1.32530558</v>
      </c>
      <c r="H257">
        <v>2.7316814800000002</v>
      </c>
      <c r="I257">
        <v>9.4957199999999992E-3</v>
      </c>
      <c r="J257">
        <v>1</v>
      </c>
      <c r="K257">
        <v>950009</v>
      </c>
      <c r="L257">
        <f t="shared" si="23"/>
        <v>1.2845918076923077E-2</v>
      </c>
      <c r="M257">
        <f t="shared" si="24"/>
        <v>5.097329153846154E-3</v>
      </c>
      <c r="N257">
        <f t="shared" si="25"/>
        <v>1.0506467230769232E-2</v>
      </c>
      <c r="O257">
        <f t="shared" si="26"/>
        <v>7.8018981923076922E-3</v>
      </c>
      <c r="P257">
        <f t="shared" si="22"/>
        <v>18.424397553215634</v>
      </c>
      <c r="R257">
        <f t="shared" si="27"/>
        <v>-1.9826744713418816E-3</v>
      </c>
    </row>
    <row r="258" spans="1:18" x14ac:dyDescent="0.2">
      <c r="A258" t="s">
        <v>269</v>
      </c>
      <c r="B258">
        <v>5.6994984000000004</v>
      </c>
      <c r="C258">
        <v>0.24135084000000001</v>
      </c>
      <c r="D258">
        <v>5.8417993399999997</v>
      </c>
      <c r="E258">
        <v>0.41484471000000001</v>
      </c>
      <c r="F258">
        <v>3.3322226700000002</v>
      </c>
      <c r="G258">
        <v>1.3136878400000001</v>
      </c>
      <c r="H258">
        <v>2.6790271200000002</v>
      </c>
      <c r="I258">
        <v>9.6783300000000006E-3</v>
      </c>
      <c r="J258">
        <v>1</v>
      </c>
      <c r="K258">
        <v>950009</v>
      </c>
      <c r="L258">
        <f t="shared" si="23"/>
        <v>1.2816241038461539E-2</v>
      </c>
      <c r="M258">
        <f t="shared" si="24"/>
        <v>5.052645538461539E-3</v>
      </c>
      <c r="N258">
        <f t="shared" si="25"/>
        <v>1.0303950461538463E-2</v>
      </c>
      <c r="O258">
        <f t="shared" si="26"/>
        <v>7.6782980000000001E-3</v>
      </c>
      <c r="P258">
        <f t="shared" si="22"/>
        <v>13.65766371746885</v>
      </c>
      <c r="R258">
        <f t="shared" si="27"/>
        <v>-1.5186359097727354E-3</v>
      </c>
    </row>
    <row r="259" spans="1:18" x14ac:dyDescent="0.2">
      <c r="A259" t="s">
        <v>270</v>
      </c>
      <c r="B259">
        <v>5.6473308600000003</v>
      </c>
      <c r="C259">
        <v>0.1663578</v>
      </c>
      <c r="D259">
        <v>5.7870356699999999</v>
      </c>
      <c r="E259">
        <v>0.41484471000000001</v>
      </c>
      <c r="F259">
        <v>3.3197825399999998</v>
      </c>
      <c r="G259">
        <v>1.29955632</v>
      </c>
      <c r="H259">
        <v>2.62470296</v>
      </c>
      <c r="I259">
        <v>9.6783300000000006E-3</v>
      </c>
      <c r="J259">
        <v>1</v>
      </c>
      <c r="K259">
        <v>950009</v>
      </c>
      <c r="L259">
        <f t="shared" si="23"/>
        <v>1.2768394384615384E-2</v>
      </c>
      <c r="M259">
        <f t="shared" si="24"/>
        <v>4.9982935384615384E-3</v>
      </c>
      <c r="N259">
        <f t="shared" si="25"/>
        <v>1.0095011384615384E-2</v>
      </c>
      <c r="O259">
        <f t="shared" si="26"/>
        <v>7.546652461538462E-3</v>
      </c>
      <c r="P259">
        <f t="shared" ref="P259:P322" si="31">+C259*4/(PI()*0.15^2)</f>
        <v>9.413925757117477</v>
      </c>
      <c r="R259">
        <f t="shared" si="27"/>
        <v>-1.0047946576299828E-3</v>
      </c>
    </row>
    <row r="260" spans="1:18" x14ac:dyDescent="0.2">
      <c r="A260" t="s">
        <v>271</v>
      </c>
      <c r="B260">
        <v>5.5943847</v>
      </c>
      <c r="C260">
        <v>0.10192716</v>
      </c>
      <c r="D260">
        <v>5.7307365700000004</v>
      </c>
      <c r="E260">
        <v>0.79018040000000001</v>
      </c>
      <c r="F260">
        <v>3.30624012</v>
      </c>
      <c r="G260">
        <v>1.28426982</v>
      </c>
      <c r="H260">
        <v>2.5711580399999998</v>
      </c>
      <c r="I260">
        <v>9.8609400000000003E-3</v>
      </c>
      <c r="J260">
        <v>1</v>
      </c>
      <c r="K260">
        <v>950009</v>
      </c>
      <c r="L260">
        <f t="shared" ref="L260:L323" si="32">+F260/260</f>
        <v>1.2716308153846154E-2</v>
      </c>
      <c r="M260">
        <f t="shared" ref="M260:M323" si="33">+G260/260</f>
        <v>4.9394993076923074E-3</v>
      </c>
      <c r="N260">
        <f t="shared" ref="N260:N323" si="34">+H260/260</f>
        <v>9.8890693846153833E-3</v>
      </c>
      <c r="O260">
        <f t="shared" ref="O260:O323" si="35">(+G260+H260)/520</f>
        <v>7.4142843461538462E-3</v>
      </c>
      <c r="P260">
        <f t="shared" si="31"/>
        <v>5.7678973686465813</v>
      </c>
      <c r="R260">
        <f t="shared" ref="R260:R323" si="36">+(P260+P261)/2*(O261-O260)</f>
        <v>-4.2079385392272754E-4</v>
      </c>
    </row>
    <row r="261" spans="1:18" x14ac:dyDescent="0.2">
      <c r="A261" t="s">
        <v>272</v>
      </c>
      <c r="B261">
        <v>5.5523392200000004</v>
      </c>
      <c r="C261">
        <v>5.4000270000000003E-2</v>
      </c>
      <c r="D261">
        <v>5.6933744400000004</v>
      </c>
      <c r="E261">
        <v>1.0272345199999999</v>
      </c>
      <c r="F261">
        <v>3.28750119</v>
      </c>
      <c r="G261">
        <v>1.2728558999999999</v>
      </c>
      <c r="H261">
        <v>2.5329752800000001</v>
      </c>
      <c r="I261">
        <v>9.6783300000000006E-3</v>
      </c>
      <c r="J261">
        <v>1</v>
      </c>
      <c r="K261">
        <v>950009</v>
      </c>
      <c r="L261">
        <f t="shared" si="32"/>
        <v>1.2644235346153845E-2</v>
      </c>
      <c r="M261">
        <f t="shared" si="33"/>
        <v>4.8955996153846153E-3</v>
      </c>
      <c r="N261">
        <f t="shared" si="34"/>
        <v>9.7422126153846149E-3</v>
      </c>
      <c r="O261">
        <f t="shared" si="35"/>
        <v>7.3189061153846159E-3</v>
      </c>
      <c r="P261">
        <f t="shared" si="31"/>
        <v>3.0557901862389274</v>
      </c>
      <c r="R261">
        <f t="shared" si="36"/>
        <v>-8.0701453273636492E-5</v>
      </c>
    </row>
    <row r="262" spans="1:18" x14ac:dyDescent="0.2">
      <c r="A262" t="s">
        <v>273</v>
      </c>
      <c r="B262">
        <v>5.5404003800000003</v>
      </c>
      <c r="C262">
        <v>5.0303430000000003E-2</v>
      </c>
      <c r="D262">
        <v>5.6759728999999997</v>
      </c>
      <c r="E262">
        <v>1.20502511</v>
      </c>
      <c r="F262">
        <v>3.2654553900000001</v>
      </c>
      <c r="G262">
        <v>1.2693230200000001</v>
      </c>
      <c r="H262">
        <v>2.5222885599999998</v>
      </c>
      <c r="I262">
        <v>9.8609400000000003E-3</v>
      </c>
      <c r="J262">
        <v>1</v>
      </c>
      <c r="K262">
        <v>950009</v>
      </c>
      <c r="L262">
        <f t="shared" si="32"/>
        <v>1.2559443807692307E-2</v>
      </c>
      <c r="M262">
        <f t="shared" si="33"/>
        <v>4.882011615384616E-3</v>
      </c>
      <c r="N262">
        <f t="shared" si="34"/>
        <v>9.7011098461538461E-3</v>
      </c>
      <c r="O262">
        <f t="shared" si="35"/>
        <v>7.2915607307692297E-3</v>
      </c>
      <c r="P262">
        <f t="shared" si="31"/>
        <v>2.8465918360807612</v>
      </c>
      <c r="R262">
        <f t="shared" si="36"/>
        <v>1.664354659679013E-4</v>
      </c>
    </row>
    <row r="263" spans="1:18" x14ac:dyDescent="0.2">
      <c r="A263" t="s">
        <v>274</v>
      </c>
      <c r="B263">
        <v>5.5601254200000003</v>
      </c>
      <c r="C263">
        <v>0.10522790999999999</v>
      </c>
      <c r="D263">
        <v>5.6995161599999999</v>
      </c>
      <c r="E263">
        <v>1.20502511</v>
      </c>
      <c r="F263">
        <v>3.24718887</v>
      </c>
      <c r="G263">
        <v>1.2691192</v>
      </c>
      <c r="H263">
        <v>2.5421591800000001</v>
      </c>
      <c r="I263">
        <v>9.8609400000000003E-3</v>
      </c>
      <c r="J263">
        <v>1</v>
      </c>
      <c r="K263">
        <v>950009</v>
      </c>
      <c r="L263">
        <f t="shared" si="32"/>
        <v>1.2489187961538462E-2</v>
      </c>
      <c r="M263">
        <f t="shared" si="33"/>
        <v>4.8812276923076922E-3</v>
      </c>
      <c r="N263">
        <f t="shared" si="34"/>
        <v>9.7775353076923078E-3</v>
      </c>
      <c r="O263">
        <f t="shared" si="35"/>
        <v>7.3293815E-3</v>
      </c>
      <c r="P263">
        <f t="shared" si="31"/>
        <v>5.9546816098592297</v>
      </c>
      <c r="R263">
        <f t="shared" si="36"/>
        <v>8.0245404103091247E-4</v>
      </c>
    </row>
    <row r="264" spans="1:18" x14ac:dyDescent="0.2">
      <c r="A264" t="s">
        <v>275</v>
      </c>
      <c r="B264">
        <v>5.5951633200000002</v>
      </c>
      <c r="C264">
        <v>0.18853884000000001</v>
      </c>
      <c r="D264">
        <v>5.7445554400000001</v>
      </c>
      <c r="E264">
        <v>1.1457615800000001</v>
      </c>
      <c r="F264">
        <v>3.2361659700000001</v>
      </c>
      <c r="G264">
        <v>1.2761849599999999</v>
      </c>
      <c r="H264">
        <v>2.5852956800000002</v>
      </c>
      <c r="I264">
        <v>9.8609400000000003E-3</v>
      </c>
      <c r="J264">
        <v>1</v>
      </c>
      <c r="K264">
        <v>950010</v>
      </c>
      <c r="L264">
        <f t="shared" si="32"/>
        <v>1.2446792192307692E-2</v>
      </c>
      <c r="M264">
        <f t="shared" si="33"/>
        <v>4.9084036923076916E-3</v>
      </c>
      <c r="N264">
        <f t="shared" si="34"/>
        <v>9.9434449230769231E-3</v>
      </c>
      <c r="O264">
        <f t="shared" si="35"/>
        <v>7.4259243076923078E-3</v>
      </c>
      <c r="P264">
        <f t="shared" si="31"/>
        <v>10.669115858066476</v>
      </c>
      <c r="Q264">
        <f t="shared" ref="Q264" si="37">ABS(0.5*(SUMPRODUCT(O264:O282,P265:P283)+O283*P264-(SUMPRODUCT(O265:O283,P264:P282)+O264*P283)))</f>
        <v>5.1689480652159503E-3</v>
      </c>
      <c r="R264">
        <f t="shared" si="36"/>
        <v>1.8434182149425933E-3</v>
      </c>
    </row>
    <row r="265" spans="1:18" x14ac:dyDescent="0.2">
      <c r="A265" t="s">
        <v>276</v>
      </c>
      <c r="B265">
        <v>5.6481094799999996</v>
      </c>
      <c r="C265">
        <v>0.28452464999999999</v>
      </c>
      <c r="D265">
        <v>5.8039253999999998</v>
      </c>
      <c r="E265">
        <v>0.90870746000000002</v>
      </c>
      <c r="F265">
        <v>3.22844994</v>
      </c>
      <c r="G265">
        <v>1.2902485400000001</v>
      </c>
      <c r="H265">
        <v>2.64284812</v>
      </c>
      <c r="I265">
        <v>9.8609400000000003E-3</v>
      </c>
      <c r="J265">
        <v>1</v>
      </c>
      <c r="K265">
        <v>950010</v>
      </c>
      <c r="L265">
        <f t="shared" si="32"/>
        <v>1.2417115153846154E-2</v>
      </c>
      <c r="M265">
        <f t="shared" si="33"/>
        <v>4.9624943846153851E-3</v>
      </c>
      <c r="N265">
        <f t="shared" si="34"/>
        <v>1.0164800461538462E-2</v>
      </c>
      <c r="O265">
        <f t="shared" si="35"/>
        <v>7.5636474230769239E-3</v>
      </c>
      <c r="P265">
        <f t="shared" si="31"/>
        <v>16.100801592530289</v>
      </c>
      <c r="R265">
        <f t="shared" si="36"/>
        <v>2.9312265643192249E-3</v>
      </c>
    </row>
    <row r="266" spans="1:18" x14ac:dyDescent="0.2">
      <c r="A266" t="s">
        <v>277</v>
      </c>
      <c r="B266">
        <v>5.7098800000000001</v>
      </c>
      <c r="C266">
        <v>0.39490173000000001</v>
      </c>
      <c r="D266">
        <v>5.8730197500000001</v>
      </c>
      <c r="E266">
        <v>0.73091687000000005</v>
      </c>
      <c r="F266">
        <v>3.2293947599999999</v>
      </c>
      <c r="G266">
        <v>1.3058068</v>
      </c>
      <c r="H266">
        <v>2.7065788199999998</v>
      </c>
      <c r="I266">
        <v>9.8609400000000003E-3</v>
      </c>
      <c r="J266">
        <v>1</v>
      </c>
      <c r="K266">
        <v>950010</v>
      </c>
      <c r="L266">
        <f t="shared" si="32"/>
        <v>1.2420749076923077E-2</v>
      </c>
      <c r="M266">
        <f t="shared" si="33"/>
        <v>5.0223338461538461E-3</v>
      </c>
      <c r="N266">
        <f t="shared" si="34"/>
        <v>1.0409918538461538E-2</v>
      </c>
      <c r="O266">
        <f t="shared" si="35"/>
        <v>7.7161261923076917E-3</v>
      </c>
      <c r="P266">
        <f t="shared" si="31"/>
        <v>22.346866618681251</v>
      </c>
      <c r="R266">
        <f t="shared" si="36"/>
        <v>3.83755228195955E-3</v>
      </c>
    </row>
    <row r="267" spans="1:18" x14ac:dyDescent="0.2">
      <c r="A267" t="s">
        <v>278</v>
      </c>
      <c r="B267">
        <v>5.7724291399999998</v>
      </c>
      <c r="C267">
        <v>0.52864812000000005</v>
      </c>
      <c r="D267">
        <v>5.9416022899999996</v>
      </c>
      <c r="E267">
        <v>0.67165333999999999</v>
      </c>
      <c r="F267">
        <v>3.23711079</v>
      </c>
      <c r="G267">
        <v>1.3196665599999999</v>
      </c>
      <c r="H267">
        <v>2.769085</v>
      </c>
      <c r="I267">
        <v>9.6783300000000006E-3</v>
      </c>
      <c r="J267">
        <v>1</v>
      </c>
      <c r="K267">
        <v>950010</v>
      </c>
      <c r="L267">
        <f t="shared" si="32"/>
        <v>1.2450426115384616E-2</v>
      </c>
      <c r="M267">
        <f t="shared" si="33"/>
        <v>5.075640615384615E-3</v>
      </c>
      <c r="N267">
        <f t="shared" si="34"/>
        <v>1.0650326923076924E-2</v>
      </c>
      <c r="O267">
        <f t="shared" si="35"/>
        <v>7.8629837692307698E-3</v>
      </c>
      <c r="P267">
        <f t="shared" si="31"/>
        <v>29.915364072617766</v>
      </c>
      <c r="R267">
        <f t="shared" si="36"/>
        <v>4.3873602939348859E-3</v>
      </c>
    </row>
    <row r="268" spans="1:18" x14ac:dyDescent="0.2">
      <c r="A268" t="s">
        <v>279</v>
      </c>
      <c r="B268">
        <v>5.8341996600000003</v>
      </c>
      <c r="C268">
        <v>0.70873704000000004</v>
      </c>
      <c r="D268">
        <v>6.0055785400000001</v>
      </c>
      <c r="E268">
        <v>0.61238981000000003</v>
      </c>
      <c r="F268">
        <v>3.2486060999999999</v>
      </c>
      <c r="G268">
        <v>1.3306728400000001</v>
      </c>
      <c r="H268">
        <v>2.8232421799999998</v>
      </c>
      <c r="I268">
        <v>9.6783300000000006E-3</v>
      </c>
      <c r="J268">
        <v>1</v>
      </c>
      <c r="K268">
        <v>950010</v>
      </c>
      <c r="L268">
        <f t="shared" si="32"/>
        <v>1.2494638846153846E-2</v>
      </c>
      <c r="M268">
        <f t="shared" si="33"/>
        <v>5.1179724615384621E-3</v>
      </c>
      <c r="N268">
        <f t="shared" si="34"/>
        <v>1.0858623769230769E-2</v>
      </c>
      <c r="O268">
        <f t="shared" si="35"/>
        <v>7.9882981153846146E-3</v>
      </c>
      <c r="P268">
        <f t="shared" si="31"/>
        <v>40.10631227317986</v>
      </c>
      <c r="R268">
        <f t="shared" si="36"/>
        <v>2.7796499899151498E-3</v>
      </c>
    </row>
    <row r="269" spans="1:18" x14ac:dyDescent="0.2">
      <c r="A269" t="s">
        <v>280</v>
      </c>
      <c r="B269">
        <v>5.8700161800000004</v>
      </c>
      <c r="C269">
        <v>0.82439532000000004</v>
      </c>
      <c r="D269">
        <v>6.0398698099999999</v>
      </c>
      <c r="E269">
        <v>0.61238981000000003</v>
      </c>
      <c r="F269">
        <v>3.2615186399999998</v>
      </c>
      <c r="G269">
        <v>1.3361080400000001</v>
      </c>
      <c r="H269">
        <v>2.8511278400000002</v>
      </c>
      <c r="I269">
        <v>9.4957199999999992E-3</v>
      </c>
      <c r="J269">
        <v>1</v>
      </c>
      <c r="K269">
        <v>950010</v>
      </c>
      <c r="L269">
        <f t="shared" si="32"/>
        <v>1.254430246153846E-2</v>
      </c>
      <c r="M269">
        <f t="shared" si="33"/>
        <v>5.1388770769230773E-3</v>
      </c>
      <c r="N269">
        <f t="shared" si="34"/>
        <v>1.0965876307692309E-2</v>
      </c>
      <c r="O269">
        <f t="shared" si="35"/>
        <v>8.0523766923076921E-3</v>
      </c>
      <c r="P269">
        <f t="shared" si="31"/>
        <v>46.651232085271062</v>
      </c>
      <c r="R269">
        <f t="shared" si="36"/>
        <v>8.1768530781316034E-4</v>
      </c>
    </row>
    <row r="270" spans="1:18" x14ac:dyDescent="0.2">
      <c r="A270" t="s">
        <v>281</v>
      </c>
      <c r="B270">
        <v>5.8809168600000001</v>
      </c>
      <c r="C270">
        <v>0.84934898999999997</v>
      </c>
      <c r="D270">
        <v>6.0511296300000001</v>
      </c>
      <c r="E270">
        <v>0.53337177000000002</v>
      </c>
      <c r="F270">
        <v>3.2788403399999999</v>
      </c>
      <c r="G270">
        <v>1.33712714</v>
      </c>
      <c r="H270">
        <v>2.8590872200000002</v>
      </c>
      <c r="I270">
        <v>9.8609400000000003E-3</v>
      </c>
      <c r="J270">
        <v>1</v>
      </c>
      <c r="K270">
        <v>950010</v>
      </c>
      <c r="L270">
        <f t="shared" si="32"/>
        <v>1.2610924384615384E-2</v>
      </c>
      <c r="M270">
        <f t="shared" si="33"/>
        <v>5.1427966923076919E-3</v>
      </c>
      <c r="N270">
        <f t="shared" si="34"/>
        <v>1.0996489307692309E-2</v>
      </c>
      <c r="O270">
        <f t="shared" si="35"/>
        <v>8.0696429999999996E-3</v>
      </c>
      <c r="P270">
        <f t="shared" si="31"/>
        <v>48.063320948838673</v>
      </c>
      <c r="R270">
        <f t="shared" si="36"/>
        <v>2.2818854232204675E-4</v>
      </c>
    </row>
    <row r="271" spans="1:18" x14ac:dyDescent="0.2">
      <c r="A271" t="s">
        <v>282</v>
      </c>
      <c r="B271">
        <v>5.8832527199999998</v>
      </c>
      <c r="C271">
        <v>0.85053725999999996</v>
      </c>
      <c r="D271">
        <v>6.0511296300000001</v>
      </c>
      <c r="E271">
        <v>0.53337177000000002</v>
      </c>
      <c r="F271">
        <v>3.29663445</v>
      </c>
      <c r="G271">
        <v>1.3375347799999999</v>
      </c>
      <c r="H271">
        <v>2.8611466399999999</v>
      </c>
      <c r="I271">
        <v>9.8609400000000003E-3</v>
      </c>
      <c r="J271">
        <v>1</v>
      </c>
      <c r="K271">
        <v>950010</v>
      </c>
      <c r="L271">
        <f t="shared" si="32"/>
        <v>1.2679363269230769E-2</v>
      </c>
      <c r="M271">
        <f t="shared" si="33"/>
        <v>5.1443645384615377E-3</v>
      </c>
      <c r="N271">
        <f t="shared" si="34"/>
        <v>1.1004410153846154E-2</v>
      </c>
      <c r="O271">
        <f t="shared" si="35"/>
        <v>8.0743873461538457E-3</v>
      </c>
      <c r="P271">
        <f t="shared" si="31"/>
        <v>48.130563275675229</v>
      </c>
      <c r="R271">
        <f t="shared" si="36"/>
        <v>-1.5207150063062908E-5</v>
      </c>
    </row>
    <row r="272" spans="1:18" x14ac:dyDescent="0.2">
      <c r="A272" t="s">
        <v>283</v>
      </c>
      <c r="B272">
        <v>5.8809168600000001</v>
      </c>
      <c r="C272">
        <v>0.82320705000000005</v>
      </c>
      <c r="D272">
        <v>6.04754696</v>
      </c>
      <c r="E272">
        <v>0.53337177000000002</v>
      </c>
      <c r="F272">
        <v>3.3081297599999999</v>
      </c>
      <c r="G272">
        <v>1.3375347799999999</v>
      </c>
      <c r="H272">
        <v>2.8609796599999999</v>
      </c>
      <c r="I272">
        <v>9.6783300000000006E-3</v>
      </c>
      <c r="J272">
        <v>1</v>
      </c>
      <c r="K272">
        <v>950010</v>
      </c>
      <c r="L272">
        <f t="shared" si="32"/>
        <v>1.2723576E-2</v>
      </c>
      <c r="M272">
        <f t="shared" si="33"/>
        <v>5.1443645384615377E-3</v>
      </c>
      <c r="N272">
        <f t="shared" si="34"/>
        <v>1.1003767923076923E-2</v>
      </c>
      <c r="O272">
        <f t="shared" si="35"/>
        <v>8.0740662307692314E-3</v>
      </c>
      <c r="P272">
        <f t="shared" si="31"/>
        <v>46.583989758434505</v>
      </c>
      <c r="R272">
        <f t="shared" si="36"/>
        <v>-1.0585754352941976E-3</v>
      </c>
    </row>
    <row r="273" spans="1:19" x14ac:dyDescent="0.2">
      <c r="A273" t="s">
        <v>284</v>
      </c>
      <c r="B273">
        <v>5.8650849200000001</v>
      </c>
      <c r="C273">
        <v>0.70754877000000005</v>
      </c>
      <c r="D273">
        <v>6.0306572300000001</v>
      </c>
      <c r="E273">
        <v>0.53337177000000002</v>
      </c>
      <c r="F273">
        <v>3.3186802499999999</v>
      </c>
      <c r="G273">
        <v>1.3377386</v>
      </c>
      <c r="H273">
        <v>2.84806654</v>
      </c>
      <c r="I273">
        <v>9.8609400000000003E-3</v>
      </c>
      <c r="J273">
        <v>1</v>
      </c>
      <c r="K273">
        <v>950010</v>
      </c>
      <c r="L273">
        <f t="shared" si="32"/>
        <v>1.2764154807692307E-2</v>
      </c>
      <c r="M273">
        <f t="shared" si="33"/>
        <v>5.1451484615384615E-3</v>
      </c>
      <c r="N273">
        <f t="shared" si="34"/>
        <v>1.0954102076923078E-2</v>
      </c>
      <c r="O273">
        <f t="shared" si="35"/>
        <v>8.0496252692307691E-3</v>
      </c>
      <c r="P273">
        <f t="shared" si="31"/>
        <v>40.039069946343304</v>
      </c>
      <c r="R273">
        <f t="shared" si="36"/>
        <v>-1.0781102510806866E-3</v>
      </c>
    </row>
    <row r="274" spans="1:19" x14ac:dyDescent="0.2">
      <c r="A274" t="s">
        <v>285</v>
      </c>
      <c r="B274">
        <v>5.84458126</v>
      </c>
      <c r="C274">
        <v>0.60760206000000005</v>
      </c>
      <c r="D274">
        <v>6.0147911199999999</v>
      </c>
      <c r="E274">
        <v>0.53337177000000002</v>
      </c>
      <c r="F274">
        <v>3.3293882099999998</v>
      </c>
      <c r="G274">
        <v>1.3381462399999999</v>
      </c>
      <c r="H274">
        <v>2.8325930600000002</v>
      </c>
      <c r="I274">
        <v>9.8609400000000003E-3</v>
      </c>
      <c r="J274">
        <v>1</v>
      </c>
      <c r="K274">
        <v>950010</v>
      </c>
      <c r="L274">
        <f t="shared" si="32"/>
        <v>1.2805339269230769E-2</v>
      </c>
      <c r="M274">
        <f t="shared" si="33"/>
        <v>5.1467163076923074E-3</v>
      </c>
      <c r="N274">
        <f t="shared" si="34"/>
        <v>1.0894588692307694E-2</v>
      </c>
      <c r="O274">
        <f t="shared" si="35"/>
        <v>8.0206525000000011E-3</v>
      </c>
      <c r="P274">
        <f t="shared" si="31"/>
        <v>34.383243122424311</v>
      </c>
      <c r="R274">
        <f t="shared" si="36"/>
        <v>-1.2457768476152034E-3</v>
      </c>
    </row>
    <row r="275" spans="1:19" x14ac:dyDescent="0.2">
      <c r="A275" t="s">
        <v>286</v>
      </c>
      <c r="B275">
        <v>5.82485622</v>
      </c>
      <c r="C275">
        <v>0.51940602000000002</v>
      </c>
      <c r="D275">
        <v>5.9917596700000004</v>
      </c>
      <c r="E275">
        <v>0.53337177000000002</v>
      </c>
      <c r="F275">
        <v>3.33552954</v>
      </c>
      <c r="G275">
        <v>1.3375347799999999</v>
      </c>
      <c r="H275">
        <v>2.8128894199999999</v>
      </c>
      <c r="I275">
        <v>9.4957199999999992E-3</v>
      </c>
      <c r="J275">
        <v>1</v>
      </c>
      <c r="K275">
        <v>950010</v>
      </c>
      <c r="L275">
        <f t="shared" si="32"/>
        <v>1.2828959769230769E-2</v>
      </c>
      <c r="M275">
        <f t="shared" si="33"/>
        <v>5.1443645384615377E-3</v>
      </c>
      <c r="N275">
        <f t="shared" si="34"/>
        <v>1.0818805461538461E-2</v>
      </c>
      <c r="O275">
        <f t="shared" si="35"/>
        <v>7.9815849999999994E-3</v>
      </c>
      <c r="P275">
        <f t="shared" si="31"/>
        <v>29.39236819722235</v>
      </c>
      <c r="R275">
        <f t="shared" si="36"/>
        <v>-1.9559055852276159E-3</v>
      </c>
      <c r="S275">
        <f>ABS(SUMIFS($R:$R,$K:$K,K275))</f>
        <v>5.1695393132029002E-3</v>
      </c>
    </row>
    <row r="276" spans="1:19" x14ac:dyDescent="0.2">
      <c r="A276" t="s">
        <v>287</v>
      </c>
      <c r="B276">
        <v>5.7905969400000004</v>
      </c>
      <c r="C276">
        <v>0.42183585000000001</v>
      </c>
      <c r="D276">
        <v>5.9492794399999998</v>
      </c>
      <c r="E276">
        <v>0.47410824000000001</v>
      </c>
      <c r="F276">
        <v>3.33600195</v>
      </c>
      <c r="G276">
        <v>1.33379808</v>
      </c>
      <c r="H276">
        <v>2.77843588</v>
      </c>
      <c r="I276">
        <v>9.4957199999999992E-3</v>
      </c>
      <c r="J276">
        <v>1</v>
      </c>
      <c r="K276">
        <v>950010</v>
      </c>
      <c r="L276">
        <f t="shared" si="32"/>
        <v>1.283077673076923E-2</v>
      </c>
      <c r="M276">
        <f t="shared" si="33"/>
        <v>5.1299926153846155E-3</v>
      </c>
      <c r="N276">
        <f t="shared" si="34"/>
        <v>1.0686291846153845E-2</v>
      </c>
      <c r="O276">
        <f t="shared" si="35"/>
        <v>7.9081422307692318E-3</v>
      </c>
      <c r="P276">
        <f t="shared" si="31"/>
        <v>23.871026026976462</v>
      </c>
      <c r="R276">
        <f t="shared" si="36"/>
        <v>-2.2296638738495654E-3</v>
      </c>
    </row>
    <row r="277" spans="1:19" x14ac:dyDescent="0.2">
      <c r="A277" t="s">
        <v>288</v>
      </c>
      <c r="B277">
        <v>5.7480323799999997</v>
      </c>
      <c r="C277">
        <v>0.32717034</v>
      </c>
      <c r="D277">
        <v>5.8975866300000002</v>
      </c>
      <c r="E277">
        <v>0.47410824000000001</v>
      </c>
      <c r="F277">
        <v>3.3374191799999999</v>
      </c>
      <c r="G277">
        <v>1.3255094000000001</v>
      </c>
      <c r="H277">
        <v>2.7320154400000001</v>
      </c>
      <c r="I277">
        <v>9.4957199999999992E-3</v>
      </c>
      <c r="J277">
        <v>1</v>
      </c>
      <c r="K277">
        <v>950010</v>
      </c>
      <c r="L277">
        <f t="shared" si="32"/>
        <v>1.2836227615384615E-2</v>
      </c>
      <c r="M277">
        <f t="shared" si="33"/>
        <v>5.0981130769230769E-3</v>
      </c>
      <c r="N277">
        <f t="shared" si="34"/>
        <v>1.0507751692307693E-2</v>
      </c>
      <c r="O277">
        <f t="shared" si="35"/>
        <v>7.802932384615385E-3</v>
      </c>
      <c r="P277">
        <f t="shared" si="31"/>
        <v>18.514053988997706</v>
      </c>
      <c r="R277">
        <f t="shared" si="36"/>
        <v>-1.9846718124178833E-3</v>
      </c>
    </row>
    <row r="278" spans="1:19" x14ac:dyDescent="0.2">
      <c r="A278" t="s">
        <v>289</v>
      </c>
      <c r="B278">
        <v>5.6979411600000001</v>
      </c>
      <c r="C278">
        <v>0.24214301999999999</v>
      </c>
      <c r="D278">
        <v>5.84026391</v>
      </c>
      <c r="E278">
        <v>0.47410824000000001</v>
      </c>
      <c r="F278">
        <v>3.3322226700000002</v>
      </c>
      <c r="G278">
        <v>1.31409548</v>
      </c>
      <c r="H278">
        <v>2.6793610800000001</v>
      </c>
      <c r="I278">
        <v>9.4957199999999992E-3</v>
      </c>
      <c r="J278">
        <v>1</v>
      </c>
      <c r="K278">
        <v>950010</v>
      </c>
      <c r="L278">
        <f t="shared" si="32"/>
        <v>1.2816241038461539E-2</v>
      </c>
      <c r="M278">
        <f t="shared" si="33"/>
        <v>5.0542133846153848E-3</v>
      </c>
      <c r="N278">
        <f t="shared" si="34"/>
        <v>1.0305234923076924E-2</v>
      </c>
      <c r="O278">
        <f t="shared" si="35"/>
        <v>7.6797241538461543E-3</v>
      </c>
      <c r="P278">
        <f t="shared" si="31"/>
        <v>13.702491935359884</v>
      </c>
      <c r="R278">
        <f t="shared" si="36"/>
        <v>-1.5422935215855659E-3</v>
      </c>
    </row>
    <row r="279" spans="1:19" x14ac:dyDescent="0.2">
      <c r="A279" t="s">
        <v>290</v>
      </c>
      <c r="B279">
        <v>5.6465522400000001</v>
      </c>
      <c r="C279">
        <v>0.16847028</v>
      </c>
      <c r="D279">
        <v>5.7855002400000002</v>
      </c>
      <c r="E279">
        <v>0.47410824000000001</v>
      </c>
      <c r="F279">
        <v>3.3202549499999998</v>
      </c>
      <c r="G279">
        <v>1.29955632</v>
      </c>
      <c r="H279">
        <v>2.62486994</v>
      </c>
      <c r="I279">
        <v>9.6783300000000006E-3</v>
      </c>
      <c r="J279">
        <v>1</v>
      </c>
      <c r="K279">
        <v>950010</v>
      </c>
      <c r="L279">
        <f t="shared" si="32"/>
        <v>1.2770211346153845E-2</v>
      </c>
      <c r="M279">
        <f t="shared" si="33"/>
        <v>4.9982935384615384E-3</v>
      </c>
      <c r="N279">
        <f t="shared" si="34"/>
        <v>1.0095653615384614E-2</v>
      </c>
      <c r="O279">
        <f t="shared" si="35"/>
        <v>7.5469735769230764E-3</v>
      </c>
      <c r="P279">
        <f t="shared" si="31"/>
        <v>9.5334676714935718</v>
      </c>
      <c r="R279">
        <f t="shared" si="36"/>
        <v>-1.0200766821676966E-3</v>
      </c>
    </row>
    <row r="280" spans="1:19" x14ac:dyDescent="0.2">
      <c r="A280" t="s">
        <v>291</v>
      </c>
      <c r="B280">
        <v>5.5959419400000003</v>
      </c>
      <c r="C280">
        <v>0.10192716</v>
      </c>
      <c r="D280">
        <v>5.7338074299999997</v>
      </c>
      <c r="E280">
        <v>0.79018040000000001</v>
      </c>
      <c r="F280">
        <v>3.3038780700000001</v>
      </c>
      <c r="G280">
        <v>1.28426982</v>
      </c>
      <c r="H280">
        <v>2.57082408</v>
      </c>
      <c r="I280">
        <v>9.6783300000000006E-3</v>
      </c>
      <c r="J280">
        <v>1</v>
      </c>
      <c r="K280">
        <v>950010</v>
      </c>
      <c r="L280">
        <f t="shared" si="32"/>
        <v>1.2707223346153847E-2</v>
      </c>
      <c r="M280">
        <f t="shared" si="33"/>
        <v>4.9394993076923074E-3</v>
      </c>
      <c r="N280">
        <f t="shared" si="34"/>
        <v>9.8877849230769223E-3</v>
      </c>
      <c r="O280">
        <f t="shared" si="35"/>
        <v>7.4136421153846157E-3</v>
      </c>
      <c r="P280">
        <f t="shared" si="31"/>
        <v>5.7678973686465813</v>
      </c>
      <c r="R280">
        <f t="shared" si="36"/>
        <v>-4.1733530777381524E-4</v>
      </c>
    </row>
    <row r="281" spans="1:19" x14ac:dyDescent="0.2">
      <c r="A281" t="s">
        <v>292</v>
      </c>
      <c r="B281">
        <v>5.5531178399999996</v>
      </c>
      <c r="C281">
        <v>5.4000270000000003E-2</v>
      </c>
      <c r="D281">
        <v>5.6903035800000001</v>
      </c>
      <c r="E281">
        <v>1.0864980500000001</v>
      </c>
      <c r="F281">
        <v>3.28608396</v>
      </c>
      <c r="G281">
        <v>1.2732635400000001</v>
      </c>
      <c r="H281">
        <v>2.5326413200000002</v>
      </c>
      <c r="I281">
        <v>9.6783300000000006E-3</v>
      </c>
      <c r="J281">
        <v>1</v>
      </c>
      <c r="K281">
        <v>950010</v>
      </c>
      <c r="L281">
        <f t="shared" si="32"/>
        <v>1.2638784461538462E-2</v>
      </c>
      <c r="M281">
        <f t="shared" si="33"/>
        <v>4.897167461538462E-3</v>
      </c>
      <c r="N281">
        <f t="shared" si="34"/>
        <v>9.740928153846154E-3</v>
      </c>
      <c r="O281">
        <f t="shared" si="35"/>
        <v>7.3190478076923075E-3</v>
      </c>
      <c r="P281">
        <f t="shared" si="31"/>
        <v>3.0557901862389274</v>
      </c>
      <c r="R281">
        <f t="shared" si="36"/>
        <v>-8.3121770424824772E-5</v>
      </c>
    </row>
    <row r="282" spans="1:19" x14ac:dyDescent="0.2">
      <c r="A282" t="s">
        <v>293</v>
      </c>
      <c r="B282">
        <v>5.5396217600000002</v>
      </c>
      <c r="C282">
        <v>5.0303430000000003E-2</v>
      </c>
      <c r="D282">
        <v>5.6805791899999996</v>
      </c>
      <c r="E282">
        <v>1.1457615800000001</v>
      </c>
      <c r="F282">
        <v>3.2649829800000001</v>
      </c>
      <c r="G282">
        <v>1.2695268399999999</v>
      </c>
      <c r="H282">
        <v>2.5217319599999999</v>
      </c>
      <c r="I282">
        <v>9.6783300000000006E-3</v>
      </c>
      <c r="J282">
        <v>1</v>
      </c>
      <c r="K282">
        <v>950010</v>
      </c>
      <c r="L282">
        <f t="shared" si="32"/>
        <v>1.2557626846153847E-2</v>
      </c>
      <c r="M282">
        <f t="shared" si="33"/>
        <v>4.882795538461538E-3</v>
      </c>
      <c r="N282">
        <f t="shared" si="34"/>
        <v>9.6989690769230773E-3</v>
      </c>
      <c r="O282">
        <f t="shared" si="35"/>
        <v>7.2908823076923068E-3</v>
      </c>
      <c r="P282">
        <f t="shared" si="31"/>
        <v>2.8465918360807612</v>
      </c>
      <c r="R282">
        <f t="shared" si="36"/>
        <v>1.7276755576946763E-4</v>
      </c>
    </row>
    <row r="283" spans="1:19" x14ac:dyDescent="0.2">
      <c r="A283" t="s">
        <v>294</v>
      </c>
      <c r="B283">
        <v>5.5562323200000003</v>
      </c>
      <c r="C283">
        <v>0.10641618</v>
      </c>
      <c r="D283">
        <v>5.6995161599999999</v>
      </c>
      <c r="E283">
        <v>1.1457615800000001</v>
      </c>
      <c r="F283">
        <v>3.24624405</v>
      </c>
      <c r="G283">
        <v>1.2695268399999999</v>
      </c>
      <c r="H283">
        <v>2.5419922000000001</v>
      </c>
      <c r="I283">
        <v>9.6783300000000006E-3</v>
      </c>
      <c r="J283">
        <v>1</v>
      </c>
      <c r="K283">
        <v>950010</v>
      </c>
      <c r="L283">
        <f t="shared" si="32"/>
        <v>1.2485554038461539E-2</v>
      </c>
      <c r="M283">
        <f t="shared" si="33"/>
        <v>4.882795538461538E-3</v>
      </c>
      <c r="N283">
        <f t="shared" si="34"/>
        <v>9.7768930769230773E-3</v>
      </c>
      <c r="O283">
        <f t="shared" si="35"/>
        <v>7.3298443076923086E-3</v>
      </c>
      <c r="P283">
        <f t="shared" si="31"/>
        <v>6.0219239366957833</v>
      </c>
      <c r="R283">
        <f t="shared" si="36"/>
        <v>8.0242879972694222E-4</v>
      </c>
    </row>
    <row r="284" spans="1:19" x14ac:dyDescent="0.2">
      <c r="A284" t="s">
        <v>295</v>
      </c>
      <c r="B284">
        <v>5.5943847</v>
      </c>
      <c r="C284">
        <v>0.18853884000000001</v>
      </c>
      <c r="D284">
        <v>5.7460908699999997</v>
      </c>
      <c r="E284">
        <v>1.0272345199999999</v>
      </c>
      <c r="F284">
        <v>3.2345912700000001</v>
      </c>
      <c r="G284">
        <v>1.27638878</v>
      </c>
      <c r="H284">
        <v>2.5851286999999998</v>
      </c>
      <c r="I284">
        <v>9.8609400000000003E-3</v>
      </c>
      <c r="J284">
        <v>1</v>
      </c>
      <c r="K284">
        <v>950011</v>
      </c>
      <c r="L284">
        <f t="shared" si="32"/>
        <v>1.2440735653846154E-2</v>
      </c>
      <c r="M284">
        <f t="shared" si="33"/>
        <v>4.9091876153846154E-3</v>
      </c>
      <c r="N284">
        <f t="shared" si="34"/>
        <v>9.9428026923076909E-3</v>
      </c>
      <c r="O284">
        <f t="shared" si="35"/>
        <v>7.4259951538461532E-3</v>
      </c>
      <c r="P284">
        <f t="shared" si="31"/>
        <v>10.669115858066476</v>
      </c>
      <c r="Q284">
        <f t="shared" ref="Q284" si="38">ABS(0.5*(SUMPRODUCT(O284:O302,P285:P303)+O303*P284-(SUMPRODUCT(O285:O303,P284:P302)+O284*P303)))</f>
        <v>5.2026377863541029E-3</v>
      </c>
      <c r="R284">
        <f t="shared" si="36"/>
        <v>1.8026597706352538E-3</v>
      </c>
    </row>
    <row r="285" spans="1:19" x14ac:dyDescent="0.2">
      <c r="A285" t="s">
        <v>296</v>
      </c>
      <c r="B285">
        <v>5.6488880999999997</v>
      </c>
      <c r="C285">
        <v>0.28360044000000001</v>
      </c>
      <c r="D285">
        <v>5.8023899700000001</v>
      </c>
      <c r="E285">
        <v>0.90870746000000002</v>
      </c>
      <c r="F285">
        <v>3.2298671699999999</v>
      </c>
      <c r="G285">
        <v>1.2898409</v>
      </c>
      <c r="H285">
        <v>2.64184624</v>
      </c>
      <c r="I285">
        <v>1.004355E-2</v>
      </c>
      <c r="J285">
        <v>1</v>
      </c>
      <c r="K285">
        <v>950011</v>
      </c>
      <c r="L285">
        <f t="shared" si="32"/>
        <v>1.2422566038461537E-2</v>
      </c>
      <c r="M285">
        <f t="shared" si="33"/>
        <v>4.9609265384615384E-3</v>
      </c>
      <c r="N285">
        <f t="shared" si="34"/>
        <v>1.0160947076923077E-2</v>
      </c>
      <c r="O285">
        <f t="shared" si="35"/>
        <v>7.5609368076923079E-3</v>
      </c>
      <c r="P285">
        <f t="shared" si="31"/>
        <v>16.048502004990748</v>
      </c>
      <c r="R285">
        <f t="shared" si="36"/>
        <v>2.9017394024012061E-3</v>
      </c>
    </row>
    <row r="286" spans="1:19" x14ac:dyDescent="0.2">
      <c r="A286" t="s">
        <v>297</v>
      </c>
      <c r="B286">
        <v>5.7083227599999997</v>
      </c>
      <c r="C286">
        <v>0.39199707</v>
      </c>
      <c r="D286">
        <v>5.8648307900000001</v>
      </c>
      <c r="E286">
        <v>0.79018040000000001</v>
      </c>
      <c r="F286">
        <v>3.22797753</v>
      </c>
      <c r="G286">
        <v>1.30560298</v>
      </c>
      <c r="H286">
        <v>2.7050203399999999</v>
      </c>
      <c r="I286">
        <v>1.004355E-2</v>
      </c>
      <c r="J286">
        <v>1</v>
      </c>
      <c r="K286">
        <v>950011</v>
      </c>
      <c r="L286">
        <f t="shared" si="32"/>
        <v>1.2415298192307692E-2</v>
      </c>
      <c r="M286">
        <f t="shared" si="33"/>
        <v>5.0215499230769232E-3</v>
      </c>
      <c r="N286">
        <f t="shared" si="34"/>
        <v>1.0403924384615385E-2</v>
      </c>
      <c r="O286">
        <f t="shared" si="35"/>
        <v>7.7127371538461536E-3</v>
      </c>
      <c r="P286">
        <f t="shared" si="31"/>
        <v>22.18249648641412</v>
      </c>
      <c r="R286">
        <f t="shared" si="36"/>
        <v>3.8182633143211396E-3</v>
      </c>
    </row>
    <row r="287" spans="1:19" x14ac:dyDescent="0.2">
      <c r="A287" t="s">
        <v>298</v>
      </c>
      <c r="B287">
        <v>5.7716505199999997</v>
      </c>
      <c r="C287">
        <v>0.52534736999999998</v>
      </c>
      <c r="D287">
        <v>5.93546057</v>
      </c>
      <c r="E287">
        <v>0.61238981000000003</v>
      </c>
      <c r="F287">
        <v>3.2341188600000002</v>
      </c>
      <c r="G287">
        <v>1.31925892</v>
      </c>
      <c r="H287">
        <v>2.76786048</v>
      </c>
      <c r="I287">
        <v>9.8609400000000003E-3</v>
      </c>
      <c r="J287">
        <v>1</v>
      </c>
      <c r="K287">
        <v>950011</v>
      </c>
      <c r="L287">
        <f t="shared" si="32"/>
        <v>1.2438918692307692E-2</v>
      </c>
      <c r="M287">
        <f t="shared" si="33"/>
        <v>5.0740727692307691E-3</v>
      </c>
      <c r="N287">
        <f t="shared" si="34"/>
        <v>1.0645617230769231E-2</v>
      </c>
      <c r="O287">
        <f t="shared" si="35"/>
        <v>7.859844999999999E-3</v>
      </c>
      <c r="P287">
        <f t="shared" si="31"/>
        <v>29.728579831405114</v>
      </c>
      <c r="R287">
        <f t="shared" si="36"/>
        <v>4.425491890163594E-3</v>
      </c>
    </row>
    <row r="288" spans="1:19" x14ac:dyDescent="0.2">
      <c r="A288" t="s">
        <v>299</v>
      </c>
      <c r="B288">
        <v>5.83264242</v>
      </c>
      <c r="C288">
        <v>0.70596440999999999</v>
      </c>
      <c r="D288">
        <v>6.0040431099999996</v>
      </c>
      <c r="E288">
        <v>0.53337177000000002</v>
      </c>
      <c r="F288">
        <v>3.24766128</v>
      </c>
      <c r="G288">
        <v>1.3302651999999999</v>
      </c>
      <c r="H288">
        <v>2.82290822</v>
      </c>
      <c r="I288">
        <v>9.8609400000000003E-3</v>
      </c>
      <c r="J288">
        <v>1</v>
      </c>
      <c r="K288">
        <v>950011</v>
      </c>
      <c r="L288">
        <f t="shared" si="32"/>
        <v>1.2491004923076922E-2</v>
      </c>
      <c r="M288">
        <f t="shared" si="33"/>
        <v>5.1164046153846154E-3</v>
      </c>
      <c r="N288">
        <f t="shared" si="34"/>
        <v>1.0857339307692308E-2</v>
      </c>
      <c r="O288">
        <f t="shared" si="35"/>
        <v>7.9868719615384613E-3</v>
      </c>
      <c r="P288">
        <f t="shared" si="31"/>
        <v>39.949413510561229</v>
      </c>
      <c r="R288">
        <f t="shared" si="36"/>
        <v>2.7496374701631208E-3</v>
      </c>
    </row>
    <row r="289" spans="1:19" x14ac:dyDescent="0.2">
      <c r="A289" t="s">
        <v>300</v>
      </c>
      <c r="B289">
        <v>5.8700161800000004</v>
      </c>
      <c r="C289">
        <v>0.82479141</v>
      </c>
      <c r="D289">
        <v>6.0383343800000002</v>
      </c>
      <c r="E289">
        <v>0.47410824000000001</v>
      </c>
      <c r="F289">
        <v>3.2624634600000002</v>
      </c>
      <c r="G289">
        <v>1.3352248200000001</v>
      </c>
      <c r="H289">
        <v>2.8509608599999998</v>
      </c>
      <c r="I289">
        <v>9.8609400000000003E-3</v>
      </c>
      <c r="J289">
        <v>1</v>
      </c>
      <c r="K289">
        <v>950011</v>
      </c>
      <c r="L289">
        <f t="shared" si="32"/>
        <v>1.2547936384615386E-2</v>
      </c>
      <c r="M289">
        <f t="shared" si="33"/>
        <v>5.1354800769230768E-3</v>
      </c>
      <c r="N289">
        <f t="shared" si="34"/>
        <v>1.0965234076923076E-2</v>
      </c>
      <c r="O289">
        <f t="shared" si="35"/>
        <v>8.0503570769230766E-3</v>
      </c>
      <c r="P289">
        <f t="shared" si="31"/>
        <v>46.673646194216573</v>
      </c>
      <c r="R289">
        <f t="shared" si="36"/>
        <v>9.4821882247657005E-4</v>
      </c>
    </row>
    <row r="290" spans="1:19" x14ac:dyDescent="0.2">
      <c r="A290" t="s">
        <v>301</v>
      </c>
      <c r="B290">
        <v>5.88429088</v>
      </c>
      <c r="C290">
        <v>0.85093335000000003</v>
      </c>
      <c r="D290">
        <v>6.04754696</v>
      </c>
      <c r="E290">
        <v>0.47410824000000001</v>
      </c>
      <c r="F290">
        <v>3.2769507</v>
      </c>
      <c r="G290">
        <v>1.3373309600000001</v>
      </c>
      <c r="H290">
        <v>2.8592542000000001</v>
      </c>
      <c r="I290">
        <v>9.6783300000000006E-3</v>
      </c>
      <c r="J290">
        <v>1</v>
      </c>
      <c r="K290">
        <v>950011</v>
      </c>
      <c r="L290">
        <f t="shared" si="32"/>
        <v>1.2603656538461539E-2</v>
      </c>
      <c r="M290">
        <f t="shared" si="33"/>
        <v>5.1435806153846157E-3</v>
      </c>
      <c r="N290">
        <f t="shared" si="34"/>
        <v>1.099713153846154E-2</v>
      </c>
      <c r="O290">
        <f t="shared" si="35"/>
        <v>8.0703560769230763E-3</v>
      </c>
      <c r="P290">
        <f t="shared" si="31"/>
        <v>48.152977384620748</v>
      </c>
      <c r="R290">
        <f t="shared" si="36"/>
        <v>2.5628598982971388E-4</v>
      </c>
    </row>
    <row r="291" spans="1:19" x14ac:dyDescent="0.2">
      <c r="A291" t="s">
        <v>302</v>
      </c>
      <c r="B291">
        <v>5.8874053599999998</v>
      </c>
      <c r="C291">
        <v>0.85304583</v>
      </c>
      <c r="D291">
        <v>6.0526650599999998</v>
      </c>
      <c r="E291">
        <v>0.47410824000000001</v>
      </c>
      <c r="F291">
        <v>3.2947448100000001</v>
      </c>
      <c r="G291">
        <v>1.3375347799999999</v>
      </c>
      <c r="H291">
        <v>2.86181456</v>
      </c>
      <c r="I291">
        <v>9.8609400000000003E-3</v>
      </c>
      <c r="J291">
        <v>1</v>
      </c>
      <c r="K291">
        <v>950011</v>
      </c>
      <c r="L291">
        <f t="shared" si="32"/>
        <v>1.2672095423076924E-2</v>
      </c>
      <c r="M291">
        <f t="shared" si="33"/>
        <v>5.1443645384615377E-3</v>
      </c>
      <c r="N291">
        <f t="shared" si="34"/>
        <v>1.1006979076923077E-2</v>
      </c>
      <c r="O291">
        <f t="shared" si="35"/>
        <v>8.0756718076923067E-3</v>
      </c>
      <c r="P291">
        <f t="shared" si="31"/>
        <v>48.272519298996841</v>
      </c>
      <c r="R291">
        <f t="shared" si="36"/>
        <v>-4.2309712574578625E-5</v>
      </c>
    </row>
    <row r="292" spans="1:19" x14ac:dyDescent="0.2">
      <c r="A292" t="s">
        <v>303</v>
      </c>
      <c r="B292">
        <v>5.8816954800000003</v>
      </c>
      <c r="C292">
        <v>0.82241487000000002</v>
      </c>
      <c r="D292">
        <v>6.0542004900000004</v>
      </c>
      <c r="E292">
        <v>0.47410824000000001</v>
      </c>
      <c r="F292">
        <v>3.3086021699999999</v>
      </c>
      <c r="G292">
        <v>1.3377386</v>
      </c>
      <c r="H292">
        <v>2.8611466399999999</v>
      </c>
      <c r="I292">
        <v>9.6783300000000006E-3</v>
      </c>
      <c r="J292">
        <v>1</v>
      </c>
      <c r="K292">
        <v>950011</v>
      </c>
      <c r="L292">
        <f t="shared" si="32"/>
        <v>1.2725392961538462E-2</v>
      </c>
      <c r="M292">
        <f t="shared" si="33"/>
        <v>5.1451484615384615E-3</v>
      </c>
      <c r="N292">
        <f t="shared" si="34"/>
        <v>1.1004410153846154E-2</v>
      </c>
      <c r="O292">
        <f t="shared" si="35"/>
        <v>8.0747793076923081E-3</v>
      </c>
      <c r="P292">
        <f t="shared" si="31"/>
        <v>46.539161540543468</v>
      </c>
      <c r="R292">
        <f t="shared" si="36"/>
        <v>-1.0883322770180899E-3</v>
      </c>
    </row>
    <row r="293" spans="1:19" x14ac:dyDescent="0.2">
      <c r="A293" t="s">
        <v>304</v>
      </c>
      <c r="B293">
        <v>5.8658635400000003</v>
      </c>
      <c r="C293">
        <v>0.70675659000000002</v>
      </c>
      <c r="D293">
        <v>6.0383343800000002</v>
      </c>
      <c r="E293">
        <v>0.41484471000000001</v>
      </c>
      <c r="F293">
        <v>3.31726302</v>
      </c>
      <c r="G293">
        <v>1.3377386</v>
      </c>
      <c r="H293">
        <v>2.84806654</v>
      </c>
      <c r="I293">
        <v>9.6783300000000006E-3</v>
      </c>
      <c r="J293">
        <v>1</v>
      </c>
      <c r="K293">
        <v>950011</v>
      </c>
      <c r="L293">
        <f t="shared" si="32"/>
        <v>1.2758703923076924E-2</v>
      </c>
      <c r="M293">
        <f t="shared" si="33"/>
        <v>5.1451484615384615E-3</v>
      </c>
      <c r="N293">
        <f t="shared" si="34"/>
        <v>1.0954102076923078E-2</v>
      </c>
      <c r="O293">
        <f t="shared" si="35"/>
        <v>8.0496252692307691E-3</v>
      </c>
      <c r="P293">
        <f t="shared" si="31"/>
        <v>39.994241728452266</v>
      </c>
      <c r="R293">
        <f t="shared" si="36"/>
        <v>-1.0254871729195516E-3</v>
      </c>
    </row>
    <row r="294" spans="1:19" x14ac:dyDescent="0.2">
      <c r="A294" t="s">
        <v>305</v>
      </c>
      <c r="B294">
        <v>5.8476957399999998</v>
      </c>
      <c r="C294">
        <v>0.61077077999999996</v>
      </c>
      <c r="D294">
        <v>6.0178619800000002</v>
      </c>
      <c r="E294">
        <v>0.41484471000000001</v>
      </c>
      <c r="F294">
        <v>3.3273410999999999</v>
      </c>
      <c r="G294">
        <v>1.3377386</v>
      </c>
      <c r="H294">
        <v>2.8337619200000002</v>
      </c>
      <c r="I294">
        <v>9.6783300000000006E-3</v>
      </c>
      <c r="J294">
        <v>1</v>
      </c>
      <c r="K294">
        <v>950011</v>
      </c>
      <c r="L294">
        <f t="shared" si="32"/>
        <v>1.2797465769230769E-2</v>
      </c>
      <c r="M294">
        <f t="shared" si="33"/>
        <v>5.1451484615384615E-3</v>
      </c>
      <c r="N294">
        <f t="shared" si="34"/>
        <v>1.0899084307692309E-2</v>
      </c>
      <c r="O294">
        <f t="shared" si="35"/>
        <v>8.0221163846153857E-3</v>
      </c>
      <c r="P294">
        <f t="shared" si="31"/>
        <v>34.562555993988454</v>
      </c>
      <c r="R294">
        <f t="shared" si="36"/>
        <v>-1.3024450771740006E-3</v>
      </c>
    </row>
    <row r="295" spans="1:19" x14ac:dyDescent="0.2">
      <c r="A295" t="s">
        <v>306</v>
      </c>
      <c r="B295">
        <v>5.82485622</v>
      </c>
      <c r="C295">
        <v>0.52099037999999998</v>
      </c>
      <c r="D295">
        <v>5.9917596700000004</v>
      </c>
      <c r="E295">
        <v>0.41484471000000001</v>
      </c>
      <c r="F295">
        <v>3.3374191799999999</v>
      </c>
      <c r="G295">
        <v>1.33712714</v>
      </c>
      <c r="H295">
        <v>2.8132233800000002</v>
      </c>
      <c r="I295">
        <v>9.8609400000000003E-3</v>
      </c>
      <c r="J295">
        <v>1</v>
      </c>
      <c r="K295">
        <v>950011</v>
      </c>
      <c r="L295">
        <f t="shared" si="32"/>
        <v>1.2836227615384615E-2</v>
      </c>
      <c r="M295">
        <f t="shared" si="33"/>
        <v>5.1427966923076919E-3</v>
      </c>
      <c r="N295">
        <f t="shared" si="34"/>
        <v>1.0820089923076924E-2</v>
      </c>
      <c r="O295">
        <f t="shared" si="35"/>
        <v>7.9814433076923069E-3</v>
      </c>
      <c r="P295">
        <f t="shared" si="31"/>
        <v>29.482024633004418</v>
      </c>
      <c r="R295">
        <f t="shared" si="36"/>
        <v>-2.0300898343096124E-3</v>
      </c>
    </row>
    <row r="296" spans="1:19" x14ac:dyDescent="0.2">
      <c r="A296" t="s">
        <v>307</v>
      </c>
      <c r="B296">
        <v>5.7931923400000001</v>
      </c>
      <c r="C296">
        <v>0.41985539999999999</v>
      </c>
      <c r="D296">
        <v>5.9492794399999998</v>
      </c>
      <c r="E296">
        <v>0.41484471000000001</v>
      </c>
      <c r="F296">
        <v>3.3380490599999999</v>
      </c>
      <c r="G296">
        <v>1.3329827999999999</v>
      </c>
      <c r="H296">
        <v>2.7777123000000001</v>
      </c>
      <c r="I296">
        <v>9.8609400000000003E-3</v>
      </c>
      <c r="J296">
        <v>1</v>
      </c>
      <c r="K296">
        <v>950011</v>
      </c>
      <c r="L296">
        <f t="shared" si="32"/>
        <v>1.283865023076923E-2</v>
      </c>
      <c r="M296">
        <f t="shared" si="33"/>
        <v>5.126856923076923E-3</v>
      </c>
      <c r="N296">
        <f t="shared" si="34"/>
        <v>1.0683508846153846E-2</v>
      </c>
      <c r="O296">
        <f t="shared" si="35"/>
        <v>7.9051828846153846E-3</v>
      </c>
      <c r="P296">
        <f t="shared" si="31"/>
        <v>23.758955482248872</v>
      </c>
      <c r="R296">
        <f t="shared" si="36"/>
        <v>-2.1975975913931744E-3</v>
      </c>
      <c r="S296">
        <f>ABS(SUMIFS($R:$R,$K:$K,K296))</f>
        <v>5.1856472423384113E-3</v>
      </c>
    </row>
    <row r="297" spans="1:19" x14ac:dyDescent="0.2">
      <c r="A297" t="s">
        <v>308</v>
      </c>
      <c r="B297">
        <v>5.7488109999999999</v>
      </c>
      <c r="C297">
        <v>0.32518988999999998</v>
      </c>
      <c r="D297">
        <v>5.8960511999999996</v>
      </c>
      <c r="E297">
        <v>0.41484471000000001</v>
      </c>
      <c r="F297">
        <v>3.33600195</v>
      </c>
      <c r="G297">
        <v>1.32530558</v>
      </c>
      <c r="H297">
        <v>2.73118054</v>
      </c>
      <c r="I297">
        <v>1.004355E-2</v>
      </c>
      <c r="J297">
        <v>1</v>
      </c>
      <c r="K297">
        <v>950011</v>
      </c>
      <c r="L297">
        <f t="shared" si="32"/>
        <v>1.283077673076923E-2</v>
      </c>
      <c r="M297">
        <f t="shared" si="33"/>
        <v>5.097329153846154E-3</v>
      </c>
      <c r="N297">
        <f t="shared" si="34"/>
        <v>1.0504540538461539E-2</v>
      </c>
      <c r="O297">
        <f t="shared" si="35"/>
        <v>7.8009348461538456E-3</v>
      </c>
      <c r="P297">
        <f t="shared" si="31"/>
        <v>18.401983444270115</v>
      </c>
      <c r="R297">
        <f t="shared" si="36"/>
        <v>-1.9687231286297847E-3</v>
      </c>
    </row>
    <row r="298" spans="1:19" x14ac:dyDescent="0.2">
      <c r="A298" t="s">
        <v>309</v>
      </c>
      <c r="B298">
        <v>5.6987197800000002</v>
      </c>
      <c r="C298">
        <v>0.24135084000000001</v>
      </c>
      <c r="D298">
        <v>5.8448701999999999</v>
      </c>
      <c r="E298">
        <v>0.41484471000000001</v>
      </c>
      <c r="F298">
        <v>3.3331674900000001</v>
      </c>
      <c r="G298">
        <v>1.31409548</v>
      </c>
      <c r="H298">
        <v>2.67852618</v>
      </c>
      <c r="I298">
        <v>1.004355E-2</v>
      </c>
      <c r="J298">
        <v>1</v>
      </c>
      <c r="K298">
        <v>950011</v>
      </c>
      <c r="L298">
        <f t="shared" si="32"/>
        <v>1.2819874961538462E-2</v>
      </c>
      <c r="M298">
        <f t="shared" si="33"/>
        <v>5.0542133846153848E-3</v>
      </c>
      <c r="N298">
        <f t="shared" si="34"/>
        <v>1.030202376923077E-2</v>
      </c>
      <c r="O298">
        <f t="shared" si="35"/>
        <v>7.6781185769230773E-3</v>
      </c>
      <c r="P298">
        <f t="shared" si="31"/>
        <v>13.65766371746885</v>
      </c>
      <c r="R298">
        <f t="shared" si="36"/>
        <v>-1.5460601473630533E-3</v>
      </c>
    </row>
    <row r="299" spans="1:19" x14ac:dyDescent="0.2">
      <c r="A299" t="s">
        <v>310</v>
      </c>
      <c r="B299">
        <v>5.6481094799999996</v>
      </c>
      <c r="C299">
        <v>0.16556562</v>
      </c>
      <c r="D299">
        <v>5.7901065300000001</v>
      </c>
      <c r="E299">
        <v>0.41484471000000001</v>
      </c>
      <c r="F299">
        <v>3.3207273599999998</v>
      </c>
      <c r="G299">
        <v>1.2991486800000001</v>
      </c>
      <c r="H299">
        <v>2.6236454199999999</v>
      </c>
      <c r="I299">
        <v>9.6783300000000006E-3</v>
      </c>
      <c r="J299">
        <v>1</v>
      </c>
      <c r="K299">
        <v>950011</v>
      </c>
      <c r="L299">
        <f t="shared" si="32"/>
        <v>1.2772028307692307E-2</v>
      </c>
      <c r="M299">
        <f t="shared" si="33"/>
        <v>4.9967256923076925E-3</v>
      </c>
      <c r="N299">
        <f t="shared" si="34"/>
        <v>1.0090943923076922E-2</v>
      </c>
      <c r="O299">
        <f t="shared" si="35"/>
        <v>7.5438348076923073E-3</v>
      </c>
      <c r="P299">
        <f t="shared" si="31"/>
        <v>9.3690975392264413</v>
      </c>
      <c r="R299">
        <f t="shared" si="36"/>
        <v>-9.9455623864555228E-4</v>
      </c>
    </row>
    <row r="300" spans="1:19" x14ac:dyDescent="0.2">
      <c r="A300" t="s">
        <v>311</v>
      </c>
      <c r="B300">
        <v>5.5959419400000003</v>
      </c>
      <c r="C300">
        <v>9.9154530000000005E-2</v>
      </c>
      <c r="D300">
        <v>5.7307365700000004</v>
      </c>
      <c r="E300">
        <v>0.73091687000000005</v>
      </c>
      <c r="F300">
        <v>3.3034056600000001</v>
      </c>
      <c r="G300">
        <v>1.2835904199999999</v>
      </c>
      <c r="H300">
        <v>2.5701561599999998</v>
      </c>
      <c r="I300">
        <v>9.6783300000000006E-3</v>
      </c>
      <c r="J300">
        <v>1</v>
      </c>
      <c r="K300">
        <v>950011</v>
      </c>
      <c r="L300">
        <f t="shared" si="32"/>
        <v>1.2705406384615385E-2</v>
      </c>
      <c r="M300">
        <f t="shared" si="33"/>
        <v>4.9368862307692307E-3</v>
      </c>
      <c r="N300">
        <f t="shared" si="34"/>
        <v>9.8852159999999988E-3</v>
      </c>
      <c r="O300">
        <f t="shared" si="35"/>
        <v>7.4110511153846152E-3</v>
      </c>
      <c r="P300">
        <f t="shared" si="31"/>
        <v>5.6109986060279571</v>
      </c>
      <c r="R300">
        <f t="shared" si="36"/>
        <v>-4.0385147265522631E-4</v>
      </c>
    </row>
    <row r="301" spans="1:19" x14ac:dyDescent="0.2">
      <c r="A301" t="s">
        <v>312</v>
      </c>
      <c r="B301">
        <v>5.5515606000000002</v>
      </c>
      <c r="C301">
        <v>5.320809E-2</v>
      </c>
      <c r="D301">
        <v>5.6918390099999998</v>
      </c>
      <c r="E301">
        <v>1.0272345199999999</v>
      </c>
      <c r="F301">
        <v>3.28561155</v>
      </c>
      <c r="G301">
        <v>1.27305972</v>
      </c>
      <c r="H301">
        <v>2.5319734</v>
      </c>
      <c r="I301">
        <v>9.8609400000000003E-3</v>
      </c>
      <c r="J301">
        <v>1</v>
      </c>
      <c r="K301">
        <v>950011</v>
      </c>
      <c r="L301">
        <f t="shared" si="32"/>
        <v>1.26369675E-2</v>
      </c>
      <c r="M301">
        <f t="shared" si="33"/>
        <v>4.8963835384615382E-3</v>
      </c>
      <c r="N301">
        <f t="shared" si="34"/>
        <v>9.7383592307692304E-3</v>
      </c>
      <c r="O301">
        <f t="shared" si="35"/>
        <v>7.3173713846153843E-3</v>
      </c>
      <c r="P301">
        <f t="shared" si="31"/>
        <v>3.0109619683478916</v>
      </c>
      <c r="R301">
        <f t="shared" si="36"/>
        <v>-7.8204205440692411E-5</v>
      </c>
    </row>
    <row r="302" spans="1:19" x14ac:dyDescent="0.2">
      <c r="A302" t="s">
        <v>313</v>
      </c>
      <c r="B302">
        <v>5.53884314</v>
      </c>
      <c r="C302">
        <v>5.2415910000000003E-2</v>
      </c>
      <c r="D302">
        <v>5.6821146200000001</v>
      </c>
      <c r="E302">
        <v>1.0864980500000001</v>
      </c>
      <c r="F302">
        <v>3.26781744</v>
      </c>
      <c r="G302">
        <v>1.2695268399999999</v>
      </c>
      <c r="H302">
        <v>2.5218989399999998</v>
      </c>
      <c r="I302">
        <v>9.6783300000000006E-3</v>
      </c>
      <c r="J302">
        <v>1</v>
      </c>
      <c r="K302">
        <v>950011</v>
      </c>
      <c r="L302">
        <f t="shared" si="32"/>
        <v>1.2568528615384615E-2</v>
      </c>
      <c r="M302">
        <f t="shared" si="33"/>
        <v>4.882795538461538E-3</v>
      </c>
      <c r="N302">
        <f t="shared" si="34"/>
        <v>9.6996113076923077E-3</v>
      </c>
      <c r="O302">
        <f t="shared" si="35"/>
        <v>7.2912034230769229E-3</v>
      </c>
      <c r="P302">
        <f t="shared" si="31"/>
        <v>2.9661337504568563</v>
      </c>
      <c r="R302">
        <f t="shared" si="36"/>
        <v>1.8471657055366448E-4</v>
      </c>
    </row>
    <row r="303" spans="1:19" x14ac:dyDescent="0.2">
      <c r="A303" t="s">
        <v>314</v>
      </c>
      <c r="B303">
        <v>5.55856818</v>
      </c>
      <c r="C303">
        <v>0.10879272</v>
      </c>
      <c r="D303">
        <v>5.7056578800000004</v>
      </c>
      <c r="E303">
        <v>1.0864980500000001</v>
      </c>
      <c r="F303">
        <v>3.24813369</v>
      </c>
      <c r="G303">
        <v>1.2693230200000001</v>
      </c>
      <c r="H303">
        <v>2.5431610600000001</v>
      </c>
      <c r="I303">
        <v>9.8609400000000003E-3</v>
      </c>
      <c r="J303">
        <v>1</v>
      </c>
      <c r="K303">
        <v>950011</v>
      </c>
      <c r="L303">
        <f t="shared" si="32"/>
        <v>1.2492821884615384E-2</v>
      </c>
      <c r="M303">
        <f t="shared" si="33"/>
        <v>4.882011615384616E-3</v>
      </c>
      <c r="N303">
        <f t="shared" si="34"/>
        <v>9.7813886923076923E-3</v>
      </c>
      <c r="O303">
        <f t="shared" si="35"/>
        <v>7.3317001538461537E-3</v>
      </c>
      <c r="P303">
        <f t="shared" si="31"/>
        <v>6.1564085903688897</v>
      </c>
      <c r="R303">
        <f t="shared" si="36"/>
        <v>7.7629086991746728E-4</v>
      </c>
    </row>
    <row r="304" spans="1:19" x14ac:dyDescent="0.2">
      <c r="A304" t="s">
        <v>315</v>
      </c>
      <c r="B304">
        <v>5.5967205599999996</v>
      </c>
      <c r="C304">
        <v>0.18853884000000001</v>
      </c>
      <c r="D304">
        <v>5.7460908699999997</v>
      </c>
      <c r="E304">
        <v>0.96797098999999998</v>
      </c>
      <c r="F304">
        <v>3.2355360900000001</v>
      </c>
      <c r="G304">
        <v>1.27550556</v>
      </c>
      <c r="H304">
        <v>2.5849617199999999</v>
      </c>
      <c r="I304">
        <v>1.004355E-2</v>
      </c>
      <c r="J304">
        <v>1</v>
      </c>
      <c r="K304">
        <v>950012</v>
      </c>
      <c r="L304">
        <f t="shared" si="32"/>
        <v>1.2444369576923077E-2</v>
      </c>
      <c r="M304">
        <f t="shared" si="33"/>
        <v>4.9057906153846158E-3</v>
      </c>
      <c r="N304">
        <f t="shared" si="34"/>
        <v>9.9421604615384605E-3</v>
      </c>
      <c r="O304">
        <f t="shared" si="35"/>
        <v>7.4239755384615386E-3</v>
      </c>
      <c r="P304">
        <f t="shared" si="31"/>
        <v>10.669115858066476</v>
      </c>
      <c r="Q304">
        <f t="shared" ref="Q304" si="39">ABS(0.5*(SUMPRODUCT(O304:O322,P305:P323)+O323*P304-(SUMPRODUCT(O305:O323,P304:P322)+O304*P323)))</f>
        <v>5.2470118856327019E-3</v>
      </c>
      <c r="R304">
        <f t="shared" si="36"/>
        <v>1.807264688110345E-3</v>
      </c>
    </row>
    <row r="305" spans="1:19" x14ac:dyDescent="0.2">
      <c r="A305" t="s">
        <v>316</v>
      </c>
      <c r="B305">
        <v>5.6473308600000003</v>
      </c>
      <c r="C305">
        <v>0.28161998999999999</v>
      </c>
      <c r="D305">
        <v>5.8054608300000003</v>
      </c>
      <c r="E305">
        <v>0.90870746000000002</v>
      </c>
      <c r="F305">
        <v>3.2293947599999999</v>
      </c>
      <c r="G305">
        <v>1.28943326</v>
      </c>
      <c r="H305">
        <v>2.6416792600000001</v>
      </c>
      <c r="I305">
        <v>1.022616E-2</v>
      </c>
      <c r="J305">
        <v>1</v>
      </c>
      <c r="K305">
        <v>950012</v>
      </c>
      <c r="L305">
        <f t="shared" si="32"/>
        <v>1.2420749076923077E-2</v>
      </c>
      <c r="M305">
        <f t="shared" si="33"/>
        <v>4.9593586923076926E-3</v>
      </c>
      <c r="N305">
        <f t="shared" si="34"/>
        <v>1.0160304846153847E-2</v>
      </c>
      <c r="O305">
        <f t="shared" si="35"/>
        <v>7.5598317692307697E-3</v>
      </c>
      <c r="P305">
        <f t="shared" si="31"/>
        <v>15.936431460263158</v>
      </c>
      <c r="R305">
        <f t="shared" si="36"/>
        <v>2.8823689678102826E-3</v>
      </c>
    </row>
    <row r="306" spans="1:19" x14ac:dyDescent="0.2">
      <c r="A306" t="s">
        <v>317</v>
      </c>
      <c r="B306">
        <v>5.7067655200000003</v>
      </c>
      <c r="C306">
        <v>0.39120489000000003</v>
      </c>
      <c r="D306">
        <v>5.8679016500000003</v>
      </c>
      <c r="E306">
        <v>0.67165333999999999</v>
      </c>
      <c r="F306">
        <v>3.22797753</v>
      </c>
      <c r="G306">
        <v>1.30499152</v>
      </c>
      <c r="H306">
        <v>2.70485336</v>
      </c>
      <c r="I306">
        <v>1.004355E-2</v>
      </c>
      <c r="J306">
        <v>1</v>
      </c>
      <c r="K306">
        <v>950012</v>
      </c>
      <c r="L306">
        <f t="shared" si="32"/>
        <v>1.2415298192307692E-2</v>
      </c>
      <c r="M306">
        <f t="shared" si="33"/>
        <v>5.0191981538461536E-3</v>
      </c>
      <c r="N306">
        <f t="shared" si="34"/>
        <v>1.0403282153846154E-2</v>
      </c>
      <c r="O306">
        <f t="shared" si="35"/>
        <v>7.711240153846154E-3</v>
      </c>
      <c r="P306">
        <f t="shared" si="31"/>
        <v>22.137668268523086</v>
      </c>
      <c r="R306">
        <f t="shared" si="36"/>
        <v>3.8206632498632978E-3</v>
      </c>
    </row>
    <row r="307" spans="1:19" x14ac:dyDescent="0.2">
      <c r="A307" t="s">
        <v>318</v>
      </c>
      <c r="B307">
        <v>5.76931466</v>
      </c>
      <c r="C307">
        <v>0.52495128000000002</v>
      </c>
      <c r="D307">
        <v>5.9385314300000003</v>
      </c>
      <c r="E307">
        <v>0.61238981000000003</v>
      </c>
      <c r="F307">
        <v>3.2331740400000002</v>
      </c>
      <c r="G307">
        <v>1.3194627400000001</v>
      </c>
      <c r="H307">
        <v>2.7670255799999999</v>
      </c>
      <c r="I307">
        <v>9.8609400000000003E-3</v>
      </c>
      <c r="J307">
        <v>1</v>
      </c>
      <c r="K307">
        <v>950012</v>
      </c>
      <c r="L307">
        <f t="shared" si="32"/>
        <v>1.2435284769230771E-2</v>
      </c>
      <c r="M307">
        <f t="shared" si="33"/>
        <v>5.0748566923076929E-3</v>
      </c>
      <c r="N307">
        <f t="shared" si="34"/>
        <v>1.0642406076923076E-2</v>
      </c>
      <c r="O307">
        <f t="shared" si="35"/>
        <v>7.8586313846153843E-3</v>
      </c>
      <c r="P307">
        <f t="shared" si="31"/>
        <v>29.706165722459598</v>
      </c>
      <c r="R307">
        <f t="shared" si="36"/>
        <v>4.4299318104860574E-3</v>
      </c>
    </row>
    <row r="308" spans="1:19" x14ac:dyDescent="0.2">
      <c r="A308" t="s">
        <v>319</v>
      </c>
      <c r="B308">
        <v>5.8303065600000004</v>
      </c>
      <c r="C308">
        <v>0.70517222999999996</v>
      </c>
      <c r="D308">
        <v>6.0040431099999996</v>
      </c>
      <c r="E308">
        <v>0.53337177000000002</v>
      </c>
      <c r="F308">
        <v>3.24718887</v>
      </c>
      <c r="G308">
        <v>1.3302651999999999</v>
      </c>
      <c r="H308">
        <v>2.8224072800000002</v>
      </c>
      <c r="I308">
        <v>9.8609400000000003E-3</v>
      </c>
      <c r="J308">
        <v>1</v>
      </c>
      <c r="K308">
        <v>950012</v>
      </c>
      <c r="L308">
        <f t="shared" si="32"/>
        <v>1.2489187961538462E-2</v>
      </c>
      <c r="M308">
        <f t="shared" si="33"/>
        <v>5.1164046153846154E-3</v>
      </c>
      <c r="N308">
        <f t="shared" si="34"/>
        <v>1.0855412615384617E-2</v>
      </c>
      <c r="O308">
        <f t="shared" si="35"/>
        <v>7.9859086153846147E-3</v>
      </c>
      <c r="P308">
        <f t="shared" si="31"/>
        <v>39.904585292670191</v>
      </c>
      <c r="R308">
        <f t="shared" si="36"/>
        <v>2.8390893875460013E-3</v>
      </c>
    </row>
    <row r="309" spans="1:19" x14ac:dyDescent="0.2">
      <c r="A309" t="s">
        <v>320</v>
      </c>
      <c r="B309">
        <v>5.8681994</v>
      </c>
      <c r="C309">
        <v>0.82716794999999999</v>
      </c>
      <c r="D309">
        <v>6.0429406700000001</v>
      </c>
      <c r="E309">
        <v>0.47410824000000001</v>
      </c>
      <c r="F309">
        <v>3.2645105700000001</v>
      </c>
      <c r="G309">
        <v>1.3354286399999999</v>
      </c>
      <c r="H309">
        <v>2.8512948200000001</v>
      </c>
      <c r="I309">
        <v>9.6783300000000006E-3</v>
      </c>
      <c r="J309">
        <v>1</v>
      </c>
      <c r="K309">
        <v>950012</v>
      </c>
      <c r="L309">
        <f t="shared" si="32"/>
        <v>1.2555809884615386E-2</v>
      </c>
      <c r="M309">
        <f t="shared" si="33"/>
        <v>5.1362639999999998E-3</v>
      </c>
      <c r="N309">
        <f t="shared" si="34"/>
        <v>1.0966518538461539E-2</v>
      </c>
      <c r="O309">
        <f t="shared" si="35"/>
        <v>8.0513912692307676E-3</v>
      </c>
      <c r="P309">
        <f t="shared" si="31"/>
        <v>46.808130847889679</v>
      </c>
      <c r="R309">
        <f t="shared" si="36"/>
        <v>9.2604333140500076E-4</v>
      </c>
    </row>
    <row r="310" spans="1:19" x14ac:dyDescent="0.2">
      <c r="A310" t="s">
        <v>321</v>
      </c>
      <c r="B310">
        <v>5.88013824</v>
      </c>
      <c r="C310">
        <v>0.8542341</v>
      </c>
      <c r="D310">
        <v>6.0526650599999998</v>
      </c>
      <c r="E310">
        <v>0.47410824000000001</v>
      </c>
      <c r="F310">
        <v>3.27789552</v>
      </c>
      <c r="G310">
        <v>1.3369233199999999</v>
      </c>
      <c r="H310">
        <v>2.8599221199999998</v>
      </c>
      <c r="I310">
        <v>9.6783300000000006E-3</v>
      </c>
      <c r="J310">
        <v>1</v>
      </c>
      <c r="K310">
        <v>950012</v>
      </c>
      <c r="L310">
        <f t="shared" si="32"/>
        <v>1.2607290461538462E-2</v>
      </c>
      <c r="M310">
        <f t="shared" si="33"/>
        <v>5.142012769230769E-3</v>
      </c>
      <c r="N310">
        <f t="shared" si="34"/>
        <v>1.0999700461538461E-2</v>
      </c>
      <c r="O310">
        <f t="shared" si="35"/>
        <v>8.0708566153846143E-3</v>
      </c>
      <c r="P310">
        <f t="shared" si="31"/>
        <v>48.339761625833397</v>
      </c>
      <c r="R310">
        <f t="shared" si="36"/>
        <v>2.6056694742381805E-4</v>
      </c>
    </row>
    <row r="311" spans="1:19" x14ac:dyDescent="0.2">
      <c r="A311" t="s">
        <v>322</v>
      </c>
      <c r="B311">
        <v>5.8809168600000001</v>
      </c>
      <c r="C311">
        <v>0.85542236999999999</v>
      </c>
      <c r="D311">
        <v>6.0511296300000001</v>
      </c>
      <c r="E311">
        <v>0.47410824000000001</v>
      </c>
      <c r="F311">
        <v>3.2919103500000002</v>
      </c>
      <c r="G311">
        <v>1.3373309600000001</v>
      </c>
      <c r="H311">
        <v>2.8623154999999998</v>
      </c>
      <c r="I311">
        <v>9.8609400000000003E-3</v>
      </c>
      <c r="J311">
        <v>1</v>
      </c>
      <c r="K311">
        <v>950012</v>
      </c>
      <c r="L311">
        <f t="shared" si="32"/>
        <v>1.2661193653846155E-2</v>
      </c>
      <c r="M311">
        <f t="shared" si="33"/>
        <v>5.1435806153846157E-3</v>
      </c>
      <c r="N311">
        <f t="shared" si="34"/>
        <v>1.1008905769230769E-2</v>
      </c>
      <c r="O311">
        <f t="shared" si="35"/>
        <v>8.0762431923076927E-3</v>
      </c>
      <c r="P311">
        <f t="shared" si="31"/>
        <v>48.407003952669953</v>
      </c>
      <c r="R311">
        <f t="shared" si="36"/>
        <v>-6.2585790961667146E-5</v>
      </c>
    </row>
    <row r="312" spans="1:19" x14ac:dyDescent="0.2">
      <c r="A312" t="s">
        <v>323</v>
      </c>
      <c r="B312">
        <v>5.8793596199999998</v>
      </c>
      <c r="C312">
        <v>0.81752975999999999</v>
      </c>
      <c r="D312">
        <v>6.0444760999999998</v>
      </c>
      <c r="E312">
        <v>0.47410824000000001</v>
      </c>
      <c r="F312">
        <v>3.3081297599999999</v>
      </c>
      <c r="G312">
        <v>1.3381462399999999</v>
      </c>
      <c r="H312">
        <v>2.86081268</v>
      </c>
      <c r="I312">
        <v>9.6783300000000006E-3</v>
      </c>
      <c r="J312">
        <v>1</v>
      </c>
      <c r="K312">
        <v>950012</v>
      </c>
      <c r="L312">
        <f t="shared" si="32"/>
        <v>1.2723576E-2</v>
      </c>
      <c r="M312">
        <f t="shared" si="33"/>
        <v>5.1467163076923074E-3</v>
      </c>
      <c r="N312">
        <f t="shared" si="34"/>
        <v>1.1003125692307693E-2</v>
      </c>
      <c r="O312">
        <f t="shared" si="35"/>
        <v>8.0749210000000005E-3</v>
      </c>
      <c r="P312">
        <f t="shared" si="31"/>
        <v>46.262720863548743</v>
      </c>
      <c r="R312">
        <f t="shared" si="36"/>
        <v>-1.0258696875051392E-3</v>
      </c>
    </row>
    <row r="313" spans="1:19" x14ac:dyDescent="0.2">
      <c r="A313" t="s">
        <v>324</v>
      </c>
      <c r="B313">
        <v>5.8650849200000001</v>
      </c>
      <c r="C313">
        <v>0.70596440999999999</v>
      </c>
      <c r="D313">
        <v>6.0321926599999998</v>
      </c>
      <c r="E313">
        <v>0.47410824000000001</v>
      </c>
      <c r="F313">
        <v>3.3191526599999999</v>
      </c>
      <c r="G313">
        <v>1.33835006</v>
      </c>
      <c r="H313">
        <v>2.84823352</v>
      </c>
      <c r="I313">
        <v>9.8609400000000003E-3</v>
      </c>
      <c r="J313">
        <v>1</v>
      </c>
      <c r="K313">
        <v>950012</v>
      </c>
      <c r="L313">
        <f t="shared" si="32"/>
        <v>1.2765971769230769E-2</v>
      </c>
      <c r="M313">
        <f t="shared" si="33"/>
        <v>5.1475002307692311E-3</v>
      </c>
      <c r="N313">
        <f t="shared" si="34"/>
        <v>1.0954744307692308E-2</v>
      </c>
      <c r="O313">
        <f t="shared" si="35"/>
        <v>8.0511222692307687E-3</v>
      </c>
      <c r="P313">
        <f t="shared" si="31"/>
        <v>39.949413510561229</v>
      </c>
      <c r="R313">
        <f t="shared" si="36"/>
        <v>-9.7782060770517862E-4</v>
      </c>
    </row>
    <row r="314" spans="1:19" x14ac:dyDescent="0.2">
      <c r="A314" t="s">
        <v>325</v>
      </c>
      <c r="B314">
        <v>5.8469171199999996</v>
      </c>
      <c r="C314">
        <v>0.61367543999999996</v>
      </c>
      <c r="D314">
        <v>6.0178619800000002</v>
      </c>
      <c r="E314">
        <v>0.47410824000000001</v>
      </c>
      <c r="F314">
        <v>3.32639628</v>
      </c>
      <c r="G314">
        <v>1.3381462399999999</v>
      </c>
      <c r="H314">
        <v>2.8348194599999998</v>
      </c>
      <c r="I314">
        <v>9.6783300000000006E-3</v>
      </c>
      <c r="J314">
        <v>1</v>
      </c>
      <c r="K314">
        <v>950012</v>
      </c>
      <c r="L314">
        <f t="shared" si="32"/>
        <v>1.2793831846153847E-2</v>
      </c>
      <c r="M314">
        <f t="shared" si="33"/>
        <v>5.1467163076923074E-3</v>
      </c>
      <c r="N314">
        <f t="shared" si="34"/>
        <v>1.0903151769230769E-2</v>
      </c>
      <c r="O314">
        <f t="shared" si="35"/>
        <v>8.0249340384615387E-3</v>
      </c>
      <c r="P314">
        <f t="shared" si="31"/>
        <v>34.726926126255584</v>
      </c>
      <c r="R314">
        <f t="shared" si="36"/>
        <v>-1.3232184411603202E-3</v>
      </c>
    </row>
    <row r="315" spans="1:19" x14ac:dyDescent="0.2">
      <c r="A315" t="s">
        <v>326</v>
      </c>
      <c r="B315">
        <v>5.8256348400000002</v>
      </c>
      <c r="C315">
        <v>0.52415909999999999</v>
      </c>
      <c r="D315">
        <v>5.9917596700000004</v>
      </c>
      <c r="E315">
        <v>0.41484471000000001</v>
      </c>
      <c r="F315">
        <v>3.33600195</v>
      </c>
      <c r="G315">
        <v>1.3375347799999999</v>
      </c>
      <c r="H315">
        <v>2.8140582799999998</v>
      </c>
      <c r="I315">
        <v>9.8609400000000003E-3</v>
      </c>
      <c r="J315">
        <v>1</v>
      </c>
      <c r="K315">
        <v>950012</v>
      </c>
      <c r="L315">
        <f t="shared" si="32"/>
        <v>1.283077673076923E-2</v>
      </c>
      <c r="M315">
        <f t="shared" si="33"/>
        <v>5.1443645384615377E-3</v>
      </c>
      <c r="N315">
        <f t="shared" si="34"/>
        <v>1.0823301076923076E-2</v>
      </c>
      <c r="O315">
        <f t="shared" si="35"/>
        <v>7.9838328076923069E-3</v>
      </c>
      <c r="P315">
        <f t="shared" si="31"/>
        <v>29.661337504568561</v>
      </c>
      <c r="R315">
        <f t="shared" si="36"/>
        <v>-2.0338810702039954E-3</v>
      </c>
    </row>
    <row r="316" spans="1:19" x14ac:dyDescent="0.2">
      <c r="A316" t="s">
        <v>327</v>
      </c>
      <c r="B316">
        <v>5.7905969400000004</v>
      </c>
      <c r="C316">
        <v>0.42064758000000002</v>
      </c>
      <c r="D316">
        <v>5.9446731499999999</v>
      </c>
      <c r="E316">
        <v>0.41484471000000001</v>
      </c>
      <c r="F316">
        <v>3.3408835200000002</v>
      </c>
      <c r="G316">
        <v>1.3335942599999999</v>
      </c>
      <c r="H316">
        <v>2.77843588</v>
      </c>
      <c r="I316">
        <v>9.8609400000000003E-3</v>
      </c>
      <c r="J316">
        <v>1</v>
      </c>
      <c r="K316">
        <v>950012</v>
      </c>
      <c r="L316">
        <f t="shared" si="32"/>
        <v>1.2849552E-2</v>
      </c>
      <c r="M316">
        <f t="shared" si="33"/>
        <v>5.1292086923076918E-3</v>
      </c>
      <c r="N316">
        <f t="shared" si="34"/>
        <v>1.0686291846153845E-2</v>
      </c>
      <c r="O316">
        <f t="shared" si="35"/>
        <v>7.9077502692307695E-3</v>
      </c>
      <c r="P316">
        <f t="shared" si="31"/>
        <v>23.80378370013991</v>
      </c>
      <c r="R316">
        <f t="shared" si="36"/>
        <v>-2.2366872680763643E-3</v>
      </c>
    </row>
    <row r="317" spans="1:19" x14ac:dyDescent="0.2">
      <c r="A317" t="s">
        <v>328</v>
      </c>
      <c r="B317">
        <v>5.7495896200000001</v>
      </c>
      <c r="C317">
        <v>0.32439771000000001</v>
      </c>
      <c r="D317">
        <v>5.8991220599999998</v>
      </c>
      <c r="E317">
        <v>0.41484471000000001</v>
      </c>
      <c r="F317">
        <v>3.33694677</v>
      </c>
      <c r="G317">
        <v>1.3255094000000001</v>
      </c>
      <c r="H317">
        <v>2.7313475199999999</v>
      </c>
      <c r="I317">
        <v>9.8609400000000003E-3</v>
      </c>
      <c r="J317">
        <v>1</v>
      </c>
      <c r="K317">
        <v>950012</v>
      </c>
      <c r="L317">
        <f t="shared" si="32"/>
        <v>1.2834410653846154E-2</v>
      </c>
      <c r="M317">
        <f t="shared" si="33"/>
        <v>5.0981130769230769E-3</v>
      </c>
      <c r="N317">
        <f t="shared" si="34"/>
        <v>1.0505182769230769E-2</v>
      </c>
      <c r="O317">
        <f t="shared" si="35"/>
        <v>7.8016479230769223E-3</v>
      </c>
      <c r="P317">
        <f t="shared" si="31"/>
        <v>18.357155226379081</v>
      </c>
      <c r="R317">
        <f t="shared" si="36"/>
        <v>-2.0119018857779232E-3</v>
      </c>
      <c r="S317">
        <f>ABS(SUMIFS($R:$R,$K:$K,K317))</f>
        <v>5.24490762753301E-3</v>
      </c>
    </row>
    <row r="318" spans="1:19" x14ac:dyDescent="0.2">
      <c r="A318" t="s">
        <v>329</v>
      </c>
      <c r="B318">
        <v>5.6994984000000004</v>
      </c>
      <c r="C318">
        <v>0.24174693</v>
      </c>
      <c r="D318">
        <v>5.8417993399999997</v>
      </c>
      <c r="E318">
        <v>0.41484471000000001</v>
      </c>
      <c r="F318">
        <v>3.3308054399999998</v>
      </c>
      <c r="G318">
        <v>1.3136878400000001</v>
      </c>
      <c r="H318">
        <v>2.6778582599999998</v>
      </c>
      <c r="I318">
        <v>1.004355E-2</v>
      </c>
      <c r="J318">
        <v>1</v>
      </c>
      <c r="K318">
        <v>950012</v>
      </c>
      <c r="L318">
        <f t="shared" si="32"/>
        <v>1.2810790153846154E-2</v>
      </c>
      <c r="M318">
        <f t="shared" si="33"/>
        <v>5.052645538461539E-3</v>
      </c>
      <c r="N318">
        <f t="shared" si="34"/>
        <v>1.0299454846153846E-2</v>
      </c>
      <c r="O318">
        <f t="shared" si="35"/>
        <v>7.6760501923076917E-3</v>
      </c>
      <c r="P318">
        <f t="shared" si="31"/>
        <v>13.680077826414367</v>
      </c>
      <c r="R318">
        <f t="shared" si="36"/>
        <v>-1.5192105978995296E-3</v>
      </c>
    </row>
    <row r="319" spans="1:19" x14ac:dyDescent="0.2">
      <c r="A319" t="s">
        <v>330</v>
      </c>
      <c r="B319">
        <v>5.6473308600000003</v>
      </c>
      <c r="C319">
        <v>0.16556562</v>
      </c>
      <c r="D319">
        <v>5.7855002400000002</v>
      </c>
      <c r="E319">
        <v>0.41484471000000001</v>
      </c>
      <c r="F319">
        <v>3.3216721800000002</v>
      </c>
      <c r="G319">
        <v>1.2993524999999999</v>
      </c>
      <c r="H319">
        <v>2.6236454199999999</v>
      </c>
      <c r="I319">
        <v>1.004355E-2</v>
      </c>
      <c r="J319">
        <v>1</v>
      </c>
      <c r="K319">
        <v>950012</v>
      </c>
      <c r="L319">
        <f t="shared" si="32"/>
        <v>1.2775662230769232E-2</v>
      </c>
      <c r="M319">
        <f t="shared" si="33"/>
        <v>4.9975096153846155E-3</v>
      </c>
      <c r="N319">
        <f t="shared" si="34"/>
        <v>1.0090943923076922E-2</v>
      </c>
      <c r="O319">
        <f t="shared" si="35"/>
        <v>7.5442267692307687E-3</v>
      </c>
      <c r="P319">
        <f t="shared" si="31"/>
        <v>9.3690975392264413</v>
      </c>
      <c r="R319">
        <f t="shared" si="36"/>
        <v>-9.984531211435744E-4</v>
      </c>
    </row>
    <row r="320" spans="1:19" x14ac:dyDescent="0.2">
      <c r="A320" t="s">
        <v>331</v>
      </c>
      <c r="B320">
        <v>5.5967205599999996</v>
      </c>
      <c r="C320">
        <v>9.9550620000000006E-2</v>
      </c>
      <c r="D320">
        <v>5.7353428600000003</v>
      </c>
      <c r="E320">
        <v>0.84944392999999996</v>
      </c>
      <c r="F320">
        <v>3.3038780700000001</v>
      </c>
      <c r="G320">
        <v>1.28379424</v>
      </c>
      <c r="H320">
        <v>2.5699891799999999</v>
      </c>
      <c r="I320">
        <v>9.8609400000000003E-3</v>
      </c>
      <c r="J320">
        <v>1</v>
      </c>
      <c r="K320">
        <v>950012</v>
      </c>
      <c r="L320">
        <f t="shared" si="32"/>
        <v>1.2707223346153847E-2</v>
      </c>
      <c r="M320">
        <f t="shared" si="33"/>
        <v>4.9376701538461536E-3</v>
      </c>
      <c r="N320">
        <f t="shared" si="34"/>
        <v>9.8845737692307683E-3</v>
      </c>
      <c r="O320">
        <f t="shared" si="35"/>
        <v>7.4111219615384614E-3</v>
      </c>
      <c r="P320">
        <f t="shared" si="31"/>
        <v>5.633412714973475</v>
      </c>
      <c r="R320">
        <f t="shared" si="36"/>
        <v>-4.1068405427944381E-4</v>
      </c>
    </row>
    <row r="321" spans="1:18" x14ac:dyDescent="0.2">
      <c r="A321" t="s">
        <v>332</v>
      </c>
      <c r="B321">
        <v>5.5554537000000002</v>
      </c>
      <c r="C321">
        <v>5.4396359999999998E-2</v>
      </c>
      <c r="D321">
        <v>5.6933744400000004</v>
      </c>
      <c r="E321">
        <v>1.0272345199999999</v>
      </c>
      <c r="F321">
        <v>3.2827770900000002</v>
      </c>
      <c r="G321">
        <v>1.27244826</v>
      </c>
      <c r="H321">
        <v>2.5323073599999999</v>
      </c>
      <c r="I321">
        <v>9.8609400000000003E-3</v>
      </c>
      <c r="J321">
        <v>1</v>
      </c>
      <c r="K321">
        <v>950012</v>
      </c>
      <c r="L321">
        <f t="shared" si="32"/>
        <v>1.2626065730769232E-2</v>
      </c>
      <c r="M321">
        <f t="shared" si="33"/>
        <v>4.8940317692307694E-3</v>
      </c>
      <c r="N321">
        <f t="shared" si="34"/>
        <v>9.7396436923076913E-3</v>
      </c>
      <c r="O321">
        <f t="shared" si="35"/>
        <v>7.3168377307692304E-3</v>
      </c>
      <c r="P321">
        <f t="shared" si="31"/>
        <v>3.0782042951844448</v>
      </c>
      <c r="R321">
        <f t="shared" si="36"/>
        <v>-7.8740419893157375E-5</v>
      </c>
    </row>
    <row r="322" spans="1:18" x14ac:dyDescent="0.2">
      <c r="A322" t="s">
        <v>333</v>
      </c>
      <c r="B322">
        <v>5.5396217600000002</v>
      </c>
      <c r="C322">
        <v>5.1227639999999998E-2</v>
      </c>
      <c r="D322">
        <v>5.6805791899999996</v>
      </c>
      <c r="E322">
        <v>1.1457615800000001</v>
      </c>
      <c r="F322">
        <v>3.2659278</v>
      </c>
      <c r="G322">
        <v>1.2693230200000001</v>
      </c>
      <c r="H322">
        <v>2.5217319599999999</v>
      </c>
      <c r="I322">
        <v>1.004355E-2</v>
      </c>
      <c r="J322">
        <v>1</v>
      </c>
      <c r="K322">
        <v>950012</v>
      </c>
      <c r="L322">
        <f t="shared" si="32"/>
        <v>1.2561260769230769E-2</v>
      </c>
      <c r="M322">
        <f t="shared" si="33"/>
        <v>4.882011615384616E-3</v>
      </c>
      <c r="N322">
        <f t="shared" si="34"/>
        <v>9.6989690769230773E-3</v>
      </c>
      <c r="O322">
        <f t="shared" si="35"/>
        <v>7.2904903461538462E-3</v>
      </c>
      <c r="P322">
        <f t="shared" si="31"/>
        <v>2.8988914236203027</v>
      </c>
      <c r="R322">
        <f t="shared" si="36"/>
        <v>1.7665101508982715E-4</v>
      </c>
    </row>
    <row r="323" spans="1:18" x14ac:dyDescent="0.2">
      <c r="A323" t="s">
        <v>334</v>
      </c>
      <c r="B323">
        <v>5.5570109399999996</v>
      </c>
      <c r="C323">
        <v>0.10641618</v>
      </c>
      <c r="D323">
        <v>5.6964452999999997</v>
      </c>
      <c r="E323">
        <v>1.1457615800000001</v>
      </c>
      <c r="F323">
        <v>3.24766128</v>
      </c>
      <c r="G323">
        <v>1.2693230200000001</v>
      </c>
      <c r="H323">
        <v>2.54232616</v>
      </c>
      <c r="I323">
        <v>9.8609400000000003E-3</v>
      </c>
      <c r="J323">
        <v>1</v>
      </c>
      <c r="K323">
        <v>950012</v>
      </c>
      <c r="L323">
        <f t="shared" si="32"/>
        <v>1.2491004923076922E-2</v>
      </c>
      <c r="M323">
        <f t="shared" si="33"/>
        <v>4.882011615384616E-3</v>
      </c>
      <c r="N323">
        <f t="shared" si="34"/>
        <v>9.7781775384615383E-3</v>
      </c>
      <c r="O323">
        <f t="shared" si="35"/>
        <v>7.3300945769230767E-3</v>
      </c>
      <c r="P323">
        <f t="shared" ref="P323:P386" si="40">+C323*4/(PI()*0.15^2)</f>
        <v>6.0219239366957833</v>
      </c>
      <c r="R323">
        <f t="shared" si="36"/>
        <v>7.8138117440467315E-4</v>
      </c>
    </row>
    <row r="324" spans="1:18" x14ac:dyDescent="0.2">
      <c r="A324" t="s">
        <v>335</v>
      </c>
      <c r="B324">
        <v>5.5974991799999998</v>
      </c>
      <c r="C324">
        <v>0.18774666000000001</v>
      </c>
      <c r="D324">
        <v>5.7414845799999998</v>
      </c>
      <c r="E324">
        <v>1.0864980500000001</v>
      </c>
      <c r="F324">
        <v>3.2327016300000002</v>
      </c>
      <c r="G324">
        <v>1.27550556</v>
      </c>
      <c r="H324">
        <v>2.5849617199999999</v>
      </c>
      <c r="I324">
        <v>9.6783300000000006E-3</v>
      </c>
      <c r="J324">
        <v>1</v>
      </c>
      <c r="K324">
        <v>950013</v>
      </c>
      <c r="L324">
        <f t="shared" ref="L324:L387" si="41">+F324/260</f>
        <v>1.2433467807692309E-2</v>
      </c>
      <c r="M324">
        <f t="shared" ref="M324:M387" si="42">+G324/260</f>
        <v>4.9057906153846158E-3</v>
      </c>
      <c r="N324">
        <f t="shared" ref="N324:N387" si="43">+H324/260</f>
        <v>9.9421604615384605E-3</v>
      </c>
      <c r="O324">
        <f t="shared" ref="O324:O387" si="44">(+G324+H324)/520</f>
        <v>7.4239755384615386E-3</v>
      </c>
      <c r="P324">
        <f t="shared" si="40"/>
        <v>10.62428764017544</v>
      </c>
      <c r="Q324">
        <f t="shared" ref="Q324" si="45">ABS(0.5*(SUMPRODUCT(O324:O342,P325:P343)+O343*P324-(SUMPRODUCT(O325:O343,P324:P342)+O324*P343)))</f>
        <v>5.1633847279137779E-3</v>
      </c>
      <c r="R324">
        <f t="shared" ref="R324:R387" si="46">+(P324+P325)/2*(O325-O324)</f>
        <v>1.8345365133518169E-3</v>
      </c>
    </row>
    <row r="325" spans="1:18" x14ac:dyDescent="0.2">
      <c r="A325" t="s">
        <v>336</v>
      </c>
      <c r="B325">
        <v>5.6481094799999996</v>
      </c>
      <c r="C325">
        <v>0.28320434999999999</v>
      </c>
      <c r="D325">
        <v>5.8023899700000001</v>
      </c>
      <c r="E325">
        <v>0.90870746000000002</v>
      </c>
      <c r="F325">
        <v>3.22703271</v>
      </c>
      <c r="G325">
        <v>1.29004472</v>
      </c>
      <c r="H325">
        <v>2.6420132199999999</v>
      </c>
      <c r="I325">
        <v>1.004355E-2</v>
      </c>
      <c r="J325">
        <v>1</v>
      </c>
      <c r="K325">
        <v>950013</v>
      </c>
      <c r="L325">
        <f t="shared" si="41"/>
        <v>1.2411664269230769E-2</v>
      </c>
      <c r="M325">
        <f t="shared" si="42"/>
        <v>4.9617104615384613E-3</v>
      </c>
      <c r="N325">
        <f t="shared" si="43"/>
        <v>1.0161589307692308E-2</v>
      </c>
      <c r="O325">
        <f t="shared" si="44"/>
        <v>7.5616498846153846E-3</v>
      </c>
      <c r="P325">
        <f t="shared" si="40"/>
        <v>16.02608789604523</v>
      </c>
      <c r="R325">
        <f t="shared" si="46"/>
        <v>2.9068724096453285E-3</v>
      </c>
    </row>
    <row r="326" spans="1:18" x14ac:dyDescent="0.2">
      <c r="A326" t="s">
        <v>337</v>
      </c>
      <c r="B326">
        <v>5.7075441400000004</v>
      </c>
      <c r="C326">
        <v>0.39278924999999998</v>
      </c>
      <c r="D326">
        <v>5.8730197500000001</v>
      </c>
      <c r="E326">
        <v>0.73091687000000005</v>
      </c>
      <c r="F326">
        <v>3.22844994</v>
      </c>
      <c r="G326">
        <v>1.3053991599999999</v>
      </c>
      <c r="H326">
        <v>2.7056882600000001</v>
      </c>
      <c r="I326">
        <v>1.022616E-2</v>
      </c>
      <c r="J326">
        <v>1</v>
      </c>
      <c r="K326">
        <v>950013</v>
      </c>
      <c r="L326">
        <f t="shared" si="41"/>
        <v>1.2417115153846154E-2</v>
      </c>
      <c r="M326">
        <f t="shared" si="42"/>
        <v>5.0207659999999994E-3</v>
      </c>
      <c r="N326">
        <f t="shared" si="43"/>
        <v>1.0406493307692308E-2</v>
      </c>
      <c r="O326">
        <f t="shared" si="44"/>
        <v>7.7136296538461539E-3</v>
      </c>
      <c r="P326">
        <f t="shared" si="40"/>
        <v>22.227324704305154</v>
      </c>
      <c r="R326">
        <f t="shared" si="46"/>
        <v>3.8706287320986522E-3</v>
      </c>
    </row>
    <row r="327" spans="1:18" x14ac:dyDescent="0.2">
      <c r="A327" t="s">
        <v>338</v>
      </c>
      <c r="B327">
        <v>5.76931466</v>
      </c>
      <c r="C327">
        <v>0.52666767000000003</v>
      </c>
      <c r="D327">
        <v>5.9431377200000002</v>
      </c>
      <c r="E327">
        <v>0.67165333999999999</v>
      </c>
      <c r="F327">
        <v>3.2331740400000002</v>
      </c>
      <c r="G327">
        <v>1.31987038</v>
      </c>
      <c r="H327">
        <v>2.7685840599999998</v>
      </c>
      <c r="I327">
        <v>1.004355E-2</v>
      </c>
      <c r="J327">
        <v>1</v>
      </c>
      <c r="K327">
        <v>950013</v>
      </c>
      <c r="L327">
        <f t="shared" si="41"/>
        <v>1.2435284769230771E-2</v>
      </c>
      <c r="M327">
        <f t="shared" si="42"/>
        <v>5.0764245384615388E-3</v>
      </c>
      <c r="N327">
        <f t="shared" si="43"/>
        <v>1.0648400230769231E-2</v>
      </c>
      <c r="O327">
        <f t="shared" si="44"/>
        <v>7.8624123846153839E-3</v>
      </c>
      <c r="P327">
        <f t="shared" si="40"/>
        <v>29.803293527890176</v>
      </c>
      <c r="R327">
        <f t="shared" si="46"/>
        <v>4.3658989165180151E-3</v>
      </c>
    </row>
    <row r="328" spans="1:18" x14ac:dyDescent="0.2">
      <c r="A328" t="s">
        <v>339</v>
      </c>
      <c r="B328">
        <v>5.8303065600000004</v>
      </c>
      <c r="C328">
        <v>0.70675659000000002</v>
      </c>
      <c r="D328">
        <v>6.0040431099999996</v>
      </c>
      <c r="E328">
        <v>0.61238981000000003</v>
      </c>
      <c r="F328">
        <v>3.24624405</v>
      </c>
      <c r="G328">
        <v>1.3302651999999999</v>
      </c>
      <c r="H328">
        <v>2.8232421799999998</v>
      </c>
      <c r="I328">
        <v>1.004355E-2</v>
      </c>
      <c r="J328">
        <v>1</v>
      </c>
      <c r="K328">
        <v>950013</v>
      </c>
      <c r="L328">
        <f t="shared" si="41"/>
        <v>1.2485554038461539E-2</v>
      </c>
      <c r="M328">
        <f t="shared" si="42"/>
        <v>5.1164046153846154E-3</v>
      </c>
      <c r="N328">
        <f t="shared" si="43"/>
        <v>1.0858623769230769E-2</v>
      </c>
      <c r="O328">
        <f t="shared" si="44"/>
        <v>7.9875141923076917E-3</v>
      </c>
      <c r="P328">
        <f t="shared" si="40"/>
        <v>39.994241728452266</v>
      </c>
      <c r="R328">
        <f t="shared" si="46"/>
        <v>2.7439947932371188E-3</v>
      </c>
    </row>
    <row r="329" spans="1:18" x14ac:dyDescent="0.2">
      <c r="A329" t="s">
        <v>340</v>
      </c>
      <c r="B329">
        <v>5.8681994</v>
      </c>
      <c r="C329">
        <v>0.82518749999999996</v>
      </c>
      <c r="D329">
        <v>6.03526352</v>
      </c>
      <c r="E329">
        <v>0.61238981000000003</v>
      </c>
      <c r="F329">
        <v>3.2634082800000002</v>
      </c>
      <c r="G329">
        <v>1.33563246</v>
      </c>
      <c r="H329">
        <v>2.8507938799999999</v>
      </c>
      <c r="I329">
        <v>1.004355E-2</v>
      </c>
      <c r="J329">
        <v>1</v>
      </c>
      <c r="K329">
        <v>950013</v>
      </c>
      <c r="L329">
        <f t="shared" si="41"/>
        <v>1.2551570307692309E-2</v>
      </c>
      <c r="M329">
        <f t="shared" si="42"/>
        <v>5.1370479230769235E-3</v>
      </c>
      <c r="N329">
        <f t="shared" si="43"/>
        <v>1.0964591846153846E-2</v>
      </c>
      <c r="O329">
        <f t="shared" si="44"/>
        <v>8.0508198846153834E-3</v>
      </c>
      <c r="P329">
        <f t="shared" si="40"/>
        <v>46.696060303162092</v>
      </c>
      <c r="R329">
        <f t="shared" si="46"/>
        <v>9.5695200545164755E-4</v>
      </c>
    </row>
    <row r="330" spans="1:18" x14ac:dyDescent="0.2">
      <c r="A330" t="s">
        <v>341</v>
      </c>
      <c r="B330">
        <v>5.8816954800000003</v>
      </c>
      <c r="C330">
        <v>0.85093335000000003</v>
      </c>
      <c r="D330">
        <v>6.0490823899999997</v>
      </c>
      <c r="E330">
        <v>0.53337177000000002</v>
      </c>
      <c r="F330">
        <v>3.2797851599999999</v>
      </c>
      <c r="G330">
        <v>1.3373309600000001</v>
      </c>
      <c r="H330">
        <v>2.8595881599999999</v>
      </c>
      <c r="I330">
        <v>1.004355E-2</v>
      </c>
      <c r="J330">
        <v>1</v>
      </c>
      <c r="K330">
        <v>950013</v>
      </c>
      <c r="L330">
        <f t="shared" si="41"/>
        <v>1.2614558307692307E-2</v>
      </c>
      <c r="M330">
        <f t="shared" si="42"/>
        <v>5.1435806153846157E-3</v>
      </c>
      <c r="N330">
        <f t="shared" si="43"/>
        <v>1.0998416E-2</v>
      </c>
      <c r="O330">
        <f t="shared" si="44"/>
        <v>8.0709983076923085E-3</v>
      </c>
      <c r="P330">
        <f t="shared" si="40"/>
        <v>48.152977384620748</v>
      </c>
      <c r="R330">
        <f t="shared" si="46"/>
        <v>2.4080413460253475E-4</v>
      </c>
    </row>
    <row r="331" spans="1:18" x14ac:dyDescent="0.2">
      <c r="A331" t="s">
        <v>342</v>
      </c>
      <c r="B331">
        <v>5.8809168600000001</v>
      </c>
      <c r="C331">
        <v>0.85304583</v>
      </c>
      <c r="D331">
        <v>6.0542004900000004</v>
      </c>
      <c r="E331">
        <v>0.53337177000000002</v>
      </c>
      <c r="F331">
        <v>3.2919103500000002</v>
      </c>
      <c r="G331">
        <v>1.3375347799999999</v>
      </c>
      <c r="H331">
        <v>2.8619815399999999</v>
      </c>
      <c r="I331">
        <v>1.004355E-2</v>
      </c>
      <c r="J331">
        <v>1</v>
      </c>
      <c r="K331">
        <v>950013</v>
      </c>
      <c r="L331">
        <f t="shared" si="41"/>
        <v>1.2661193653846155E-2</v>
      </c>
      <c r="M331">
        <f t="shared" si="42"/>
        <v>5.1443645384615377E-3</v>
      </c>
      <c r="N331">
        <f t="shared" si="43"/>
        <v>1.1007621307692308E-2</v>
      </c>
      <c r="O331">
        <f t="shared" si="44"/>
        <v>8.0759929230769228E-3</v>
      </c>
      <c r="P331">
        <f t="shared" si="40"/>
        <v>48.272519298996841</v>
      </c>
      <c r="R331">
        <f t="shared" si="46"/>
        <v>-8.782542377394071E-5</v>
      </c>
    </row>
    <row r="332" spans="1:18" x14ac:dyDescent="0.2">
      <c r="A332" t="s">
        <v>343</v>
      </c>
      <c r="B332">
        <v>5.88013824</v>
      </c>
      <c r="C332">
        <v>0.81951021000000002</v>
      </c>
      <c r="D332">
        <v>6.0490823899999997</v>
      </c>
      <c r="E332">
        <v>0.53337177000000002</v>
      </c>
      <c r="F332">
        <v>3.3081297599999999</v>
      </c>
      <c r="G332">
        <v>1.3377386</v>
      </c>
      <c r="H332">
        <v>2.86081268</v>
      </c>
      <c r="I332">
        <v>1.004355E-2</v>
      </c>
      <c r="J332">
        <v>1</v>
      </c>
      <c r="K332">
        <v>950013</v>
      </c>
      <c r="L332">
        <f t="shared" si="41"/>
        <v>1.2723576E-2</v>
      </c>
      <c r="M332">
        <f t="shared" si="42"/>
        <v>5.1451484615384615E-3</v>
      </c>
      <c r="N332">
        <f t="shared" si="43"/>
        <v>1.1003125692307693E-2</v>
      </c>
      <c r="O332">
        <f t="shared" si="44"/>
        <v>8.0741370769230776E-3</v>
      </c>
      <c r="P332">
        <f t="shared" si="40"/>
        <v>46.374791408276337</v>
      </c>
      <c r="R332">
        <f t="shared" si="46"/>
        <v>-1.0582558602450223E-3</v>
      </c>
    </row>
    <row r="333" spans="1:18" x14ac:dyDescent="0.2">
      <c r="A333" t="s">
        <v>344</v>
      </c>
      <c r="B333">
        <v>5.8627490599999996</v>
      </c>
      <c r="C333">
        <v>0.70636049999999995</v>
      </c>
      <c r="D333">
        <v>6.03526352</v>
      </c>
      <c r="E333">
        <v>0.53337177000000002</v>
      </c>
      <c r="F333">
        <v>3.3207273599999998</v>
      </c>
      <c r="G333">
        <v>1.3377386</v>
      </c>
      <c r="H333">
        <v>2.84806654</v>
      </c>
      <c r="I333">
        <v>1.004355E-2</v>
      </c>
      <c r="J333">
        <v>1</v>
      </c>
      <c r="K333">
        <v>950013</v>
      </c>
      <c r="L333">
        <f t="shared" si="41"/>
        <v>1.2772028307692307E-2</v>
      </c>
      <c r="M333">
        <f t="shared" si="42"/>
        <v>5.1451484615384615E-3</v>
      </c>
      <c r="N333">
        <f t="shared" si="43"/>
        <v>1.0954102076923078E-2</v>
      </c>
      <c r="O333">
        <f t="shared" si="44"/>
        <v>8.0496252692307691E-3</v>
      </c>
      <c r="P333">
        <f t="shared" si="40"/>
        <v>39.971827619506747</v>
      </c>
      <c r="R333">
        <f t="shared" si="46"/>
        <v>-1.0402031002561686E-3</v>
      </c>
    </row>
    <row r="334" spans="1:18" x14ac:dyDescent="0.2">
      <c r="A334" t="s">
        <v>345</v>
      </c>
      <c r="B334">
        <v>5.84458126</v>
      </c>
      <c r="C334">
        <v>0.61129889999999998</v>
      </c>
      <c r="D334">
        <v>6.0193974099999998</v>
      </c>
      <c r="E334">
        <v>0.47410824000000001</v>
      </c>
      <c r="F334">
        <v>3.3278135099999999</v>
      </c>
      <c r="G334">
        <v>1.3375347799999999</v>
      </c>
      <c r="H334">
        <v>2.8337619200000002</v>
      </c>
      <c r="I334">
        <v>9.6783300000000006E-3</v>
      </c>
      <c r="J334">
        <v>1</v>
      </c>
      <c r="K334">
        <v>950013</v>
      </c>
      <c r="L334">
        <f t="shared" si="41"/>
        <v>1.279928273076923E-2</v>
      </c>
      <c r="M334">
        <f t="shared" si="42"/>
        <v>5.1443645384615377E-3</v>
      </c>
      <c r="N334">
        <f t="shared" si="43"/>
        <v>1.0899084307692309E-2</v>
      </c>
      <c r="O334">
        <f t="shared" si="44"/>
        <v>8.0217244230769234E-3</v>
      </c>
      <c r="P334">
        <f t="shared" si="40"/>
        <v>34.592441472582479</v>
      </c>
      <c r="R334">
        <f t="shared" si="46"/>
        <v>-1.2833748032781763E-3</v>
      </c>
    </row>
    <row r="335" spans="1:18" x14ac:dyDescent="0.2">
      <c r="A335" t="s">
        <v>346</v>
      </c>
      <c r="B335">
        <v>5.8240775999999999</v>
      </c>
      <c r="C335">
        <v>0.52178256000000001</v>
      </c>
      <c r="D335">
        <v>5.9932951000000001</v>
      </c>
      <c r="E335">
        <v>0.47410824000000001</v>
      </c>
      <c r="F335">
        <v>3.33505713</v>
      </c>
      <c r="G335">
        <v>1.3369233199999999</v>
      </c>
      <c r="H335">
        <v>2.81355734</v>
      </c>
      <c r="I335">
        <v>9.6783300000000006E-3</v>
      </c>
      <c r="J335">
        <v>1</v>
      </c>
      <c r="K335">
        <v>950013</v>
      </c>
      <c r="L335">
        <f t="shared" si="41"/>
        <v>1.2827142807692309E-2</v>
      </c>
      <c r="M335">
        <f t="shared" si="42"/>
        <v>5.142012769230769E-3</v>
      </c>
      <c r="N335">
        <f t="shared" si="43"/>
        <v>1.0821374384615385E-2</v>
      </c>
      <c r="O335">
        <f t="shared" si="44"/>
        <v>7.9816935769230768E-3</v>
      </c>
      <c r="P335">
        <f t="shared" si="40"/>
        <v>29.526852850895455</v>
      </c>
      <c r="R335">
        <f t="shared" si="46"/>
        <v>-2.0307654571920276E-3</v>
      </c>
    </row>
    <row r="336" spans="1:18" x14ac:dyDescent="0.2">
      <c r="A336" t="s">
        <v>347</v>
      </c>
      <c r="B336">
        <v>5.7898183200000002</v>
      </c>
      <c r="C336">
        <v>0.42025149000000001</v>
      </c>
      <c r="D336">
        <v>5.9492794399999998</v>
      </c>
      <c r="E336">
        <v>0.47410824000000001</v>
      </c>
      <c r="F336">
        <v>3.3399386999999998</v>
      </c>
      <c r="G336">
        <v>1.3329827999999999</v>
      </c>
      <c r="H336">
        <v>2.7778792800000001</v>
      </c>
      <c r="I336">
        <v>9.8609400000000003E-3</v>
      </c>
      <c r="J336">
        <v>1</v>
      </c>
      <c r="K336">
        <v>950013</v>
      </c>
      <c r="L336">
        <f t="shared" si="41"/>
        <v>1.2845918076923077E-2</v>
      </c>
      <c r="M336">
        <f t="shared" si="42"/>
        <v>5.126856923076923E-3</v>
      </c>
      <c r="N336">
        <f t="shared" si="43"/>
        <v>1.0684151076923077E-2</v>
      </c>
      <c r="O336">
        <f t="shared" si="44"/>
        <v>7.9055040000000007E-3</v>
      </c>
      <c r="P336">
        <f t="shared" si="40"/>
        <v>23.781369591194391</v>
      </c>
      <c r="R336">
        <f t="shared" si="46"/>
        <v>-2.2134871394341657E-3</v>
      </c>
    </row>
    <row r="337" spans="1:19" x14ac:dyDescent="0.2">
      <c r="A337" t="s">
        <v>348</v>
      </c>
      <c r="B337">
        <v>5.7480323799999997</v>
      </c>
      <c r="C337">
        <v>0.32558598</v>
      </c>
      <c r="D337">
        <v>5.8975866300000002</v>
      </c>
      <c r="E337">
        <v>0.47410824000000001</v>
      </c>
      <c r="F337">
        <v>3.3380490599999999</v>
      </c>
      <c r="G337">
        <v>1.32530558</v>
      </c>
      <c r="H337">
        <v>2.7310135600000001</v>
      </c>
      <c r="I337">
        <v>9.8609400000000003E-3</v>
      </c>
      <c r="J337">
        <v>1</v>
      </c>
      <c r="K337">
        <v>950013</v>
      </c>
      <c r="L337">
        <f t="shared" si="41"/>
        <v>1.283865023076923E-2</v>
      </c>
      <c r="M337">
        <f t="shared" si="42"/>
        <v>5.097329153846154E-3</v>
      </c>
      <c r="N337">
        <f t="shared" si="43"/>
        <v>1.0503898307692308E-2</v>
      </c>
      <c r="O337">
        <f t="shared" si="44"/>
        <v>7.8006137307692312E-3</v>
      </c>
      <c r="P337">
        <f t="shared" si="40"/>
        <v>18.424397553215634</v>
      </c>
      <c r="R337">
        <f t="shared" si="46"/>
        <v>-2.0041502718068766E-3</v>
      </c>
    </row>
    <row r="338" spans="1:19" x14ac:dyDescent="0.2">
      <c r="A338" t="s">
        <v>349</v>
      </c>
      <c r="B338">
        <v>5.6979411600000001</v>
      </c>
      <c r="C338">
        <v>0.24095475</v>
      </c>
      <c r="D338">
        <v>5.8433347700000002</v>
      </c>
      <c r="E338">
        <v>0.47410824000000001</v>
      </c>
      <c r="F338">
        <v>3.3293882099999998</v>
      </c>
      <c r="G338">
        <v>1.3132801999999999</v>
      </c>
      <c r="H338">
        <v>2.6780252400000002</v>
      </c>
      <c r="I338">
        <v>9.8609400000000003E-3</v>
      </c>
      <c r="J338">
        <v>1</v>
      </c>
      <c r="K338">
        <v>950013</v>
      </c>
      <c r="L338">
        <f t="shared" si="41"/>
        <v>1.2805339269230769E-2</v>
      </c>
      <c r="M338">
        <f t="shared" si="42"/>
        <v>5.0510776923076922E-3</v>
      </c>
      <c r="N338">
        <f t="shared" si="43"/>
        <v>1.0300097076923078E-2</v>
      </c>
      <c r="O338">
        <f t="shared" si="44"/>
        <v>7.6755873846153849E-3</v>
      </c>
      <c r="P338">
        <f t="shared" si="40"/>
        <v>13.635249608523331</v>
      </c>
      <c r="R338">
        <f t="shared" si="46"/>
        <v>-1.5191345334656277E-3</v>
      </c>
      <c r="S338">
        <f>ABS(SUMIFS($R:$R,$K:$K,K338))</f>
        <v>5.1669548411523818E-3</v>
      </c>
    </row>
    <row r="339" spans="1:19" x14ac:dyDescent="0.2">
      <c r="A339" t="s">
        <v>350</v>
      </c>
      <c r="B339">
        <v>5.6473308600000003</v>
      </c>
      <c r="C339">
        <v>0.16556562</v>
      </c>
      <c r="D339">
        <v>5.7870356699999999</v>
      </c>
      <c r="E339">
        <v>0.47410824000000001</v>
      </c>
      <c r="F339">
        <v>3.3197825399999998</v>
      </c>
      <c r="G339">
        <v>1.2991486800000001</v>
      </c>
      <c r="H339">
        <v>2.62347844</v>
      </c>
      <c r="I339">
        <v>9.8609400000000003E-3</v>
      </c>
      <c r="J339">
        <v>1</v>
      </c>
      <c r="K339">
        <v>950013</v>
      </c>
      <c r="L339">
        <f t="shared" si="41"/>
        <v>1.2768394384615384E-2</v>
      </c>
      <c r="M339">
        <f t="shared" si="42"/>
        <v>4.9967256923076925E-3</v>
      </c>
      <c r="N339">
        <f t="shared" si="43"/>
        <v>1.0090301692307692E-2</v>
      </c>
      <c r="O339">
        <f t="shared" si="44"/>
        <v>7.543513692307692E-3</v>
      </c>
      <c r="P339">
        <f t="shared" si="40"/>
        <v>9.3690975392264413</v>
      </c>
      <c r="R339">
        <f t="shared" si="46"/>
        <v>-9.9310414921832874E-4</v>
      </c>
    </row>
    <row r="340" spans="1:19" x14ac:dyDescent="0.2">
      <c r="A340" t="s">
        <v>351</v>
      </c>
      <c r="B340">
        <v>5.5917893000000003</v>
      </c>
      <c r="C340">
        <v>9.9550620000000006E-2</v>
      </c>
      <c r="D340">
        <v>5.7338074299999997</v>
      </c>
      <c r="E340">
        <v>0.67165333999999999</v>
      </c>
      <c r="F340">
        <v>3.3048228900000001</v>
      </c>
      <c r="G340">
        <v>1.28379424</v>
      </c>
      <c r="H340">
        <v>2.5699891799999999</v>
      </c>
      <c r="I340">
        <v>9.8609400000000003E-3</v>
      </c>
      <c r="J340">
        <v>1</v>
      </c>
      <c r="K340">
        <v>950013</v>
      </c>
      <c r="L340">
        <f t="shared" si="41"/>
        <v>1.2710857269230769E-2</v>
      </c>
      <c r="M340">
        <f t="shared" si="42"/>
        <v>4.9376701538461536E-3</v>
      </c>
      <c r="N340">
        <f t="shared" si="43"/>
        <v>9.8845737692307683E-3</v>
      </c>
      <c r="O340">
        <f t="shared" si="44"/>
        <v>7.4111219615384614E-3</v>
      </c>
      <c r="P340">
        <f t="shared" si="40"/>
        <v>5.633412714973475</v>
      </c>
      <c r="R340">
        <f t="shared" si="46"/>
        <v>-4.0307798330754563E-4</v>
      </c>
    </row>
    <row r="341" spans="1:19" x14ac:dyDescent="0.2">
      <c r="A341" t="s">
        <v>352</v>
      </c>
      <c r="B341">
        <v>5.55078198</v>
      </c>
      <c r="C341">
        <v>5.2811999999999998E-2</v>
      </c>
      <c r="D341">
        <v>5.6903035800000001</v>
      </c>
      <c r="E341">
        <v>1.0864980500000001</v>
      </c>
      <c r="F341">
        <v>3.2841943200000001</v>
      </c>
      <c r="G341">
        <v>1.2728558999999999</v>
      </c>
      <c r="H341">
        <v>2.5323073599999999</v>
      </c>
      <c r="I341">
        <v>9.8609400000000003E-3</v>
      </c>
      <c r="J341">
        <v>1</v>
      </c>
      <c r="K341">
        <v>950013</v>
      </c>
      <c r="L341">
        <f t="shared" si="41"/>
        <v>1.2631516615384615E-2</v>
      </c>
      <c r="M341">
        <f t="shared" si="42"/>
        <v>4.8955996153846153E-3</v>
      </c>
      <c r="N341">
        <f t="shared" si="43"/>
        <v>9.7396436923076913E-3</v>
      </c>
      <c r="O341">
        <f t="shared" si="44"/>
        <v>7.3176216538461533E-3</v>
      </c>
      <c r="P341">
        <f t="shared" si="40"/>
        <v>2.9885478594023738</v>
      </c>
      <c r="R341">
        <f t="shared" si="46"/>
        <v>-7.6347712326422124E-5</v>
      </c>
    </row>
    <row r="342" spans="1:19" x14ac:dyDescent="0.2">
      <c r="A342" t="s">
        <v>353</v>
      </c>
      <c r="B342">
        <v>5.5404003800000003</v>
      </c>
      <c r="C342">
        <v>5.2019820000000001E-2</v>
      </c>
      <c r="D342">
        <v>5.6790437599999999</v>
      </c>
      <c r="E342">
        <v>1.20502511</v>
      </c>
      <c r="F342">
        <v>3.2640381600000001</v>
      </c>
      <c r="G342">
        <v>1.2693230200000001</v>
      </c>
      <c r="H342">
        <v>2.5224555400000002</v>
      </c>
      <c r="I342">
        <v>9.6783300000000006E-3</v>
      </c>
      <c r="J342">
        <v>1</v>
      </c>
      <c r="K342">
        <v>950013</v>
      </c>
      <c r="L342">
        <f t="shared" si="41"/>
        <v>1.2553992923076924E-2</v>
      </c>
      <c r="M342">
        <f t="shared" si="42"/>
        <v>4.882011615384616E-3</v>
      </c>
      <c r="N342">
        <f t="shared" si="43"/>
        <v>9.7017520769230783E-3</v>
      </c>
      <c r="O342">
        <f t="shared" si="44"/>
        <v>7.2918818461538458E-3</v>
      </c>
      <c r="P342">
        <f t="shared" si="40"/>
        <v>2.9437196415113385</v>
      </c>
      <c r="R342">
        <f t="shared" si="46"/>
        <v>1.7693651652668643E-4</v>
      </c>
    </row>
    <row r="343" spans="1:19" x14ac:dyDescent="0.2">
      <c r="A343" t="s">
        <v>354</v>
      </c>
      <c r="B343">
        <v>5.5593468000000001</v>
      </c>
      <c r="C343">
        <v>0.10760445</v>
      </c>
      <c r="D343">
        <v>5.7025870200000002</v>
      </c>
      <c r="E343">
        <v>1.20502511</v>
      </c>
      <c r="F343">
        <v>3.24813369</v>
      </c>
      <c r="G343">
        <v>1.2693230200000001</v>
      </c>
      <c r="H343">
        <v>2.5428270999999998</v>
      </c>
      <c r="I343">
        <v>9.8609400000000003E-3</v>
      </c>
      <c r="J343">
        <v>1</v>
      </c>
      <c r="K343">
        <v>950013</v>
      </c>
      <c r="L343">
        <f t="shared" si="41"/>
        <v>1.2492821884615384E-2</v>
      </c>
      <c r="M343">
        <f t="shared" si="42"/>
        <v>4.882011615384616E-3</v>
      </c>
      <c r="N343">
        <f t="shared" si="43"/>
        <v>9.7801042307692296E-3</v>
      </c>
      <c r="O343">
        <f t="shared" si="44"/>
        <v>7.3310579230769233E-3</v>
      </c>
      <c r="P343">
        <f t="shared" si="40"/>
        <v>6.0891662635323369</v>
      </c>
      <c r="R343">
        <f t="shared" si="46"/>
        <v>7.8005725402488198E-4</v>
      </c>
    </row>
    <row r="344" spans="1:19" x14ac:dyDescent="0.2">
      <c r="A344" t="s">
        <v>355</v>
      </c>
      <c r="B344">
        <v>5.5982778</v>
      </c>
      <c r="C344">
        <v>0.18933101999999999</v>
      </c>
      <c r="D344">
        <v>5.7414845799999998</v>
      </c>
      <c r="E344">
        <v>1.0864980500000001</v>
      </c>
      <c r="F344">
        <v>3.2336464500000002</v>
      </c>
      <c r="G344">
        <v>1.27530174</v>
      </c>
      <c r="H344">
        <v>2.5851286999999998</v>
      </c>
      <c r="I344">
        <v>1.004355E-2</v>
      </c>
      <c r="J344">
        <v>1</v>
      </c>
      <c r="K344">
        <v>950014</v>
      </c>
      <c r="L344">
        <f t="shared" si="41"/>
        <v>1.2437101730769231E-2</v>
      </c>
      <c r="M344">
        <f t="shared" si="42"/>
        <v>4.905006692307692E-3</v>
      </c>
      <c r="N344">
        <f t="shared" si="43"/>
        <v>9.9428026923076909E-3</v>
      </c>
      <c r="O344">
        <f t="shared" si="44"/>
        <v>7.4239046923076923E-3</v>
      </c>
      <c r="P344">
        <f t="shared" si="40"/>
        <v>10.71394407595751</v>
      </c>
      <c r="Q344">
        <f t="shared" ref="Q344" si="47">ABS(0.5*(SUMPRODUCT(O344:O362,P345:P363)+O363*P344-(SUMPRODUCT(O345:O363,P344:P362)+O344*P363)))</f>
        <v>5.1502433609831311E-3</v>
      </c>
      <c r="R344">
        <f t="shared" si="46"/>
        <v>1.8450015267648522E-3</v>
      </c>
    </row>
    <row r="345" spans="1:19" x14ac:dyDescent="0.2">
      <c r="A345" t="s">
        <v>356</v>
      </c>
      <c r="B345">
        <v>5.6488880999999997</v>
      </c>
      <c r="C345">
        <v>0.28320434999999999</v>
      </c>
      <c r="D345">
        <v>5.8023899700000001</v>
      </c>
      <c r="E345">
        <v>0.84944392999999996</v>
      </c>
      <c r="F345">
        <v>3.2259304200000001</v>
      </c>
      <c r="G345">
        <v>1.2898409</v>
      </c>
      <c r="H345">
        <v>2.6423471799999998</v>
      </c>
      <c r="I345">
        <v>1.022616E-2</v>
      </c>
      <c r="J345">
        <v>1</v>
      </c>
      <c r="K345">
        <v>950014</v>
      </c>
      <c r="L345">
        <f t="shared" si="41"/>
        <v>1.2407424692307692E-2</v>
      </c>
      <c r="M345">
        <f t="shared" si="42"/>
        <v>4.9609265384615384E-3</v>
      </c>
      <c r="N345">
        <f t="shared" si="43"/>
        <v>1.0162873769230769E-2</v>
      </c>
      <c r="O345">
        <f t="shared" si="44"/>
        <v>7.5619001538461527E-3</v>
      </c>
      <c r="P345">
        <f t="shared" si="40"/>
        <v>16.02608789604523</v>
      </c>
      <c r="R345">
        <f t="shared" si="46"/>
        <v>2.9164166360891356E-3</v>
      </c>
    </row>
    <row r="346" spans="1:19" x14ac:dyDescent="0.2">
      <c r="A346" t="s">
        <v>357</v>
      </c>
      <c r="B346">
        <v>5.7098800000000001</v>
      </c>
      <c r="C346">
        <v>0.39278924999999998</v>
      </c>
      <c r="D346">
        <v>5.8714843200000004</v>
      </c>
      <c r="E346">
        <v>0.84944392999999996</v>
      </c>
      <c r="F346">
        <v>3.22844994</v>
      </c>
      <c r="G346">
        <v>1.3053991599999999</v>
      </c>
      <c r="H346">
        <v>2.70607788</v>
      </c>
      <c r="I346">
        <v>1.004355E-2</v>
      </c>
      <c r="J346">
        <v>1</v>
      </c>
      <c r="K346">
        <v>950014</v>
      </c>
      <c r="L346">
        <f t="shared" si="41"/>
        <v>1.2417115153846154E-2</v>
      </c>
      <c r="M346">
        <f t="shared" si="42"/>
        <v>5.0207659999999994E-3</v>
      </c>
      <c r="N346">
        <f t="shared" si="43"/>
        <v>1.0407991846153847E-2</v>
      </c>
      <c r="O346">
        <f t="shared" si="44"/>
        <v>7.7143789230769231E-3</v>
      </c>
      <c r="P346">
        <f t="shared" si="40"/>
        <v>22.227324704305154</v>
      </c>
      <c r="R346">
        <f t="shared" si="46"/>
        <v>3.8207417094458774E-3</v>
      </c>
    </row>
    <row r="347" spans="1:19" x14ac:dyDescent="0.2">
      <c r="A347" t="s">
        <v>358</v>
      </c>
      <c r="B347">
        <v>5.7708719000000004</v>
      </c>
      <c r="C347">
        <v>0.52627157999999996</v>
      </c>
      <c r="D347">
        <v>5.9446731499999999</v>
      </c>
      <c r="E347">
        <v>0.73091687000000005</v>
      </c>
      <c r="F347">
        <v>3.2341188600000002</v>
      </c>
      <c r="G347">
        <v>1.3194627400000001</v>
      </c>
      <c r="H347">
        <v>2.7684170799999999</v>
      </c>
      <c r="I347">
        <v>1.004355E-2</v>
      </c>
      <c r="J347">
        <v>1</v>
      </c>
      <c r="K347">
        <v>950014</v>
      </c>
      <c r="L347">
        <f t="shared" si="41"/>
        <v>1.2438918692307692E-2</v>
      </c>
      <c r="M347">
        <f t="shared" si="42"/>
        <v>5.0748566923076929E-3</v>
      </c>
      <c r="N347">
        <f t="shared" si="43"/>
        <v>1.0647758E-2</v>
      </c>
      <c r="O347">
        <f t="shared" si="44"/>
        <v>7.8613073461538448E-3</v>
      </c>
      <c r="P347">
        <f t="shared" si="40"/>
        <v>29.780879418944654</v>
      </c>
      <c r="R347">
        <f t="shared" si="46"/>
        <v>4.4234540025392625E-3</v>
      </c>
    </row>
    <row r="348" spans="1:19" x14ac:dyDescent="0.2">
      <c r="A348" t="s">
        <v>359</v>
      </c>
      <c r="B348">
        <v>5.8318637999999998</v>
      </c>
      <c r="C348">
        <v>0.70794486000000001</v>
      </c>
      <c r="D348">
        <v>6.0055785400000001</v>
      </c>
      <c r="E348">
        <v>0.61238981000000003</v>
      </c>
      <c r="F348">
        <v>3.2452992300000001</v>
      </c>
      <c r="G348">
        <v>1.3306728400000001</v>
      </c>
      <c r="H348">
        <v>2.8230751999999999</v>
      </c>
      <c r="I348">
        <v>9.8609400000000003E-3</v>
      </c>
      <c r="J348">
        <v>1</v>
      </c>
      <c r="K348">
        <v>950014</v>
      </c>
      <c r="L348">
        <f t="shared" si="41"/>
        <v>1.2481920115384616E-2</v>
      </c>
      <c r="M348">
        <f t="shared" si="42"/>
        <v>5.1179724615384621E-3</v>
      </c>
      <c r="N348">
        <f t="shared" si="43"/>
        <v>1.0857981538461538E-2</v>
      </c>
      <c r="O348">
        <f t="shared" si="44"/>
        <v>7.9879770000000003E-3</v>
      </c>
      <c r="P348">
        <f t="shared" si="40"/>
        <v>40.061484055288823</v>
      </c>
      <c r="R348">
        <f t="shared" si="46"/>
        <v>2.7378612165776307E-3</v>
      </c>
    </row>
    <row r="349" spans="1:19" x14ac:dyDescent="0.2">
      <c r="A349" t="s">
        <v>360</v>
      </c>
      <c r="B349">
        <v>5.8692375600000002</v>
      </c>
      <c r="C349">
        <v>0.82518749999999996</v>
      </c>
      <c r="D349">
        <v>6.0367989499999997</v>
      </c>
      <c r="E349">
        <v>0.61238981000000003</v>
      </c>
      <c r="F349">
        <v>3.2624634600000002</v>
      </c>
      <c r="G349">
        <v>1.3361080400000001</v>
      </c>
      <c r="H349">
        <v>2.85045992</v>
      </c>
      <c r="I349">
        <v>9.8609400000000003E-3</v>
      </c>
      <c r="J349">
        <v>1</v>
      </c>
      <c r="K349">
        <v>950014</v>
      </c>
      <c r="L349">
        <f t="shared" si="41"/>
        <v>1.2547936384615386E-2</v>
      </c>
      <c r="M349">
        <f t="shared" si="42"/>
        <v>5.1388770769230773E-3</v>
      </c>
      <c r="N349">
        <f t="shared" si="43"/>
        <v>1.0963307384615385E-2</v>
      </c>
      <c r="O349">
        <f t="shared" si="44"/>
        <v>8.0510922307692294E-3</v>
      </c>
      <c r="P349">
        <f t="shared" si="40"/>
        <v>46.696060303162092</v>
      </c>
      <c r="R349">
        <f t="shared" si="46"/>
        <v>8.8017710391590496E-4</v>
      </c>
    </row>
    <row r="350" spans="1:19" x14ac:dyDescent="0.2">
      <c r="A350" t="s">
        <v>361</v>
      </c>
      <c r="B350">
        <v>5.8809168600000001</v>
      </c>
      <c r="C350">
        <v>0.85172552999999995</v>
      </c>
      <c r="D350">
        <v>6.04754696</v>
      </c>
      <c r="E350">
        <v>0.61238981000000003</v>
      </c>
      <c r="F350">
        <v>3.2797851599999999</v>
      </c>
      <c r="G350">
        <v>1.33712714</v>
      </c>
      <c r="H350">
        <v>2.8590872200000002</v>
      </c>
      <c r="I350">
        <v>9.8609400000000003E-3</v>
      </c>
      <c r="J350">
        <v>1</v>
      </c>
      <c r="K350">
        <v>950014</v>
      </c>
      <c r="L350">
        <f t="shared" si="41"/>
        <v>1.2614558307692307E-2</v>
      </c>
      <c r="M350">
        <f t="shared" si="42"/>
        <v>5.1427966923076919E-3</v>
      </c>
      <c r="N350">
        <f t="shared" si="43"/>
        <v>1.0996489307692309E-2</v>
      </c>
      <c r="O350">
        <f t="shared" si="44"/>
        <v>8.0696429999999996E-3</v>
      </c>
      <c r="P350">
        <f t="shared" si="40"/>
        <v>48.197805602511785</v>
      </c>
      <c r="R350">
        <f t="shared" si="46"/>
        <v>3.3742439954795864E-4</v>
      </c>
    </row>
    <row r="351" spans="1:19" x14ac:dyDescent="0.2">
      <c r="A351" t="s">
        <v>362</v>
      </c>
      <c r="B351">
        <v>5.8832527199999998</v>
      </c>
      <c r="C351">
        <v>0.85383801000000004</v>
      </c>
      <c r="D351">
        <v>6.0542004900000004</v>
      </c>
      <c r="E351">
        <v>0.61238981000000003</v>
      </c>
      <c r="F351">
        <v>3.2912804699999998</v>
      </c>
      <c r="G351">
        <v>1.3375347799999999</v>
      </c>
      <c r="H351">
        <v>2.8623154999999998</v>
      </c>
      <c r="I351">
        <v>9.8609400000000003E-3</v>
      </c>
      <c r="J351">
        <v>1</v>
      </c>
      <c r="K351">
        <v>950014</v>
      </c>
      <c r="L351">
        <f t="shared" si="41"/>
        <v>1.2658771038461537E-2</v>
      </c>
      <c r="M351">
        <f t="shared" si="42"/>
        <v>5.1443645384615377E-3</v>
      </c>
      <c r="N351">
        <f t="shared" si="43"/>
        <v>1.1008905769230769E-2</v>
      </c>
      <c r="O351">
        <f t="shared" si="44"/>
        <v>8.0766351538461532E-3</v>
      </c>
      <c r="P351">
        <f t="shared" si="40"/>
        <v>48.317347516887878</v>
      </c>
      <c r="R351">
        <f t="shared" si="46"/>
        <v>-1.4021943146584251E-4</v>
      </c>
    </row>
    <row r="352" spans="1:19" x14ac:dyDescent="0.2">
      <c r="A352" t="s">
        <v>363</v>
      </c>
      <c r="B352">
        <v>5.88013824</v>
      </c>
      <c r="C352">
        <v>0.81990629999999998</v>
      </c>
      <c r="D352">
        <v>6.0490823899999997</v>
      </c>
      <c r="E352">
        <v>0.61238981000000003</v>
      </c>
      <c r="F352">
        <v>3.30576771</v>
      </c>
      <c r="G352">
        <v>1.3373309600000001</v>
      </c>
      <c r="H352">
        <v>2.8609796599999999</v>
      </c>
      <c r="I352">
        <v>9.8609400000000003E-3</v>
      </c>
      <c r="J352">
        <v>1</v>
      </c>
      <c r="K352">
        <v>950014</v>
      </c>
      <c r="L352">
        <f t="shared" si="41"/>
        <v>1.2714491192307692E-2</v>
      </c>
      <c r="M352">
        <f t="shared" si="42"/>
        <v>5.1435806153846157E-3</v>
      </c>
      <c r="N352">
        <f t="shared" si="43"/>
        <v>1.1003767923076923E-2</v>
      </c>
      <c r="O352">
        <f t="shared" si="44"/>
        <v>8.0736742692307691E-3</v>
      </c>
      <c r="P352">
        <f t="shared" si="40"/>
        <v>46.397205517221856</v>
      </c>
      <c r="R352">
        <f t="shared" si="46"/>
        <v>-1.0141325854771276E-3</v>
      </c>
    </row>
    <row r="353" spans="1:19" x14ac:dyDescent="0.2">
      <c r="A353" t="s">
        <v>364</v>
      </c>
      <c r="B353">
        <v>5.8643063</v>
      </c>
      <c r="C353">
        <v>0.70675659000000002</v>
      </c>
      <c r="D353">
        <v>6.03526352</v>
      </c>
      <c r="E353">
        <v>0.61238981000000003</v>
      </c>
      <c r="F353">
        <v>3.3191526599999999</v>
      </c>
      <c r="G353">
        <v>1.3375347799999999</v>
      </c>
      <c r="H353">
        <v>2.8485674799999998</v>
      </c>
      <c r="I353">
        <v>9.8609400000000003E-3</v>
      </c>
      <c r="J353">
        <v>1</v>
      </c>
      <c r="K353">
        <v>950014</v>
      </c>
      <c r="L353">
        <f t="shared" si="41"/>
        <v>1.2765971769230769E-2</v>
      </c>
      <c r="M353">
        <f t="shared" si="42"/>
        <v>5.1443645384615377E-3</v>
      </c>
      <c r="N353">
        <f t="shared" si="43"/>
        <v>1.0956028769230769E-2</v>
      </c>
      <c r="O353">
        <f t="shared" si="44"/>
        <v>8.0501966538461533E-3</v>
      </c>
      <c r="P353">
        <f t="shared" si="40"/>
        <v>39.994241728452266</v>
      </c>
      <c r="R353">
        <f t="shared" si="46"/>
        <v>-1.082699478679525E-3</v>
      </c>
    </row>
    <row r="354" spans="1:19" x14ac:dyDescent="0.2">
      <c r="A354" t="s">
        <v>365</v>
      </c>
      <c r="B354">
        <v>5.8453598800000002</v>
      </c>
      <c r="C354">
        <v>0.61077077999999996</v>
      </c>
      <c r="D354">
        <v>6.0147911199999999</v>
      </c>
      <c r="E354">
        <v>0.53337177000000002</v>
      </c>
      <c r="F354">
        <v>3.32686869</v>
      </c>
      <c r="G354">
        <v>1.3377386</v>
      </c>
      <c r="H354">
        <v>2.8332609799999999</v>
      </c>
      <c r="I354">
        <v>9.8609400000000003E-3</v>
      </c>
      <c r="J354">
        <v>1</v>
      </c>
      <c r="K354">
        <v>950014</v>
      </c>
      <c r="L354">
        <f t="shared" si="41"/>
        <v>1.2795648807692307E-2</v>
      </c>
      <c r="M354">
        <f t="shared" si="42"/>
        <v>5.1451484615384615E-3</v>
      </c>
      <c r="N354">
        <f t="shared" si="43"/>
        <v>1.0897157615384616E-2</v>
      </c>
      <c r="O354">
        <f t="shared" si="44"/>
        <v>8.0211530384615391E-3</v>
      </c>
      <c r="P354">
        <f t="shared" si="40"/>
        <v>34.562555993988454</v>
      </c>
      <c r="R354">
        <f t="shared" si="46"/>
        <v>-1.2903450036519744E-3</v>
      </c>
    </row>
    <row r="355" spans="1:19" x14ac:dyDescent="0.2">
      <c r="A355" t="s">
        <v>366</v>
      </c>
      <c r="B355">
        <v>5.8240775999999999</v>
      </c>
      <c r="C355">
        <v>0.52138647000000005</v>
      </c>
      <c r="D355">
        <v>5.98971243</v>
      </c>
      <c r="E355">
        <v>0.53337177000000002</v>
      </c>
      <c r="F355">
        <v>3.3322226700000002</v>
      </c>
      <c r="G355">
        <v>1.3373309600000001</v>
      </c>
      <c r="H355">
        <v>2.8127224399999999</v>
      </c>
      <c r="I355">
        <v>1.004355E-2</v>
      </c>
      <c r="J355">
        <v>1</v>
      </c>
      <c r="K355">
        <v>950014</v>
      </c>
      <c r="L355">
        <f t="shared" si="41"/>
        <v>1.2816241038461539E-2</v>
      </c>
      <c r="M355">
        <f t="shared" si="42"/>
        <v>5.1435806153846157E-3</v>
      </c>
      <c r="N355">
        <f t="shared" si="43"/>
        <v>1.0818163230769231E-2</v>
      </c>
      <c r="O355">
        <f t="shared" si="44"/>
        <v>7.9808719230769227E-3</v>
      </c>
      <c r="P355">
        <f t="shared" si="40"/>
        <v>29.50443874194994</v>
      </c>
      <c r="R355">
        <f t="shared" si="46"/>
        <v>-1.9431386639469058E-3</v>
      </c>
    </row>
    <row r="356" spans="1:19" x14ac:dyDescent="0.2">
      <c r="A356" t="s">
        <v>367</v>
      </c>
      <c r="B356">
        <v>5.7931923400000001</v>
      </c>
      <c r="C356">
        <v>0.42104366999999998</v>
      </c>
      <c r="D356">
        <v>5.9462085800000004</v>
      </c>
      <c r="E356">
        <v>0.53337177000000002</v>
      </c>
      <c r="F356">
        <v>3.3374191799999999</v>
      </c>
      <c r="G356">
        <v>1.3333904400000001</v>
      </c>
      <c r="H356">
        <v>2.7787698399999998</v>
      </c>
      <c r="I356">
        <v>9.8609400000000003E-3</v>
      </c>
      <c r="J356">
        <v>1</v>
      </c>
      <c r="K356">
        <v>950014</v>
      </c>
      <c r="L356">
        <f t="shared" si="41"/>
        <v>1.2836227615384615E-2</v>
      </c>
      <c r="M356">
        <f t="shared" si="42"/>
        <v>5.1284247692307697E-3</v>
      </c>
      <c r="N356">
        <f t="shared" si="43"/>
        <v>1.0687576307692306E-2</v>
      </c>
      <c r="O356">
        <f t="shared" si="44"/>
        <v>7.9080005384615376E-3</v>
      </c>
      <c r="P356">
        <f t="shared" si="40"/>
        <v>23.826197809085425</v>
      </c>
      <c r="R356">
        <f t="shared" si="46"/>
        <v>-2.2480089875269089E-3</v>
      </c>
    </row>
    <row r="357" spans="1:19" x14ac:dyDescent="0.2">
      <c r="A357" t="s">
        <v>368</v>
      </c>
      <c r="B357">
        <v>5.7472537600000004</v>
      </c>
      <c r="C357">
        <v>0.32677424999999999</v>
      </c>
      <c r="D357">
        <v>5.8945157699999999</v>
      </c>
      <c r="E357">
        <v>0.53337177000000002</v>
      </c>
      <c r="F357">
        <v>3.33647436</v>
      </c>
      <c r="G357">
        <v>1.3248979400000001</v>
      </c>
      <c r="H357">
        <v>2.7320154400000001</v>
      </c>
      <c r="I357">
        <v>9.6783300000000006E-3</v>
      </c>
      <c r="J357">
        <v>1</v>
      </c>
      <c r="K357">
        <v>950014</v>
      </c>
      <c r="L357">
        <f t="shared" si="41"/>
        <v>1.2832593692307692E-2</v>
      </c>
      <c r="M357">
        <f t="shared" si="42"/>
        <v>5.0957613076923081E-3</v>
      </c>
      <c r="N357">
        <f t="shared" si="43"/>
        <v>1.0507751692307693E-2</v>
      </c>
      <c r="O357">
        <f t="shared" si="44"/>
        <v>7.8017565000000006E-3</v>
      </c>
      <c r="P357">
        <f t="shared" si="40"/>
        <v>18.491639880052187</v>
      </c>
      <c r="R357">
        <f t="shared" si="46"/>
        <v>-2.0168487072088101E-3</v>
      </c>
    </row>
    <row r="358" spans="1:19" x14ac:dyDescent="0.2">
      <c r="A358" t="s">
        <v>369</v>
      </c>
      <c r="B358">
        <v>5.6994984000000004</v>
      </c>
      <c r="C358">
        <v>0.24253911</v>
      </c>
      <c r="D358">
        <v>5.8417993399999997</v>
      </c>
      <c r="E358">
        <v>0.53337177000000002</v>
      </c>
      <c r="F358">
        <v>3.3289157999999999</v>
      </c>
      <c r="G358">
        <v>1.3132801999999999</v>
      </c>
      <c r="H358">
        <v>2.67852618</v>
      </c>
      <c r="I358">
        <v>1.004355E-2</v>
      </c>
      <c r="J358">
        <v>1</v>
      </c>
      <c r="K358">
        <v>950014</v>
      </c>
      <c r="L358">
        <f t="shared" si="41"/>
        <v>1.2803522307692307E-2</v>
      </c>
      <c r="M358">
        <f t="shared" si="42"/>
        <v>5.0510776923076922E-3</v>
      </c>
      <c r="N358">
        <f t="shared" si="43"/>
        <v>1.030202376923077E-2</v>
      </c>
      <c r="O358">
        <f t="shared" si="44"/>
        <v>7.6765507307692306E-3</v>
      </c>
      <c r="P358">
        <f t="shared" si="40"/>
        <v>13.724906044305403</v>
      </c>
      <c r="R358">
        <f t="shared" si="46"/>
        <v>-1.5321315180457347E-3</v>
      </c>
    </row>
    <row r="359" spans="1:19" x14ac:dyDescent="0.2">
      <c r="A359" t="s">
        <v>370</v>
      </c>
      <c r="B359">
        <v>5.6481094799999996</v>
      </c>
      <c r="C359">
        <v>0.1663578</v>
      </c>
      <c r="D359">
        <v>5.7870356699999999</v>
      </c>
      <c r="E359">
        <v>0.53337177000000002</v>
      </c>
      <c r="F359">
        <v>3.3177354299999999</v>
      </c>
      <c r="G359">
        <v>1.2987410399999999</v>
      </c>
      <c r="H359">
        <v>2.6242020199999998</v>
      </c>
      <c r="I359">
        <v>1.004355E-2</v>
      </c>
      <c r="J359">
        <v>1</v>
      </c>
      <c r="K359">
        <v>950014</v>
      </c>
      <c r="L359">
        <f t="shared" si="41"/>
        <v>1.2760520884615384E-2</v>
      </c>
      <c r="M359">
        <f t="shared" si="42"/>
        <v>4.9951578461538458E-3</v>
      </c>
      <c r="N359">
        <f t="shared" si="43"/>
        <v>1.0093084692307691E-2</v>
      </c>
      <c r="O359">
        <f t="shared" si="44"/>
        <v>7.5441212692307687E-3</v>
      </c>
      <c r="P359">
        <f t="shared" si="40"/>
        <v>9.413925757117477</v>
      </c>
      <c r="R359">
        <f t="shared" si="46"/>
        <v>-1.0028110940469659E-3</v>
      </c>
      <c r="S359">
        <f>ABS(SUMIFS($R:$R,$K:$K,K359))</f>
        <v>5.1806878088045284E-3</v>
      </c>
    </row>
    <row r="360" spans="1:19" x14ac:dyDescent="0.2">
      <c r="A360" t="s">
        <v>371</v>
      </c>
      <c r="B360">
        <v>5.5943847</v>
      </c>
      <c r="C360">
        <v>0.10192716</v>
      </c>
      <c r="D360">
        <v>5.732272</v>
      </c>
      <c r="E360">
        <v>0.73091687000000005</v>
      </c>
      <c r="F360">
        <v>3.3029332500000002</v>
      </c>
      <c r="G360">
        <v>1.2835904199999999</v>
      </c>
      <c r="H360">
        <v>2.5706571</v>
      </c>
      <c r="I360">
        <v>9.8609400000000003E-3</v>
      </c>
      <c r="J360">
        <v>1</v>
      </c>
      <c r="K360">
        <v>950014</v>
      </c>
      <c r="L360">
        <f t="shared" si="41"/>
        <v>1.2703589423076924E-2</v>
      </c>
      <c r="M360">
        <f t="shared" si="42"/>
        <v>4.9368862307692307E-3</v>
      </c>
      <c r="N360">
        <f t="shared" si="43"/>
        <v>9.8871426923076919E-3</v>
      </c>
      <c r="O360">
        <f t="shared" si="44"/>
        <v>7.4120144615384617E-3</v>
      </c>
      <c r="P360">
        <f t="shared" si="40"/>
        <v>5.7678973686465813</v>
      </c>
      <c r="R360">
        <f t="shared" si="46"/>
        <v>-4.1435021111246791E-4</v>
      </c>
    </row>
    <row r="361" spans="1:19" x14ac:dyDescent="0.2">
      <c r="A361" t="s">
        <v>372</v>
      </c>
      <c r="B361">
        <v>5.55078198</v>
      </c>
      <c r="C361">
        <v>5.4396359999999998E-2</v>
      </c>
      <c r="D361">
        <v>5.6933744400000004</v>
      </c>
      <c r="E361">
        <v>0.96797098999999998</v>
      </c>
      <c r="F361">
        <v>3.2827770900000002</v>
      </c>
      <c r="G361">
        <v>1.27305972</v>
      </c>
      <c r="H361">
        <v>2.5324743399999998</v>
      </c>
      <c r="I361">
        <v>1.004355E-2</v>
      </c>
      <c r="J361">
        <v>1</v>
      </c>
      <c r="K361">
        <v>950014</v>
      </c>
      <c r="L361">
        <f t="shared" si="41"/>
        <v>1.2626065730769232E-2</v>
      </c>
      <c r="M361">
        <f t="shared" si="42"/>
        <v>4.8963835384615382E-3</v>
      </c>
      <c r="N361">
        <f t="shared" si="43"/>
        <v>9.7402859230769218E-3</v>
      </c>
      <c r="O361">
        <f t="shared" si="44"/>
        <v>7.3183347307692308E-3</v>
      </c>
      <c r="P361">
        <f t="shared" si="40"/>
        <v>3.0782042951844448</v>
      </c>
      <c r="R361">
        <f t="shared" si="46"/>
        <v>-7.7489073380852436E-5</v>
      </c>
    </row>
    <row r="362" spans="1:19" x14ac:dyDescent="0.2">
      <c r="A362" t="s">
        <v>373</v>
      </c>
      <c r="B362">
        <v>5.5404003800000003</v>
      </c>
      <c r="C362">
        <v>5.0831550000000003E-2</v>
      </c>
      <c r="D362">
        <v>5.6790437599999999</v>
      </c>
      <c r="E362">
        <v>1.1457615800000001</v>
      </c>
      <c r="F362">
        <v>3.2624634600000002</v>
      </c>
      <c r="G362">
        <v>1.2699344800000001</v>
      </c>
      <c r="H362">
        <v>2.5220659200000002</v>
      </c>
      <c r="I362">
        <v>1.004355E-2</v>
      </c>
      <c r="J362">
        <v>1</v>
      </c>
      <c r="K362">
        <v>950014</v>
      </c>
      <c r="L362">
        <f t="shared" si="41"/>
        <v>1.2547936384615386E-2</v>
      </c>
      <c r="M362">
        <f t="shared" si="42"/>
        <v>4.8843633846153848E-3</v>
      </c>
      <c r="N362">
        <f t="shared" si="43"/>
        <v>9.7002535384615399E-3</v>
      </c>
      <c r="O362">
        <f t="shared" si="44"/>
        <v>7.2923084615384619E-3</v>
      </c>
      <c r="P362">
        <f t="shared" si="40"/>
        <v>2.8764773146747848</v>
      </c>
      <c r="R362">
        <f t="shared" si="46"/>
        <v>1.829011742828668E-4</v>
      </c>
    </row>
    <row r="363" spans="1:19" x14ac:dyDescent="0.2">
      <c r="A363" t="s">
        <v>374</v>
      </c>
      <c r="B363">
        <v>5.55856818</v>
      </c>
      <c r="C363">
        <v>0.10879272</v>
      </c>
      <c r="D363">
        <v>5.7025870200000002</v>
      </c>
      <c r="E363">
        <v>1.1457615800000001</v>
      </c>
      <c r="F363">
        <v>3.24671646</v>
      </c>
      <c r="G363">
        <v>1.26973066</v>
      </c>
      <c r="H363">
        <v>2.54332804</v>
      </c>
      <c r="I363">
        <v>1.004355E-2</v>
      </c>
      <c r="J363">
        <v>1</v>
      </c>
      <c r="K363">
        <v>950014</v>
      </c>
      <c r="L363">
        <f t="shared" si="41"/>
        <v>1.2487371000000001E-2</v>
      </c>
      <c r="M363">
        <f t="shared" si="42"/>
        <v>4.8835794615384618E-3</v>
      </c>
      <c r="N363">
        <f t="shared" si="43"/>
        <v>9.7820309230769228E-3</v>
      </c>
      <c r="O363">
        <f t="shared" si="44"/>
        <v>7.3328051923076927E-3</v>
      </c>
      <c r="P363">
        <f t="shared" si="40"/>
        <v>6.1564085903688897</v>
      </c>
      <c r="R363">
        <f t="shared" si="46"/>
        <v>7.9888479418414751E-4</v>
      </c>
    </row>
    <row r="364" spans="1:19" x14ac:dyDescent="0.2">
      <c r="A364" t="s">
        <v>375</v>
      </c>
      <c r="B364">
        <v>5.5982778</v>
      </c>
      <c r="C364">
        <v>0.19051929000000001</v>
      </c>
      <c r="D364">
        <v>5.7460908699999997</v>
      </c>
      <c r="E364">
        <v>1.1457615800000001</v>
      </c>
      <c r="F364">
        <v>3.2341188600000002</v>
      </c>
      <c r="G364">
        <v>1.2759811400000001</v>
      </c>
      <c r="H364">
        <v>2.5861305799999998</v>
      </c>
      <c r="I364">
        <v>1.004355E-2</v>
      </c>
      <c r="J364">
        <v>1</v>
      </c>
      <c r="K364">
        <v>950015</v>
      </c>
      <c r="L364">
        <f t="shared" si="41"/>
        <v>1.2438918692307692E-2</v>
      </c>
      <c r="M364">
        <f t="shared" si="42"/>
        <v>4.9076197692307696E-3</v>
      </c>
      <c r="N364">
        <f t="shared" si="43"/>
        <v>9.9466560769230772E-3</v>
      </c>
      <c r="O364">
        <f t="shared" si="44"/>
        <v>7.4271379230769225E-3</v>
      </c>
      <c r="P364">
        <f t="shared" si="40"/>
        <v>10.781186402794065</v>
      </c>
      <c r="Q364">
        <f t="shared" ref="Q364" si="48">ABS(0.5*(SUMPRODUCT(O364:O382,P365:P383)+O383*P364-(SUMPRODUCT(O365:O383,P364:P382)+O364*P383)))</f>
        <v>5.2078706080789239E-3</v>
      </c>
      <c r="R364">
        <f t="shared" si="46"/>
        <v>1.7900371824228001E-3</v>
      </c>
    </row>
    <row r="365" spans="1:19" x14ac:dyDescent="0.2">
      <c r="A365" t="s">
        <v>376</v>
      </c>
      <c r="B365">
        <v>5.6496667199999999</v>
      </c>
      <c r="C365">
        <v>0.28320434999999999</v>
      </c>
      <c r="D365">
        <v>5.8008545399999996</v>
      </c>
      <c r="E365">
        <v>0.90870746000000002</v>
      </c>
      <c r="F365">
        <v>3.2249856000000001</v>
      </c>
      <c r="G365">
        <v>1.29004472</v>
      </c>
      <c r="H365">
        <v>2.6415122800000002</v>
      </c>
      <c r="I365">
        <v>9.8609400000000003E-3</v>
      </c>
      <c r="J365">
        <v>1</v>
      </c>
      <c r="K365">
        <v>950015</v>
      </c>
      <c r="L365">
        <f t="shared" si="41"/>
        <v>1.2403790769230769E-2</v>
      </c>
      <c r="M365">
        <f t="shared" si="42"/>
        <v>4.9617104615384613E-3</v>
      </c>
      <c r="N365">
        <f t="shared" si="43"/>
        <v>1.0159662615384616E-2</v>
      </c>
      <c r="O365">
        <f t="shared" si="44"/>
        <v>7.5606865384615389E-3</v>
      </c>
      <c r="P365">
        <f t="shared" si="40"/>
        <v>16.02608789604523</v>
      </c>
      <c r="R365">
        <f t="shared" si="46"/>
        <v>2.8871333556359387E-3</v>
      </c>
    </row>
    <row r="366" spans="1:19" x14ac:dyDescent="0.2">
      <c r="A366" t="s">
        <v>377</v>
      </c>
      <c r="B366">
        <v>5.7075441400000004</v>
      </c>
      <c r="C366">
        <v>0.38962053000000002</v>
      </c>
      <c r="D366">
        <v>5.8714843200000004</v>
      </c>
      <c r="E366">
        <v>0.73091687000000005</v>
      </c>
      <c r="F366">
        <v>3.2254580100000001</v>
      </c>
      <c r="G366">
        <v>1.3053991599999999</v>
      </c>
      <c r="H366">
        <v>2.7050203399999999</v>
      </c>
      <c r="I366">
        <v>9.8609400000000003E-3</v>
      </c>
      <c r="J366">
        <v>1</v>
      </c>
      <c r="K366">
        <v>950015</v>
      </c>
      <c r="L366">
        <f t="shared" si="41"/>
        <v>1.2405607730769231E-2</v>
      </c>
      <c r="M366">
        <f t="shared" si="42"/>
        <v>5.0207659999999994E-3</v>
      </c>
      <c r="N366">
        <f t="shared" si="43"/>
        <v>1.0403924384615385E-2</v>
      </c>
      <c r="O366">
        <f t="shared" si="44"/>
        <v>7.7123451923076913E-3</v>
      </c>
      <c r="P366">
        <f t="shared" si="40"/>
        <v>22.048011832741015</v>
      </c>
      <c r="R366">
        <f t="shared" si="46"/>
        <v>3.7720478725721046E-3</v>
      </c>
    </row>
    <row r="367" spans="1:19" x14ac:dyDescent="0.2">
      <c r="A367" t="s">
        <v>378</v>
      </c>
      <c r="B367">
        <v>5.76931466</v>
      </c>
      <c r="C367">
        <v>0.52415909999999999</v>
      </c>
      <c r="D367">
        <v>5.9400668599999999</v>
      </c>
      <c r="E367">
        <v>0.53337177000000002</v>
      </c>
      <c r="F367">
        <v>3.2331740400000002</v>
      </c>
      <c r="G367">
        <v>1.31925892</v>
      </c>
      <c r="H367">
        <v>2.7670255799999999</v>
      </c>
      <c r="I367">
        <v>9.8609400000000003E-3</v>
      </c>
      <c r="J367">
        <v>1</v>
      </c>
      <c r="K367">
        <v>950015</v>
      </c>
      <c r="L367">
        <f t="shared" si="41"/>
        <v>1.2435284769230771E-2</v>
      </c>
      <c r="M367">
        <f t="shared" si="42"/>
        <v>5.0740727692307691E-3</v>
      </c>
      <c r="N367">
        <f t="shared" si="43"/>
        <v>1.0642406076923076E-2</v>
      </c>
      <c r="O367">
        <f t="shared" si="44"/>
        <v>7.858239423076922E-3</v>
      </c>
      <c r="P367">
        <f t="shared" si="40"/>
        <v>29.661337504568561</v>
      </c>
      <c r="R367">
        <f t="shared" si="46"/>
        <v>4.4223243285747959E-3</v>
      </c>
    </row>
    <row r="368" spans="1:19" x14ac:dyDescent="0.2">
      <c r="A368" t="s">
        <v>379</v>
      </c>
      <c r="B368">
        <v>5.8318637999999998</v>
      </c>
      <c r="C368">
        <v>0.70385193000000001</v>
      </c>
      <c r="D368">
        <v>6.0071139699999998</v>
      </c>
      <c r="E368">
        <v>0.47410824000000001</v>
      </c>
      <c r="F368">
        <v>3.2437245300000002</v>
      </c>
      <c r="G368">
        <v>1.3300613800000001</v>
      </c>
      <c r="H368">
        <v>2.8224072800000002</v>
      </c>
      <c r="I368">
        <v>9.8609400000000003E-3</v>
      </c>
      <c r="J368">
        <v>1</v>
      </c>
      <c r="K368">
        <v>950015</v>
      </c>
      <c r="L368">
        <f t="shared" si="41"/>
        <v>1.2475863576923077E-2</v>
      </c>
      <c r="M368">
        <f t="shared" si="42"/>
        <v>5.1156206923076925E-3</v>
      </c>
      <c r="N368">
        <f t="shared" si="43"/>
        <v>1.0855412615384617E-2</v>
      </c>
      <c r="O368">
        <f t="shared" si="44"/>
        <v>7.9855166538461541E-3</v>
      </c>
      <c r="P368">
        <f t="shared" si="40"/>
        <v>39.829871596185136</v>
      </c>
      <c r="R368">
        <f t="shared" si="46"/>
        <v>2.8668886610244589E-3</v>
      </c>
    </row>
    <row r="369" spans="1:19" x14ac:dyDescent="0.2">
      <c r="A369" t="s">
        <v>380</v>
      </c>
      <c r="B369">
        <v>5.8681994</v>
      </c>
      <c r="C369">
        <v>0.82518749999999996</v>
      </c>
      <c r="D369">
        <v>6.0444760999999998</v>
      </c>
      <c r="E369">
        <v>0.47410824000000001</v>
      </c>
      <c r="F369">
        <v>3.2586841799999999</v>
      </c>
      <c r="G369">
        <v>1.33563246</v>
      </c>
      <c r="H369">
        <v>2.8512948200000001</v>
      </c>
      <c r="I369">
        <v>9.8609400000000003E-3</v>
      </c>
      <c r="J369">
        <v>1</v>
      </c>
      <c r="K369">
        <v>950015</v>
      </c>
      <c r="L369">
        <f t="shared" si="41"/>
        <v>1.2533400692307692E-2</v>
      </c>
      <c r="M369">
        <f t="shared" si="42"/>
        <v>5.1370479230769235E-3</v>
      </c>
      <c r="N369">
        <f t="shared" si="43"/>
        <v>1.0966518538461539E-2</v>
      </c>
      <c r="O369">
        <f t="shared" si="44"/>
        <v>8.05178323076923E-3</v>
      </c>
      <c r="P369">
        <f t="shared" si="40"/>
        <v>46.696060303162092</v>
      </c>
      <c r="R369">
        <f t="shared" si="46"/>
        <v>9.0947930273902627E-4</v>
      </c>
    </row>
    <row r="370" spans="1:19" x14ac:dyDescent="0.2">
      <c r="A370" t="s">
        <v>381</v>
      </c>
      <c r="B370">
        <v>5.8785809999999996</v>
      </c>
      <c r="C370">
        <v>0.85383801000000004</v>
      </c>
      <c r="D370">
        <v>6.0511296300000001</v>
      </c>
      <c r="E370">
        <v>0.47410824000000001</v>
      </c>
      <c r="F370">
        <v>3.2769507</v>
      </c>
      <c r="G370">
        <v>1.33712714</v>
      </c>
      <c r="H370">
        <v>2.8597551399999999</v>
      </c>
      <c r="I370">
        <v>1.004355E-2</v>
      </c>
      <c r="J370">
        <v>1</v>
      </c>
      <c r="K370">
        <v>950015</v>
      </c>
      <c r="L370">
        <f t="shared" si="41"/>
        <v>1.2603656538461539E-2</v>
      </c>
      <c r="M370">
        <f t="shared" si="42"/>
        <v>5.1427966923076919E-3</v>
      </c>
      <c r="N370">
        <f t="shared" si="43"/>
        <v>1.0999058230769231E-2</v>
      </c>
      <c r="O370">
        <f t="shared" si="44"/>
        <v>8.0709274615384605E-3</v>
      </c>
      <c r="P370">
        <f t="shared" si="40"/>
        <v>48.317347516887878</v>
      </c>
      <c r="R370">
        <f t="shared" si="46"/>
        <v>3.2620332188914311E-4</v>
      </c>
    </row>
    <row r="371" spans="1:19" x14ac:dyDescent="0.2">
      <c r="A371" t="s">
        <v>382</v>
      </c>
      <c r="B371">
        <v>5.88429088</v>
      </c>
      <c r="C371">
        <v>0.85621455000000002</v>
      </c>
      <c r="D371">
        <v>6.0526650599999998</v>
      </c>
      <c r="E371">
        <v>0.47410824000000001</v>
      </c>
      <c r="F371">
        <v>3.2903356499999998</v>
      </c>
      <c r="G371">
        <v>1.3377386</v>
      </c>
      <c r="H371">
        <v>2.8626494600000001</v>
      </c>
      <c r="I371">
        <v>1.004355E-2</v>
      </c>
      <c r="J371">
        <v>1</v>
      </c>
      <c r="K371">
        <v>950015</v>
      </c>
      <c r="L371">
        <f t="shared" si="41"/>
        <v>1.2655137115384615E-2</v>
      </c>
      <c r="M371">
        <f t="shared" si="42"/>
        <v>5.1451484615384615E-3</v>
      </c>
      <c r="N371">
        <f t="shared" si="43"/>
        <v>1.1010190230769231E-2</v>
      </c>
      <c r="O371">
        <f t="shared" si="44"/>
        <v>8.077669346153846E-3</v>
      </c>
      <c r="P371">
        <f t="shared" si="40"/>
        <v>48.451832170560991</v>
      </c>
      <c r="R371">
        <f t="shared" si="46"/>
        <v>-1.1827412352281223E-4</v>
      </c>
    </row>
    <row r="372" spans="1:19" x14ac:dyDescent="0.2">
      <c r="A372" t="s">
        <v>383</v>
      </c>
      <c r="B372">
        <v>5.88013824</v>
      </c>
      <c r="C372">
        <v>0.81713367000000003</v>
      </c>
      <c r="D372">
        <v>6.0490823899999997</v>
      </c>
      <c r="E372">
        <v>0.47410824000000001</v>
      </c>
      <c r="F372">
        <v>3.3034056600000001</v>
      </c>
      <c r="G372">
        <v>1.3379424200000001</v>
      </c>
      <c r="H372">
        <v>2.8611466399999999</v>
      </c>
      <c r="I372">
        <v>9.6783300000000006E-3</v>
      </c>
      <c r="J372">
        <v>1</v>
      </c>
      <c r="K372">
        <v>950015</v>
      </c>
      <c r="L372">
        <f t="shared" si="41"/>
        <v>1.2705406384615385E-2</v>
      </c>
      <c r="M372">
        <f t="shared" si="42"/>
        <v>5.1459323846153853E-3</v>
      </c>
      <c r="N372">
        <f t="shared" si="43"/>
        <v>1.1004410153846154E-2</v>
      </c>
      <c r="O372">
        <f t="shared" si="44"/>
        <v>8.0751712692307704E-3</v>
      </c>
      <c r="P372">
        <f t="shared" si="40"/>
        <v>46.240306754603232</v>
      </c>
      <c r="R372">
        <f t="shared" si="46"/>
        <v>-1.0520928705275061E-3</v>
      </c>
    </row>
    <row r="373" spans="1:19" x14ac:dyDescent="0.2">
      <c r="A373" t="s">
        <v>384</v>
      </c>
      <c r="B373">
        <v>5.8627490599999996</v>
      </c>
      <c r="C373">
        <v>0.70424801999999997</v>
      </c>
      <c r="D373">
        <v>6.0337280900000003</v>
      </c>
      <c r="E373">
        <v>0.47410824000000001</v>
      </c>
      <c r="F373">
        <v>3.3163182</v>
      </c>
      <c r="G373">
        <v>1.3381462399999999</v>
      </c>
      <c r="H373">
        <v>2.84823352</v>
      </c>
      <c r="I373">
        <v>9.6783300000000006E-3</v>
      </c>
      <c r="J373">
        <v>1</v>
      </c>
      <c r="K373">
        <v>950015</v>
      </c>
      <c r="L373">
        <f t="shared" si="41"/>
        <v>1.275507E-2</v>
      </c>
      <c r="M373">
        <f t="shared" si="42"/>
        <v>5.1467163076923074E-3</v>
      </c>
      <c r="N373">
        <f t="shared" si="43"/>
        <v>1.0954744307692308E-2</v>
      </c>
      <c r="O373">
        <f t="shared" si="44"/>
        <v>8.0507303076923064E-3</v>
      </c>
      <c r="P373">
        <f t="shared" si="40"/>
        <v>39.852285705130654</v>
      </c>
      <c r="R373">
        <f t="shared" si="46"/>
        <v>-1.0229064298008612E-3</v>
      </c>
    </row>
    <row r="374" spans="1:19" x14ac:dyDescent="0.2">
      <c r="A374" t="s">
        <v>385</v>
      </c>
      <c r="B374">
        <v>5.8422454000000004</v>
      </c>
      <c r="C374">
        <v>0.61169499000000005</v>
      </c>
      <c r="D374">
        <v>6.0178619800000002</v>
      </c>
      <c r="E374">
        <v>0.47410824000000001</v>
      </c>
      <c r="F374">
        <v>3.32686869</v>
      </c>
      <c r="G374">
        <v>1.3379424200000001</v>
      </c>
      <c r="H374">
        <v>2.8341515400000001</v>
      </c>
      <c r="I374">
        <v>9.8609400000000003E-3</v>
      </c>
      <c r="J374">
        <v>1</v>
      </c>
      <c r="K374">
        <v>950015</v>
      </c>
      <c r="L374">
        <f t="shared" si="41"/>
        <v>1.2795648807692307E-2</v>
      </c>
      <c r="M374">
        <f t="shared" si="42"/>
        <v>5.1459323846153853E-3</v>
      </c>
      <c r="N374">
        <f t="shared" si="43"/>
        <v>1.0900582846153847E-2</v>
      </c>
      <c r="O374">
        <f t="shared" si="44"/>
        <v>8.0232576153846154E-3</v>
      </c>
      <c r="P374">
        <f t="shared" si="40"/>
        <v>34.614855581527998</v>
      </c>
      <c r="R374">
        <f t="shared" si="46"/>
        <v>-1.365206847483163E-3</v>
      </c>
    </row>
    <row r="375" spans="1:19" x14ac:dyDescent="0.2">
      <c r="A375" t="s">
        <v>386</v>
      </c>
      <c r="B375">
        <v>5.82485622</v>
      </c>
      <c r="C375">
        <v>0.52099037999999998</v>
      </c>
      <c r="D375">
        <v>5.9917596700000004</v>
      </c>
      <c r="E375">
        <v>0.41484471000000001</v>
      </c>
      <c r="F375">
        <v>3.3317502600000002</v>
      </c>
      <c r="G375">
        <v>1.3367195000000001</v>
      </c>
      <c r="H375">
        <v>2.8132233800000002</v>
      </c>
      <c r="I375">
        <v>1.004355E-2</v>
      </c>
      <c r="J375">
        <v>1</v>
      </c>
      <c r="K375">
        <v>950015</v>
      </c>
      <c r="L375">
        <f t="shared" si="41"/>
        <v>1.2814424076923077E-2</v>
      </c>
      <c r="M375">
        <f t="shared" si="42"/>
        <v>5.1412288461538461E-3</v>
      </c>
      <c r="N375">
        <f t="shared" si="43"/>
        <v>1.0820089923076924E-2</v>
      </c>
      <c r="O375">
        <f t="shared" si="44"/>
        <v>7.9806593846153857E-3</v>
      </c>
      <c r="P375">
        <f t="shared" si="40"/>
        <v>29.482024633004418</v>
      </c>
      <c r="R375">
        <f t="shared" si="46"/>
        <v>-2.0025591282650489E-3</v>
      </c>
    </row>
    <row r="376" spans="1:19" x14ac:dyDescent="0.2">
      <c r="A376" t="s">
        <v>387</v>
      </c>
      <c r="B376">
        <v>5.7913755599999996</v>
      </c>
      <c r="C376">
        <v>0.41985539999999999</v>
      </c>
      <c r="D376">
        <v>5.9508148700000003</v>
      </c>
      <c r="E376">
        <v>0.41484471000000001</v>
      </c>
      <c r="F376">
        <v>3.33600195</v>
      </c>
      <c r="G376">
        <v>1.3327789800000001</v>
      </c>
      <c r="H376">
        <v>2.77804626</v>
      </c>
      <c r="I376">
        <v>1.004355E-2</v>
      </c>
      <c r="J376">
        <v>1</v>
      </c>
      <c r="K376">
        <v>950015</v>
      </c>
      <c r="L376">
        <f t="shared" si="41"/>
        <v>1.283077673076923E-2</v>
      </c>
      <c r="M376">
        <f t="shared" si="42"/>
        <v>5.1260730000000001E-3</v>
      </c>
      <c r="N376">
        <f t="shared" si="43"/>
        <v>1.0684793307692307E-2</v>
      </c>
      <c r="O376">
        <f t="shared" si="44"/>
        <v>7.9054331538461545E-3</v>
      </c>
      <c r="P376">
        <f t="shared" si="40"/>
        <v>23.758955482248872</v>
      </c>
      <c r="R376">
        <f t="shared" si="46"/>
        <v>-2.1999342182846076E-3</v>
      </c>
    </row>
    <row r="377" spans="1:19" x14ac:dyDescent="0.2">
      <c r="A377" t="s">
        <v>388</v>
      </c>
      <c r="B377">
        <v>5.7480323799999997</v>
      </c>
      <c r="C377">
        <v>0.32598207000000001</v>
      </c>
      <c r="D377">
        <v>5.8991220599999998</v>
      </c>
      <c r="E377">
        <v>0.41484471000000001</v>
      </c>
      <c r="F377">
        <v>3.33600195</v>
      </c>
      <c r="G377">
        <v>1.3251017599999999</v>
      </c>
      <c r="H377">
        <v>2.7315144999999998</v>
      </c>
      <c r="I377">
        <v>1.004355E-2</v>
      </c>
      <c r="J377">
        <v>1</v>
      </c>
      <c r="K377">
        <v>950015</v>
      </c>
      <c r="L377">
        <f t="shared" si="41"/>
        <v>1.283077673076923E-2</v>
      </c>
      <c r="M377">
        <f t="shared" si="42"/>
        <v>5.0965452307692302E-3</v>
      </c>
      <c r="N377">
        <f t="shared" si="43"/>
        <v>1.0505825E-2</v>
      </c>
      <c r="O377">
        <f t="shared" si="44"/>
        <v>7.8011851153846155E-3</v>
      </c>
      <c r="P377">
        <f t="shared" si="40"/>
        <v>18.446811662161153</v>
      </c>
      <c r="R377">
        <f t="shared" si="46"/>
        <v>-1.9726131851695683E-3</v>
      </c>
    </row>
    <row r="378" spans="1:19" x14ac:dyDescent="0.2">
      <c r="A378" t="s">
        <v>389</v>
      </c>
      <c r="B378">
        <v>5.7013151799999999</v>
      </c>
      <c r="C378">
        <v>0.24135084000000001</v>
      </c>
      <c r="D378">
        <v>5.8464056299999996</v>
      </c>
      <c r="E378">
        <v>0.41484471000000001</v>
      </c>
      <c r="F378">
        <v>3.3303330299999998</v>
      </c>
      <c r="G378">
        <v>1.3136878400000001</v>
      </c>
      <c r="H378">
        <v>2.6790271200000002</v>
      </c>
      <c r="I378">
        <v>9.8609400000000003E-3</v>
      </c>
      <c r="J378">
        <v>1</v>
      </c>
      <c r="K378">
        <v>950015</v>
      </c>
      <c r="L378">
        <f t="shared" si="41"/>
        <v>1.2808973192307692E-2</v>
      </c>
      <c r="M378">
        <f t="shared" si="42"/>
        <v>5.052645538461539E-3</v>
      </c>
      <c r="N378">
        <f t="shared" si="43"/>
        <v>1.0303950461538463E-2</v>
      </c>
      <c r="O378">
        <f t="shared" si="44"/>
        <v>7.6782980000000001E-3</v>
      </c>
      <c r="P378">
        <f t="shared" si="40"/>
        <v>13.65766371746885</v>
      </c>
      <c r="R378">
        <f t="shared" si="46"/>
        <v>-1.5327211832513832E-3</v>
      </c>
    </row>
    <row r="379" spans="1:19" x14ac:dyDescent="0.2">
      <c r="A379" t="s">
        <v>390</v>
      </c>
      <c r="B379">
        <v>5.6504453400000001</v>
      </c>
      <c r="C379">
        <v>0.16714998</v>
      </c>
      <c r="D379">
        <v>5.78242938</v>
      </c>
      <c r="E379">
        <v>0.47410824000000001</v>
      </c>
      <c r="F379">
        <v>3.31679061</v>
      </c>
      <c r="G379">
        <v>1.29955632</v>
      </c>
      <c r="H379">
        <v>2.6242020199999998</v>
      </c>
      <c r="I379">
        <v>1.004355E-2</v>
      </c>
      <c r="J379">
        <v>1</v>
      </c>
      <c r="K379">
        <v>950015</v>
      </c>
      <c r="L379">
        <f t="shared" si="41"/>
        <v>1.2756886961538462E-2</v>
      </c>
      <c r="M379">
        <f t="shared" si="42"/>
        <v>4.9982935384615384E-3</v>
      </c>
      <c r="N379">
        <f t="shared" si="43"/>
        <v>1.0093084692307691E-2</v>
      </c>
      <c r="O379">
        <f t="shared" si="44"/>
        <v>7.5456891153846154E-3</v>
      </c>
      <c r="P379">
        <f t="shared" si="40"/>
        <v>9.4587539750085128</v>
      </c>
      <c r="R379">
        <f t="shared" si="46"/>
        <v>-1.0008772412219166E-3</v>
      </c>
    </row>
    <row r="380" spans="1:19" x14ac:dyDescent="0.2">
      <c r="A380" t="s">
        <v>391</v>
      </c>
      <c r="B380">
        <v>5.5936060799999998</v>
      </c>
      <c r="C380">
        <v>0.10073889</v>
      </c>
      <c r="D380">
        <v>5.7307365700000004</v>
      </c>
      <c r="E380">
        <v>0.90870746000000002</v>
      </c>
      <c r="F380">
        <v>3.3034056600000001</v>
      </c>
      <c r="G380">
        <v>1.28426982</v>
      </c>
      <c r="H380">
        <v>2.57082408</v>
      </c>
      <c r="I380">
        <v>1.004355E-2</v>
      </c>
      <c r="J380">
        <v>1</v>
      </c>
      <c r="K380">
        <v>950015</v>
      </c>
      <c r="L380">
        <f t="shared" si="41"/>
        <v>1.2705406384615385E-2</v>
      </c>
      <c r="M380">
        <f t="shared" si="42"/>
        <v>4.9394993076923074E-3</v>
      </c>
      <c r="N380">
        <f t="shared" si="43"/>
        <v>9.8877849230769223E-3</v>
      </c>
      <c r="O380">
        <f t="shared" si="44"/>
        <v>7.4136421153846157E-3</v>
      </c>
      <c r="P380">
        <f t="shared" si="40"/>
        <v>5.7006550418100277</v>
      </c>
      <c r="R380">
        <f t="shared" si="46"/>
        <v>-4.1468819805902081E-4</v>
      </c>
      <c r="S380">
        <f>ABS(SUMIFS($R:$R,$K:$K,K380))</f>
        <v>5.1750124334293034E-3</v>
      </c>
    </row>
    <row r="381" spans="1:19" x14ac:dyDescent="0.2">
      <c r="A381" t="s">
        <v>392</v>
      </c>
      <c r="B381">
        <v>5.5515606000000002</v>
      </c>
      <c r="C381">
        <v>5.2811999999999998E-2</v>
      </c>
      <c r="D381">
        <v>5.6918390099999998</v>
      </c>
      <c r="E381">
        <v>1.26428864</v>
      </c>
      <c r="F381">
        <v>3.28561155</v>
      </c>
      <c r="G381">
        <v>1.2726520800000001</v>
      </c>
      <c r="H381">
        <v>2.5328083000000001</v>
      </c>
      <c r="I381">
        <v>9.8609400000000003E-3</v>
      </c>
      <c r="J381">
        <v>1</v>
      </c>
      <c r="K381">
        <v>950015</v>
      </c>
      <c r="L381">
        <f t="shared" si="41"/>
        <v>1.26369675E-2</v>
      </c>
      <c r="M381">
        <f t="shared" si="42"/>
        <v>4.8948156923076924E-3</v>
      </c>
      <c r="N381">
        <f t="shared" si="43"/>
        <v>9.7415703846153844E-3</v>
      </c>
      <c r="O381">
        <f t="shared" si="44"/>
        <v>7.3181930384615393E-3</v>
      </c>
      <c r="P381">
        <f t="shared" si="40"/>
        <v>2.9885478594023738</v>
      </c>
      <c r="R381">
        <f t="shared" si="46"/>
        <v>-7.9249009674752752E-5</v>
      </c>
    </row>
    <row r="382" spans="1:19" x14ac:dyDescent="0.2">
      <c r="A382" t="s">
        <v>393</v>
      </c>
      <c r="B382">
        <v>5.53884314</v>
      </c>
      <c r="C382">
        <v>5.0831550000000003E-2</v>
      </c>
      <c r="D382">
        <v>5.6821146200000001</v>
      </c>
      <c r="E382">
        <v>1.26428864</v>
      </c>
      <c r="F382">
        <v>3.2619910499999998</v>
      </c>
      <c r="G382">
        <v>1.2691192</v>
      </c>
      <c r="H382">
        <v>2.5222885599999998</v>
      </c>
      <c r="I382">
        <v>9.6783300000000006E-3</v>
      </c>
      <c r="J382">
        <v>1</v>
      </c>
      <c r="K382">
        <v>950015</v>
      </c>
      <c r="L382">
        <f t="shared" si="41"/>
        <v>1.2546119423076922E-2</v>
      </c>
      <c r="M382">
        <f t="shared" si="42"/>
        <v>4.8812276923076922E-3</v>
      </c>
      <c r="N382">
        <f t="shared" si="43"/>
        <v>9.7011098461538461E-3</v>
      </c>
      <c r="O382">
        <f t="shared" si="44"/>
        <v>7.2911687692307691E-3</v>
      </c>
      <c r="P382">
        <f t="shared" si="40"/>
        <v>2.8764773146747848</v>
      </c>
      <c r="R382">
        <f t="shared" si="46"/>
        <v>1.7461531786989374E-4</v>
      </c>
    </row>
    <row r="383" spans="1:19" x14ac:dyDescent="0.2">
      <c r="A383" t="s">
        <v>394</v>
      </c>
      <c r="B383">
        <v>5.5562323200000003</v>
      </c>
      <c r="C383">
        <v>0.10800054000000001</v>
      </c>
      <c r="D383">
        <v>5.7025870200000002</v>
      </c>
      <c r="E383">
        <v>1.26428864</v>
      </c>
      <c r="F383">
        <v>3.2446693500000001</v>
      </c>
      <c r="G383">
        <v>1.2691192</v>
      </c>
      <c r="H383">
        <v>2.5424931399999999</v>
      </c>
      <c r="I383">
        <v>9.6783300000000006E-3</v>
      </c>
      <c r="J383">
        <v>1</v>
      </c>
      <c r="K383">
        <v>950015</v>
      </c>
      <c r="L383">
        <f t="shared" si="41"/>
        <v>1.2479497500000001E-2</v>
      </c>
      <c r="M383">
        <f t="shared" si="42"/>
        <v>4.8812276923076922E-3</v>
      </c>
      <c r="N383">
        <f t="shared" si="43"/>
        <v>9.7788197692307687E-3</v>
      </c>
      <c r="O383">
        <f t="shared" si="44"/>
        <v>7.3300237307692305E-3</v>
      </c>
      <c r="P383">
        <f t="shared" si="40"/>
        <v>6.1115803724778548</v>
      </c>
      <c r="R383">
        <f t="shared" si="46"/>
        <v>7.8740552596178305E-4</v>
      </c>
    </row>
    <row r="384" spans="1:19" x14ac:dyDescent="0.2">
      <c r="A384" t="s">
        <v>395</v>
      </c>
      <c r="B384">
        <v>5.5943847</v>
      </c>
      <c r="C384">
        <v>0.18735056999999999</v>
      </c>
      <c r="D384">
        <v>5.7430200100000004</v>
      </c>
      <c r="E384">
        <v>1.1457615800000001</v>
      </c>
      <c r="F384">
        <v>3.2350636800000001</v>
      </c>
      <c r="G384">
        <v>1.2759811400000001</v>
      </c>
      <c r="H384">
        <v>2.5846277600000001</v>
      </c>
      <c r="I384">
        <v>9.8609400000000003E-3</v>
      </c>
      <c r="J384">
        <v>1</v>
      </c>
      <c r="K384">
        <v>950016</v>
      </c>
      <c r="L384">
        <f t="shared" si="41"/>
        <v>1.2442552615384616E-2</v>
      </c>
      <c r="M384">
        <f t="shared" si="42"/>
        <v>4.9076197692307696E-3</v>
      </c>
      <c r="N384">
        <f t="shared" si="43"/>
        <v>9.9408759999999995E-3</v>
      </c>
      <c r="O384">
        <f t="shared" si="44"/>
        <v>7.4242478846153846E-3</v>
      </c>
      <c r="P384">
        <f t="shared" si="40"/>
        <v>10.601873531229922</v>
      </c>
      <c r="Q384">
        <f t="shared" ref="Q384" si="49">ABS(0.5*(SUMPRODUCT(O384:O402,P385:P403)+O403*P384-(SUMPRODUCT(O385:O403,P384:P402)+O384*P403)))</f>
        <v>5.2439995651685223E-3</v>
      </c>
      <c r="R384">
        <f t="shared" si="46"/>
        <v>1.7677624331996482E-3</v>
      </c>
    </row>
    <row r="385" spans="1:18" x14ac:dyDescent="0.2">
      <c r="A385" t="s">
        <v>396</v>
      </c>
      <c r="B385">
        <v>5.6442163799999996</v>
      </c>
      <c r="C385">
        <v>0.28122390000000003</v>
      </c>
      <c r="D385">
        <v>5.8039253999999998</v>
      </c>
      <c r="E385">
        <v>0.96797098999999998</v>
      </c>
      <c r="F385">
        <v>3.22750512</v>
      </c>
      <c r="G385">
        <v>1.28943326</v>
      </c>
      <c r="H385">
        <v>2.6405104000000001</v>
      </c>
      <c r="I385">
        <v>9.6783300000000006E-3</v>
      </c>
      <c r="J385">
        <v>1</v>
      </c>
      <c r="K385">
        <v>950016</v>
      </c>
      <c r="L385">
        <f t="shared" si="41"/>
        <v>1.2413481230769231E-2</v>
      </c>
      <c r="M385">
        <f t="shared" si="42"/>
        <v>4.9593586923076926E-3</v>
      </c>
      <c r="N385">
        <f t="shared" si="43"/>
        <v>1.0155809230769232E-2</v>
      </c>
      <c r="O385">
        <f t="shared" si="44"/>
        <v>7.5575839615384622E-3</v>
      </c>
      <c r="P385">
        <f t="shared" si="40"/>
        <v>15.914017351317643</v>
      </c>
      <c r="R385">
        <f t="shared" si="46"/>
        <v>2.8860749493424113E-3</v>
      </c>
    </row>
    <row r="386" spans="1:18" x14ac:dyDescent="0.2">
      <c r="A386" t="s">
        <v>397</v>
      </c>
      <c r="B386">
        <v>5.7075441400000004</v>
      </c>
      <c r="C386">
        <v>0.38962053000000002</v>
      </c>
      <c r="D386">
        <v>5.8730197500000001</v>
      </c>
      <c r="E386">
        <v>0.79018040000000001</v>
      </c>
      <c r="F386">
        <v>3.2249856000000001</v>
      </c>
      <c r="G386">
        <v>1.30499152</v>
      </c>
      <c r="H386">
        <v>2.7040184599999999</v>
      </c>
      <c r="I386">
        <v>9.6783300000000006E-3</v>
      </c>
      <c r="J386">
        <v>1</v>
      </c>
      <c r="K386">
        <v>950016</v>
      </c>
      <c r="L386">
        <f t="shared" si="41"/>
        <v>1.2403790769230769E-2</v>
      </c>
      <c r="M386">
        <f t="shared" si="42"/>
        <v>5.0191981538461536E-3</v>
      </c>
      <c r="N386">
        <f t="shared" si="43"/>
        <v>1.0400071E-2</v>
      </c>
      <c r="O386">
        <f t="shared" si="44"/>
        <v>7.709634576923077E-3</v>
      </c>
      <c r="P386">
        <f t="shared" si="40"/>
        <v>22.048011832741015</v>
      </c>
      <c r="R386">
        <f t="shared" si="46"/>
        <v>3.7804413296392242E-3</v>
      </c>
    </row>
    <row r="387" spans="1:18" x14ac:dyDescent="0.2">
      <c r="A387" t="s">
        <v>398</v>
      </c>
      <c r="B387">
        <v>5.7708719000000004</v>
      </c>
      <c r="C387">
        <v>0.52217864999999997</v>
      </c>
      <c r="D387">
        <v>5.9385314300000003</v>
      </c>
      <c r="E387">
        <v>0.73091687000000005</v>
      </c>
      <c r="F387">
        <v>3.2327016300000002</v>
      </c>
      <c r="G387">
        <v>1.3188512800000001</v>
      </c>
      <c r="H387">
        <v>2.7663576600000002</v>
      </c>
      <c r="I387">
        <v>9.6783300000000006E-3</v>
      </c>
      <c r="J387">
        <v>1</v>
      </c>
      <c r="K387">
        <v>950016</v>
      </c>
      <c r="L387">
        <f t="shared" si="41"/>
        <v>1.2433467807692309E-2</v>
      </c>
      <c r="M387">
        <f t="shared" si="42"/>
        <v>5.0725049230769233E-3</v>
      </c>
      <c r="N387">
        <f t="shared" si="43"/>
        <v>1.0639837153846154E-2</v>
      </c>
      <c r="O387">
        <f t="shared" si="44"/>
        <v>7.8561710384615381E-3</v>
      </c>
      <c r="P387">
        <f t="shared" ref="P387:P450" si="50">+C387*4/(PI()*0.15^2)</f>
        <v>29.549266959840971</v>
      </c>
      <c r="R387">
        <f t="shared" si="46"/>
        <v>4.4492092612954826E-3</v>
      </c>
    </row>
    <row r="388" spans="1:18" x14ac:dyDescent="0.2">
      <c r="A388" t="s">
        <v>399</v>
      </c>
      <c r="B388">
        <v>5.8295279400000002</v>
      </c>
      <c r="C388">
        <v>0.70266366000000002</v>
      </c>
      <c r="D388">
        <v>6.0025076799999999</v>
      </c>
      <c r="E388">
        <v>0.73091687000000005</v>
      </c>
      <c r="F388">
        <v>3.24671646</v>
      </c>
      <c r="G388">
        <v>1.3300613800000001</v>
      </c>
      <c r="H388">
        <v>2.82190634</v>
      </c>
      <c r="I388">
        <v>9.8609400000000003E-3</v>
      </c>
      <c r="J388">
        <v>1</v>
      </c>
      <c r="K388">
        <v>950016</v>
      </c>
      <c r="L388">
        <f t="shared" ref="L388:L451" si="51">+F388/260</f>
        <v>1.2487371000000001E-2</v>
      </c>
      <c r="M388">
        <f t="shared" ref="M388:M451" si="52">+G388/260</f>
        <v>5.1156206923076925E-3</v>
      </c>
      <c r="N388">
        <f t="shared" ref="N388:N451" si="53">+H388/260</f>
        <v>1.0853485923076923E-2</v>
      </c>
      <c r="O388">
        <f t="shared" ref="O388:O451" si="54">(+G388+H388)/520</f>
        <v>7.9845533076923075E-3</v>
      </c>
      <c r="P388">
        <f t="shared" si="50"/>
        <v>39.762629269348587</v>
      </c>
      <c r="R388">
        <f t="shared" ref="R388:R451" si="55">+(P388+P389)/2*(O389-O388)</f>
        <v>2.9217012286589048E-3</v>
      </c>
    </row>
    <row r="389" spans="1:18" x14ac:dyDescent="0.2">
      <c r="A389" t="s">
        <v>400</v>
      </c>
      <c r="B389">
        <v>5.8707947999999996</v>
      </c>
      <c r="C389">
        <v>0.82597967999999999</v>
      </c>
      <c r="D389">
        <v>6.0383343800000002</v>
      </c>
      <c r="E389">
        <v>0.73091687000000005</v>
      </c>
      <c r="F389">
        <v>3.2596289999999999</v>
      </c>
      <c r="G389">
        <v>1.33563246</v>
      </c>
      <c r="H389">
        <v>2.8514618</v>
      </c>
      <c r="I389">
        <v>9.8609400000000003E-3</v>
      </c>
      <c r="J389">
        <v>1</v>
      </c>
      <c r="K389">
        <v>950016</v>
      </c>
      <c r="L389">
        <f t="shared" si="51"/>
        <v>1.2537034615384616E-2</v>
      </c>
      <c r="M389">
        <f t="shared" si="52"/>
        <v>5.1370479230769235E-3</v>
      </c>
      <c r="N389">
        <f t="shared" si="53"/>
        <v>1.0967160769230769E-2</v>
      </c>
      <c r="O389">
        <f t="shared" si="54"/>
        <v>8.0521043461538461E-3</v>
      </c>
      <c r="P389">
        <f t="shared" si="50"/>
        <v>46.74088852105313</v>
      </c>
      <c r="R389">
        <f t="shared" si="55"/>
        <v>9.4739091195972529E-4</v>
      </c>
    </row>
    <row r="390" spans="1:18" x14ac:dyDescent="0.2">
      <c r="A390" t="s">
        <v>401</v>
      </c>
      <c r="B390">
        <v>5.8816954800000003</v>
      </c>
      <c r="C390">
        <v>0.8542341</v>
      </c>
      <c r="D390">
        <v>6.0526650599999998</v>
      </c>
      <c r="E390">
        <v>0.67165333999999999</v>
      </c>
      <c r="F390">
        <v>3.27600588</v>
      </c>
      <c r="G390">
        <v>1.3375347799999999</v>
      </c>
      <c r="H390">
        <v>2.8599221199999998</v>
      </c>
      <c r="I390">
        <v>9.8609400000000003E-3</v>
      </c>
      <c r="J390">
        <v>1</v>
      </c>
      <c r="K390">
        <v>950016</v>
      </c>
      <c r="L390">
        <f t="shared" si="51"/>
        <v>1.2600022615384615E-2</v>
      </c>
      <c r="M390">
        <f t="shared" si="52"/>
        <v>5.1443645384615377E-3</v>
      </c>
      <c r="N390">
        <f t="shared" si="53"/>
        <v>1.0999700461538461E-2</v>
      </c>
      <c r="O390">
        <f t="shared" si="54"/>
        <v>8.0720324999999996E-3</v>
      </c>
      <c r="P390">
        <f t="shared" si="50"/>
        <v>48.339761625833397</v>
      </c>
      <c r="R390">
        <f t="shared" si="55"/>
        <v>3.0738075148385399E-4</v>
      </c>
    </row>
    <row r="391" spans="1:18" x14ac:dyDescent="0.2">
      <c r="A391" t="s">
        <v>402</v>
      </c>
      <c r="B391">
        <v>5.8850695000000002</v>
      </c>
      <c r="C391">
        <v>0.85661063999999998</v>
      </c>
      <c r="D391">
        <v>6.0542004900000004</v>
      </c>
      <c r="E391">
        <v>0.67165333999999999</v>
      </c>
      <c r="F391">
        <v>3.2937999900000001</v>
      </c>
      <c r="G391">
        <v>1.3379424200000001</v>
      </c>
      <c r="H391">
        <v>2.86281644</v>
      </c>
      <c r="I391">
        <v>9.8609400000000003E-3</v>
      </c>
      <c r="J391">
        <v>1</v>
      </c>
      <c r="K391">
        <v>950016</v>
      </c>
      <c r="L391">
        <f t="shared" si="51"/>
        <v>1.26684615E-2</v>
      </c>
      <c r="M391">
        <f t="shared" si="52"/>
        <v>5.1459323846153853E-3</v>
      </c>
      <c r="N391">
        <f t="shared" si="53"/>
        <v>1.1010832461538462E-2</v>
      </c>
      <c r="O391">
        <f t="shared" si="54"/>
        <v>8.0783824230769245E-3</v>
      </c>
      <c r="P391">
        <f t="shared" si="50"/>
        <v>48.474246279506502</v>
      </c>
      <c r="R391">
        <f t="shared" si="55"/>
        <v>-1.6723906436058535E-4</v>
      </c>
    </row>
    <row r="392" spans="1:18" x14ac:dyDescent="0.2">
      <c r="A392" t="s">
        <v>403</v>
      </c>
      <c r="B392">
        <v>5.8809168600000001</v>
      </c>
      <c r="C392">
        <v>0.81673757999999996</v>
      </c>
      <c r="D392">
        <v>6.0490823899999997</v>
      </c>
      <c r="E392">
        <v>0.67165333999999999</v>
      </c>
      <c r="F392">
        <v>3.30576771</v>
      </c>
      <c r="G392">
        <v>1.3379424200000001</v>
      </c>
      <c r="H392">
        <v>2.8609796599999999</v>
      </c>
      <c r="I392">
        <v>9.8609400000000003E-3</v>
      </c>
      <c r="J392">
        <v>1</v>
      </c>
      <c r="K392">
        <v>950016</v>
      </c>
      <c r="L392">
        <f t="shared" si="51"/>
        <v>1.2714491192307692E-2</v>
      </c>
      <c r="M392">
        <f t="shared" si="52"/>
        <v>5.1459323846153853E-3</v>
      </c>
      <c r="N392">
        <f t="shared" si="53"/>
        <v>1.1003767923076923E-2</v>
      </c>
      <c r="O392">
        <f t="shared" si="54"/>
        <v>8.0748501538461543E-3</v>
      </c>
      <c r="P392">
        <f t="shared" si="50"/>
        <v>46.217892645657713</v>
      </c>
      <c r="R392">
        <f t="shared" si="55"/>
        <v>-1.0007189236175291E-3</v>
      </c>
    </row>
    <row r="393" spans="1:18" x14ac:dyDescent="0.2">
      <c r="A393" t="s">
        <v>404</v>
      </c>
      <c r="B393">
        <v>5.8658635400000003</v>
      </c>
      <c r="C393">
        <v>0.70596440999999999</v>
      </c>
      <c r="D393">
        <v>6.0367989499999997</v>
      </c>
      <c r="E393">
        <v>0.53337177000000002</v>
      </c>
      <c r="F393">
        <v>3.31679061</v>
      </c>
      <c r="G393">
        <v>1.3379424200000001</v>
      </c>
      <c r="H393">
        <v>2.8489014400000001</v>
      </c>
      <c r="I393">
        <v>9.8609400000000003E-3</v>
      </c>
      <c r="J393">
        <v>1</v>
      </c>
      <c r="K393">
        <v>950016</v>
      </c>
      <c r="L393">
        <f t="shared" si="51"/>
        <v>1.2756886961538462E-2</v>
      </c>
      <c r="M393">
        <f t="shared" si="52"/>
        <v>5.1459323846153853E-3</v>
      </c>
      <c r="N393">
        <f t="shared" si="53"/>
        <v>1.0957313230769232E-2</v>
      </c>
      <c r="O393">
        <f t="shared" si="54"/>
        <v>8.0516228076923067E-3</v>
      </c>
      <c r="P393">
        <f t="shared" si="50"/>
        <v>39.949413510561229</v>
      </c>
      <c r="R393">
        <f t="shared" si="55"/>
        <v>-9.6434188199764036E-4</v>
      </c>
    </row>
    <row r="394" spans="1:18" x14ac:dyDescent="0.2">
      <c r="A394" t="s">
        <v>405</v>
      </c>
      <c r="B394">
        <v>5.84847436</v>
      </c>
      <c r="C394">
        <v>0.61525980000000002</v>
      </c>
      <c r="D394">
        <v>6.0193974099999998</v>
      </c>
      <c r="E394">
        <v>0.47410824000000001</v>
      </c>
      <c r="F394">
        <v>3.3282859199999999</v>
      </c>
      <c r="G394">
        <v>1.3379424200000001</v>
      </c>
      <c r="H394">
        <v>2.83548738</v>
      </c>
      <c r="I394">
        <v>1.004355E-2</v>
      </c>
      <c r="J394">
        <v>1</v>
      </c>
      <c r="K394">
        <v>950016</v>
      </c>
      <c r="L394">
        <f t="shared" si="51"/>
        <v>1.2801099692307692E-2</v>
      </c>
      <c r="M394">
        <f t="shared" si="52"/>
        <v>5.1459323846153853E-3</v>
      </c>
      <c r="N394">
        <f t="shared" si="53"/>
        <v>1.0905720692307693E-2</v>
      </c>
      <c r="O394">
        <f t="shared" si="54"/>
        <v>8.025826538461539E-3</v>
      </c>
      <c r="P394">
        <f t="shared" si="50"/>
        <v>34.816582562037659</v>
      </c>
      <c r="R394">
        <f t="shared" si="55"/>
        <v>-1.3950988432667847E-3</v>
      </c>
    </row>
    <row r="395" spans="1:18" x14ac:dyDescent="0.2">
      <c r="A395" t="s">
        <v>406</v>
      </c>
      <c r="B395">
        <v>5.8256348400000002</v>
      </c>
      <c r="C395">
        <v>0.52217864999999997</v>
      </c>
      <c r="D395">
        <v>5.9963659600000003</v>
      </c>
      <c r="E395">
        <v>0.47410824000000001</v>
      </c>
      <c r="F395">
        <v>3.33552954</v>
      </c>
      <c r="G395">
        <v>1.3373309600000001</v>
      </c>
      <c r="H395">
        <v>2.81355734</v>
      </c>
      <c r="I395">
        <v>9.8609400000000003E-3</v>
      </c>
      <c r="J395">
        <v>1</v>
      </c>
      <c r="K395">
        <v>950016</v>
      </c>
      <c r="L395">
        <f t="shared" si="51"/>
        <v>1.2828959769230769E-2</v>
      </c>
      <c r="M395">
        <f t="shared" si="52"/>
        <v>5.1435806153846157E-3</v>
      </c>
      <c r="N395">
        <f t="shared" si="53"/>
        <v>1.0821374384615385E-2</v>
      </c>
      <c r="O395">
        <f t="shared" si="54"/>
        <v>7.9824774999999997E-3</v>
      </c>
      <c r="P395">
        <f t="shared" si="50"/>
        <v>29.549266959840971</v>
      </c>
      <c r="R395">
        <f t="shared" si="55"/>
        <v>-2.047186332116614E-3</v>
      </c>
    </row>
    <row r="396" spans="1:18" x14ac:dyDescent="0.2">
      <c r="A396" t="s">
        <v>407</v>
      </c>
      <c r="B396">
        <v>5.7931923400000001</v>
      </c>
      <c r="C396">
        <v>0.41866713</v>
      </c>
      <c r="D396">
        <v>5.9523503</v>
      </c>
      <c r="E396">
        <v>0.47410824000000001</v>
      </c>
      <c r="F396">
        <v>3.33647436</v>
      </c>
      <c r="G396">
        <v>1.33318662</v>
      </c>
      <c r="H396">
        <v>2.7777123000000001</v>
      </c>
      <c r="I396">
        <v>9.8609400000000003E-3</v>
      </c>
      <c r="J396">
        <v>1</v>
      </c>
      <c r="K396">
        <v>950016</v>
      </c>
      <c r="L396">
        <f t="shared" si="51"/>
        <v>1.2832593692307692E-2</v>
      </c>
      <c r="M396">
        <f t="shared" si="52"/>
        <v>5.1276408461538459E-3</v>
      </c>
      <c r="N396">
        <f t="shared" si="53"/>
        <v>1.0683508846153846E-2</v>
      </c>
      <c r="O396">
        <f t="shared" si="54"/>
        <v>7.9055748461538469E-3</v>
      </c>
      <c r="P396">
        <f t="shared" si="50"/>
        <v>23.691713155412319</v>
      </c>
      <c r="R396">
        <f t="shared" si="55"/>
        <v>-2.2371053476745013E-3</v>
      </c>
    </row>
    <row r="397" spans="1:18" x14ac:dyDescent="0.2">
      <c r="A397" t="s">
        <v>408</v>
      </c>
      <c r="B397">
        <v>5.7480323799999997</v>
      </c>
      <c r="C397">
        <v>0.32228522999999998</v>
      </c>
      <c r="D397">
        <v>5.8975866300000002</v>
      </c>
      <c r="E397">
        <v>0.47410824000000001</v>
      </c>
      <c r="F397">
        <v>3.3374191799999999</v>
      </c>
      <c r="G397">
        <v>1.3248979400000001</v>
      </c>
      <c r="H397">
        <v>2.7305126199999998</v>
      </c>
      <c r="I397">
        <v>9.6783300000000006E-3</v>
      </c>
      <c r="J397">
        <v>1</v>
      </c>
      <c r="K397">
        <v>950016</v>
      </c>
      <c r="L397">
        <f t="shared" si="51"/>
        <v>1.2836227615384615E-2</v>
      </c>
      <c r="M397">
        <f t="shared" si="52"/>
        <v>5.0957613076923081E-3</v>
      </c>
      <c r="N397">
        <f t="shared" si="53"/>
        <v>1.0501971615384615E-2</v>
      </c>
      <c r="O397">
        <f t="shared" si="54"/>
        <v>7.7988664615384617E-3</v>
      </c>
      <c r="P397">
        <f t="shared" si="50"/>
        <v>18.237613312002985</v>
      </c>
      <c r="R397">
        <f t="shared" si="55"/>
        <v>-1.9491438468430785E-3</v>
      </c>
    </row>
    <row r="398" spans="1:18" x14ac:dyDescent="0.2">
      <c r="A398" t="s">
        <v>409</v>
      </c>
      <c r="B398">
        <v>5.7005365599999998</v>
      </c>
      <c r="C398">
        <v>0.23976648</v>
      </c>
      <c r="D398">
        <v>5.8417993399999997</v>
      </c>
      <c r="E398">
        <v>0.47410824000000001</v>
      </c>
      <c r="F398">
        <v>3.3322226700000002</v>
      </c>
      <c r="G398">
        <v>1.31348402</v>
      </c>
      <c r="H398">
        <v>2.6781922200000001</v>
      </c>
      <c r="I398">
        <v>9.6783300000000006E-3</v>
      </c>
      <c r="J398">
        <v>1</v>
      </c>
      <c r="K398">
        <v>950016</v>
      </c>
      <c r="L398">
        <f t="shared" si="51"/>
        <v>1.2816241038461539E-2</v>
      </c>
      <c r="M398">
        <f t="shared" si="52"/>
        <v>5.0518616153846152E-3</v>
      </c>
      <c r="N398">
        <f t="shared" si="53"/>
        <v>1.0300739307692309E-2</v>
      </c>
      <c r="O398">
        <f t="shared" si="54"/>
        <v>7.6763004615384624E-3</v>
      </c>
      <c r="P398">
        <f t="shared" si="50"/>
        <v>13.568007281686777</v>
      </c>
      <c r="R398">
        <f t="shared" si="55"/>
        <v>-1.5212470166813582E-3</v>
      </c>
    </row>
    <row r="399" spans="1:18" x14ac:dyDescent="0.2">
      <c r="A399" t="s">
        <v>410</v>
      </c>
      <c r="B399">
        <v>5.6465522400000001</v>
      </c>
      <c r="C399">
        <v>0.16556562</v>
      </c>
      <c r="D399">
        <v>5.7870356699999999</v>
      </c>
      <c r="E399">
        <v>0.47410824000000001</v>
      </c>
      <c r="F399">
        <v>3.3191526599999999</v>
      </c>
      <c r="G399">
        <v>1.29955632</v>
      </c>
      <c r="H399">
        <v>2.6231444800000001</v>
      </c>
      <c r="I399">
        <v>9.6783300000000006E-3</v>
      </c>
      <c r="J399">
        <v>1</v>
      </c>
      <c r="K399">
        <v>950016</v>
      </c>
      <c r="L399">
        <f t="shared" si="51"/>
        <v>1.2765971769230769E-2</v>
      </c>
      <c r="M399">
        <f t="shared" si="52"/>
        <v>4.9982935384615384E-3</v>
      </c>
      <c r="N399">
        <f t="shared" si="53"/>
        <v>1.0089017230769231E-2</v>
      </c>
      <c r="O399">
        <f t="shared" si="54"/>
        <v>7.5436553846153854E-3</v>
      </c>
      <c r="P399">
        <f t="shared" si="50"/>
        <v>9.3690975392264413</v>
      </c>
      <c r="R399">
        <f t="shared" si="55"/>
        <v>-1.0004535504814856E-3</v>
      </c>
    </row>
    <row r="400" spans="1:18" x14ac:dyDescent="0.2">
      <c r="A400" t="s">
        <v>411</v>
      </c>
      <c r="B400">
        <v>5.5959419400000003</v>
      </c>
      <c r="C400">
        <v>0.1003428</v>
      </c>
      <c r="D400">
        <v>5.7338074299999997</v>
      </c>
      <c r="E400">
        <v>0.67165333999999999</v>
      </c>
      <c r="F400">
        <v>3.3034056600000001</v>
      </c>
      <c r="G400">
        <v>1.2840659999999999</v>
      </c>
      <c r="H400">
        <v>2.5694882400000001</v>
      </c>
      <c r="I400">
        <v>9.8609400000000003E-3</v>
      </c>
      <c r="J400">
        <v>1</v>
      </c>
      <c r="K400">
        <v>950016</v>
      </c>
      <c r="L400">
        <f t="shared" si="51"/>
        <v>1.2705406384615385E-2</v>
      </c>
      <c r="M400">
        <f t="shared" si="52"/>
        <v>4.9387153846153845E-3</v>
      </c>
      <c r="N400">
        <f t="shared" si="53"/>
        <v>9.8826470769230769E-3</v>
      </c>
      <c r="O400">
        <f t="shared" si="54"/>
        <v>7.4106812307692315E-3</v>
      </c>
      <c r="P400">
        <f t="shared" si="50"/>
        <v>5.6782409328645098</v>
      </c>
      <c r="R400">
        <f t="shared" si="55"/>
        <v>-4.0084495299085466E-4</v>
      </c>
    </row>
    <row r="401" spans="1:19" x14ac:dyDescent="0.2">
      <c r="A401" t="s">
        <v>412</v>
      </c>
      <c r="B401">
        <v>5.5538964599999998</v>
      </c>
      <c r="C401">
        <v>5.3604180000000001E-2</v>
      </c>
      <c r="D401">
        <v>5.6903035800000001</v>
      </c>
      <c r="E401">
        <v>1.1457615800000001</v>
      </c>
      <c r="F401">
        <v>3.28608396</v>
      </c>
      <c r="G401">
        <v>1.27305972</v>
      </c>
      <c r="H401">
        <v>2.5326413200000002</v>
      </c>
      <c r="I401">
        <v>1.004355E-2</v>
      </c>
      <c r="J401">
        <v>1</v>
      </c>
      <c r="K401">
        <v>950016</v>
      </c>
      <c r="L401">
        <f t="shared" si="51"/>
        <v>1.2638784461538462E-2</v>
      </c>
      <c r="M401">
        <f t="shared" si="52"/>
        <v>4.8963835384615382E-3</v>
      </c>
      <c r="N401">
        <f t="shared" si="53"/>
        <v>9.740928153846154E-3</v>
      </c>
      <c r="O401">
        <f t="shared" si="54"/>
        <v>7.3186558461538469E-3</v>
      </c>
      <c r="P401">
        <f t="shared" si="50"/>
        <v>3.0333760772934095</v>
      </c>
      <c r="R401">
        <f t="shared" si="55"/>
        <v>-7.5110372477010489E-5</v>
      </c>
      <c r="S401">
        <f>ABS(SUMIFS($R:$R,$K:$K,K401))</f>
        <v>5.2601004067039867E-3</v>
      </c>
    </row>
    <row r="402" spans="1:19" x14ac:dyDescent="0.2">
      <c r="A402" t="s">
        <v>413</v>
      </c>
      <c r="B402">
        <v>5.5435148600000002</v>
      </c>
      <c r="C402">
        <v>5.0831550000000003E-2</v>
      </c>
      <c r="D402">
        <v>5.6775083300000002</v>
      </c>
      <c r="E402">
        <v>1.20502511</v>
      </c>
      <c r="F402">
        <v>3.26640021</v>
      </c>
      <c r="G402">
        <v>1.2695268399999999</v>
      </c>
      <c r="H402">
        <v>2.5229564799999999</v>
      </c>
      <c r="I402">
        <v>1.004355E-2</v>
      </c>
      <c r="J402">
        <v>1</v>
      </c>
      <c r="K402">
        <v>950016</v>
      </c>
      <c r="L402">
        <f t="shared" si="51"/>
        <v>1.256307773076923E-2</v>
      </c>
      <c r="M402">
        <f t="shared" si="52"/>
        <v>4.882795538461538E-3</v>
      </c>
      <c r="N402">
        <f t="shared" si="53"/>
        <v>9.7036787692307697E-3</v>
      </c>
      <c r="O402">
        <f t="shared" si="54"/>
        <v>7.293237153846153E-3</v>
      </c>
      <c r="P402">
        <f t="shared" si="50"/>
        <v>2.8764773146747848</v>
      </c>
      <c r="R402">
        <f t="shared" si="55"/>
        <v>1.7718313681221407E-4</v>
      </c>
    </row>
    <row r="403" spans="1:19" x14ac:dyDescent="0.2">
      <c r="A403" t="s">
        <v>414</v>
      </c>
      <c r="B403">
        <v>5.55856818</v>
      </c>
      <c r="C403">
        <v>0.10800054000000001</v>
      </c>
      <c r="D403">
        <v>5.6995161599999999</v>
      </c>
      <c r="E403">
        <v>1.1457615800000001</v>
      </c>
      <c r="F403">
        <v>3.24624405</v>
      </c>
      <c r="G403">
        <v>1.2693230200000001</v>
      </c>
      <c r="H403">
        <v>2.5436619999999999</v>
      </c>
      <c r="I403">
        <v>9.8609400000000003E-3</v>
      </c>
      <c r="J403">
        <v>1</v>
      </c>
      <c r="K403">
        <v>950016</v>
      </c>
      <c r="L403">
        <f t="shared" si="51"/>
        <v>1.2485554038461539E-2</v>
      </c>
      <c r="M403">
        <f t="shared" si="52"/>
        <v>4.882011615384616E-3</v>
      </c>
      <c r="N403">
        <f t="shared" si="53"/>
        <v>9.7833153846153837E-3</v>
      </c>
      <c r="O403">
        <f t="shared" si="54"/>
        <v>7.3326635000000003E-3</v>
      </c>
      <c r="P403">
        <f t="shared" si="50"/>
        <v>6.1115803724778548</v>
      </c>
      <c r="R403">
        <f t="shared" si="55"/>
        <v>7.8144653681996303E-4</v>
      </c>
    </row>
    <row r="404" spans="1:19" x14ac:dyDescent="0.2">
      <c r="A404" t="s">
        <v>415</v>
      </c>
      <c r="B404">
        <v>5.5974991799999998</v>
      </c>
      <c r="C404">
        <v>0.18735056999999999</v>
      </c>
      <c r="D404">
        <v>5.7430200100000004</v>
      </c>
      <c r="E404">
        <v>1.0272345199999999</v>
      </c>
      <c r="F404">
        <v>3.2331740400000002</v>
      </c>
      <c r="G404">
        <v>1.2759811400000001</v>
      </c>
      <c r="H404">
        <v>2.5856296400000001</v>
      </c>
      <c r="I404">
        <v>9.4957199999999992E-3</v>
      </c>
      <c r="J404">
        <v>1</v>
      </c>
      <c r="K404">
        <v>950017</v>
      </c>
      <c r="L404">
        <f t="shared" si="51"/>
        <v>1.2435284769230771E-2</v>
      </c>
      <c r="M404">
        <f t="shared" si="52"/>
        <v>4.9076197692307696E-3</v>
      </c>
      <c r="N404">
        <f t="shared" si="53"/>
        <v>9.9447293846153841E-3</v>
      </c>
      <c r="O404">
        <f t="shared" si="54"/>
        <v>7.4261745769230777E-3</v>
      </c>
      <c r="P404">
        <f t="shared" si="50"/>
        <v>10.601873531229922</v>
      </c>
      <c r="Q404">
        <f t="shared" ref="Q404" si="56">ABS(0.5*(SUMPRODUCT(O404:O422,P405:P423)+O423*P404-(SUMPRODUCT(O405:O423,P404:P422)+O404*P423)))</f>
        <v>5.1803419392761896E-3</v>
      </c>
      <c r="R404">
        <f t="shared" si="55"/>
        <v>1.8027723894635463E-3</v>
      </c>
    </row>
    <row r="405" spans="1:19" x14ac:dyDescent="0.2">
      <c r="A405" t="s">
        <v>416</v>
      </c>
      <c r="B405">
        <v>5.6496667199999999</v>
      </c>
      <c r="C405">
        <v>0.28320434999999999</v>
      </c>
      <c r="D405">
        <v>5.8039253999999998</v>
      </c>
      <c r="E405">
        <v>0.79018040000000001</v>
      </c>
      <c r="F405">
        <v>3.22797753</v>
      </c>
      <c r="G405">
        <v>1.2898409</v>
      </c>
      <c r="H405">
        <v>2.6421801999999999</v>
      </c>
      <c r="I405">
        <v>9.3131099999999994E-3</v>
      </c>
      <c r="J405">
        <v>1</v>
      </c>
      <c r="K405">
        <v>950017</v>
      </c>
      <c r="L405">
        <f t="shared" si="51"/>
        <v>1.2415298192307692E-2</v>
      </c>
      <c r="M405">
        <f t="shared" si="52"/>
        <v>4.9609265384615384E-3</v>
      </c>
      <c r="N405">
        <f t="shared" si="53"/>
        <v>1.0162231538461538E-2</v>
      </c>
      <c r="O405">
        <f t="shared" si="54"/>
        <v>7.5615790384615383E-3</v>
      </c>
      <c r="P405">
        <f t="shared" si="50"/>
        <v>16.02608789604523</v>
      </c>
      <c r="R405">
        <f t="shared" si="55"/>
        <v>2.8884467706953351E-3</v>
      </c>
    </row>
    <row r="406" spans="1:19" x14ac:dyDescent="0.2">
      <c r="A406" t="s">
        <v>417</v>
      </c>
      <c r="B406">
        <v>5.7106586200000002</v>
      </c>
      <c r="C406">
        <v>0.39278924999999998</v>
      </c>
      <c r="D406">
        <v>5.8679016500000003</v>
      </c>
      <c r="E406">
        <v>0.73091687000000005</v>
      </c>
      <c r="F406">
        <v>3.22750512</v>
      </c>
      <c r="G406">
        <v>1.30519534</v>
      </c>
      <c r="H406">
        <v>2.7053543000000002</v>
      </c>
      <c r="I406">
        <v>9.3131099999999994E-3</v>
      </c>
      <c r="J406">
        <v>1</v>
      </c>
      <c r="K406">
        <v>950017</v>
      </c>
      <c r="L406">
        <f t="shared" si="51"/>
        <v>1.2413481230769231E-2</v>
      </c>
      <c r="M406">
        <f t="shared" si="52"/>
        <v>5.0199820769230774E-3</v>
      </c>
      <c r="N406">
        <f t="shared" si="53"/>
        <v>1.0405208846153848E-2</v>
      </c>
      <c r="O406">
        <f t="shared" si="54"/>
        <v>7.7125954615384629E-3</v>
      </c>
      <c r="P406">
        <f t="shared" si="50"/>
        <v>22.227324704305154</v>
      </c>
      <c r="R406">
        <f t="shared" si="55"/>
        <v>3.8559852690015378E-3</v>
      </c>
    </row>
    <row r="407" spans="1:19" x14ac:dyDescent="0.2">
      <c r="A407" t="s">
        <v>418</v>
      </c>
      <c r="B407">
        <v>5.7708719000000004</v>
      </c>
      <c r="C407">
        <v>0.52627157999999996</v>
      </c>
      <c r="D407">
        <v>5.9369959999999997</v>
      </c>
      <c r="E407">
        <v>0.67165333999999999</v>
      </c>
      <c r="F407">
        <v>3.2331740400000002</v>
      </c>
      <c r="G407">
        <v>1.3194627400000001</v>
      </c>
      <c r="H407">
        <v>2.7681944399999998</v>
      </c>
      <c r="I407">
        <v>9.6783300000000006E-3</v>
      </c>
      <c r="J407">
        <v>1</v>
      </c>
      <c r="K407">
        <v>950017</v>
      </c>
      <c r="L407">
        <f t="shared" si="51"/>
        <v>1.2435284769230771E-2</v>
      </c>
      <c r="M407">
        <f t="shared" si="52"/>
        <v>5.0748566923076929E-3</v>
      </c>
      <c r="N407">
        <f t="shared" si="53"/>
        <v>1.0646901692307692E-2</v>
      </c>
      <c r="O407">
        <f t="shared" si="54"/>
        <v>7.8608791923076918E-3</v>
      </c>
      <c r="P407">
        <f t="shared" si="50"/>
        <v>29.780879418944654</v>
      </c>
      <c r="R407">
        <f t="shared" si="55"/>
        <v>4.4179862332503024E-3</v>
      </c>
    </row>
    <row r="408" spans="1:19" x14ac:dyDescent="0.2">
      <c r="A408" t="s">
        <v>419</v>
      </c>
      <c r="B408">
        <v>5.8310851799999996</v>
      </c>
      <c r="C408">
        <v>0.70675659000000002</v>
      </c>
      <c r="D408">
        <v>6.0040431099999996</v>
      </c>
      <c r="E408">
        <v>0.61238981000000003</v>
      </c>
      <c r="F408">
        <v>3.24766128</v>
      </c>
      <c r="G408">
        <v>1.3302651999999999</v>
      </c>
      <c r="H408">
        <v>2.8232421799999998</v>
      </c>
      <c r="I408">
        <v>9.8609400000000003E-3</v>
      </c>
      <c r="J408">
        <v>1</v>
      </c>
      <c r="K408">
        <v>950017</v>
      </c>
      <c r="L408">
        <f t="shared" si="51"/>
        <v>1.2491004923076922E-2</v>
      </c>
      <c r="M408">
        <f t="shared" si="52"/>
        <v>5.1164046153846154E-3</v>
      </c>
      <c r="N408">
        <f t="shared" si="53"/>
        <v>1.0858623769230769E-2</v>
      </c>
      <c r="O408">
        <f t="shared" si="54"/>
        <v>7.9875141923076917E-3</v>
      </c>
      <c r="P408">
        <f t="shared" si="50"/>
        <v>39.994241728452266</v>
      </c>
      <c r="R408">
        <f t="shared" si="55"/>
        <v>2.7548427508394487E-3</v>
      </c>
    </row>
    <row r="409" spans="1:19" x14ac:dyDescent="0.2">
      <c r="A409" t="s">
        <v>420</v>
      </c>
      <c r="B409">
        <v>5.8681994</v>
      </c>
      <c r="C409">
        <v>0.82518749999999996</v>
      </c>
      <c r="D409">
        <v>6.0429406700000001</v>
      </c>
      <c r="E409">
        <v>0.61238981000000003</v>
      </c>
      <c r="F409">
        <v>3.2624634600000002</v>
      </c>
      <c r="G409">
        <v>1.3354286399999999</v>
      </c>
      <c r="H409">
        <v>2.8511278400000002</v>
      </c>
      <c r="I409">
        <v>9.8609400000000003E-3</v>
      </c>
      <c r="J409">
        <v>1</v>
      </c>
      <c r="K409">
        <v>950017</v>
      </c>
      <c r="L409">
        <f t="shared" si="51"/>
        <v>1.2547936384615386E-2</v>
      </c>
      <c r="M409">
        <f t="shared" si="52"/>
        <v>5.1362639999999998E-3</v>
      </c>
      <c r="N409">
        <f t="shared" si="53"/>
        <v>1.0965876307692309E-2</v>
      </c>
      <c r="O409">
        <f t="shared" si="54"/>
        <v>8.0510701538461533E-3</v>
      </c>
      <c r="P409">
        <f t="shared" si="50"/>
        <v>46.696060303162092</v>
      </c>
      <c r="R409">
        <f t="shared" si="55"/>
        <v>8.7072875813357087E-4</v>
      </c>
    </row>
    <row r="410" spans="1:19" x14ac:dyDescent="0.2">
      <c r="A410" t="s">
        <v>421</v>
      </c>
      <c r="B410">
        <v>5.8793596199999998</v>
      </c>
      <c r="C410">
        <v>0.85093335000000003</v>
      </c>
      <c r="D410">
        <v>6.0511296300000001</v>
      </c>
      <c r="E410">
        <v>0.53337177000000002</v>
      </c>
      <c r="F410">
        <v>3.27742311</v>
      </c>
      <c r="G410">
        <v>1.33651568</v>
      </c>
      <c r="H410">
        <v>2.8595881599999999</v>
      </c>
      <c r="I410">
        <v>9.8609400000000003E-3</v>
      </c>
      <c r="J410">
        <v>1</v>
      </c>
      <c r="K410">
        <v>950017</v>
      </c>
      <c r="L410">
        <f t="shared" si="51"/>
        <v>1.26054735E-2</v>
      </c>
      <c r="M410">
        <f t="shared" si="52"/>
        <v>5.1404449230769231E-3</v>
      </c>
      <c r="N410">
        <f t="shared" si="53"/>
        <v>1.0998416E-2</v>
      </c>
      <c r="O410">
        <f t="shared" si="54"/>
        <v>8.0694304615384627E-3</v>
      </c>
      <c r="P410">
        <f t="shared" si="50"/>
        <v>48.152977384620748</v>
      </c>
      <c r="R410">
        <f t="shared" si="55"/>
        <v>2.7853446023424447E-4</v>
      </c>
    </row>
    <row r="411" spans="1:19" x14ac:dyDescent="0.2">
      <c r="A411" t="s">
        <v>422</v>
      </c>
      <c r="B411">
        <v>5.8824740999999996</v>
      </c>
      <c r="C411">
        <v>0.85264974000000004</v>
      </c>
      <c r="D411">
        <v>6.0511296300000001</v>
      </c>
      <c r="E411">
        <v>0.53337177000000002</v>
      </c>
      <c r="F411">
        <v>3.2947448100000001</v>
      </c>
      <c r="G411">
        <v>1.33712714</v>
      </c>
      <c r="H411">
        <v>2.8619815399999999</v>
      </c>
      <c r="I411">
        <v>9.8609400000000003E-3</v>
      </c>
      <c r="J411">
        <v>1</v>
      </c>
      <c r="K411">
        <v>950017</v>
      </c>
      <c r="L411">
        <f t="shared" si="51"/>
        <v>1.2672095423076924E-2</v>
      </c>
      <c r="M411">
        <f t="shared" si="52"/>
        <v>5.1427966923076919E-3</v>
      </c>
      <c r="N411">
        <f t="shared" si="53"/>
        <v>1.1007621307692308E-2</v>
      </c>
      <c r="O411">
        <f t="shared" si="54"/>
        <v>8.0752089999999999E-3</v>
      </c>
      <c r="P411">
        <f t="shared" si="50"/>
        <v>48.250105190051329</v>
      </c>
      <c r="R411">
        <f t="shared" si="55"/>
        <v>-4.2226360107019689E-5</v>
      </c>
    </row>
    <row r="412" spans="1:19" x14ac:dyDescent="0.2">
      <c r="A412" t="s">
        <v>423</v>
      </c>
      <c r="B412">
        <v>5.8785809999999996</v>
      </c>
      <c r="C412">
        <v>0.81951021000000002</v>
      </c>
      <c r="D412">
        <v>6.0460115300000004</v>
      </c>
      <c r="E412">
        <v>0.47410824000000001</v>
      </c>
      <c r="F412">
        <v>3.3076573499999999</v>
      </c>
      <c r="G412">
        <v>1.3373309600000001</v>
      </c>
      <c r="H412">
        <v>2.8613136199999998</v>
      </c>
      <c r="I412">
        <v>9.6783300000000006E-3</v>
      </c>
      <c r="J412">
        <v>1</v>
      </c>
      <c r="K412">
        <v>950017</v>
      </c>
      <c r="L412">
        <f t="shared" si="51"/>
        <v>1.2721759038461539E-2</v>
      </c>
      <c r="M412">
        <f t="shared" si="52"/>
        <v>5.1435806153846157E-3</v>
      </c>
      <c r="N412">
        <f t="shared" si="53"/>
        <v>1.1005052384615384E-2</v>
      </c>
      <c r="O412">
        <f t="shared" si="54"/>
        <v>8.0743164999999995E-3</v>
      </c>
      <c r="P412">
        <f t="shared" si="50"/>
        <v>46.374791408276337</v>
      </c>
      <c r="R412">
        <f t="shared" si="55"/>
        <v>-1.0307961401144347E-3</v>
      </c>
    </row>
    <row r="413" spans="1:19" x14ac:dyDescent="0.2">
      <c r="A413" t="s">
        <v>424</v>
      </c>
      <c r="B413">
        <v>5.8643063</v>
      </c>
      <c r="C413">
        <v>0.70675659000000002</v>
      </c>
      <c r="D413">
        <v>6.0306572300000001</v>
      </c>
      <c r="E413">
        <v>0.47410824000000001</v>
      </c>
      <c r="F413">
        <v>3.31679061</v>
      </c>
      <c r="G413">
        <v>1.3373309600000001</v>
      </c>
      <c r="H413">
        <v>2.8489014400000001</v>
      </c>
      <c r="I413">
        <v>9.6783300000000006E-3</v>
      </c>
      <c r="J413">
        <v>1</v>
      </c>
      <c r="K413">
        <v>950017</v>
      </c>
      <c r="L413">
        <f t="shared" si="51"/>
        <v>1.2756886961538462E-2</v>
      </c>
      <c r="M413">
        <f t="shared" si="52"/>
        <v>5.1435806153846157E-3</v>
      </c>
      <c r="N413">
        <f t="shared" si="53"/>
        <v>1.0957313230769232E-2</v>
      </c>
      <c r="O413">
        <f t="shared" si="54"/>
        <v>8.0504469230769232E-3</v>
      </c>
      <c r="P413">
        <f t="shared" si="50"/>
        <v>39.994241728452266</v>
      </c>
      <c r="R413">
        <f t="shared" si="55"/>
        <v>-1.0348139530521473E-3</v>
      </c>
    </row>
    <row r="414" spans="1:19" x14ac:dyDescent="0.2">
      <c r="A414" t="s">
        <v>425</v>
      </c>
      <c r="B414">
        <v>5.8469171199999996</v>
      </c>
      <c r="C414">
        <v>0.61248716999999997</v>
      </c>
      <c r="D414">
        <v>6.0163265499999996</v>
      </c>
      <c r="E414">
        <v>0.47410824000000001</v>
      </c>
      <c r="F414">
        <v>3.32686869</v>
      </c>
      <c r="G414">
        <v>1.3373309600000001</v>
      </c>
      <c r="H414">
        <v>2.8344855</v>
      </c>
      <c r="I414">
        <v>9.8609400000000003E-3</v>
      </c>
      <c r="J414">
        <v>1</v>
      </c>
      <c r="K414">
        <v>950017</v>
      </c>
      <c r="L414">
        <f t="shared" si="51"/>
        <v>1.2795648807692307E-2</v>
      </c>
      <c r="M414">
        <f t="shared" si="52"/>
        <v>5.1435806153846157E-3</v>
      </c>
      <c r="N414">
        <f t="shared" si="53"/>
        <v>1.0901867307692308E-2</v>
      </c>
      <c r="O414">
        <f t="shared" si="54"/>
        <v>8.0227239615384624E-3</v>
      </c>
      <c r="P414">
        <f t="shared" si="50"/>
        <v>34.659683799419028</v>
      </c>
      <c r="R414">
        <f t="shared" si="55"/>
        <v>-1.3593453588532211E-3</v>
      </c>
    </row>
    <row r="415" spans="1:19" x14ac:dyDescent="0.2">
      <c r="A415" t="s">
        <v>426</v>
      </c>
      <c r="B415">
        <v>5.8271920799999997</v>
      </c>
      <c r="C415">
        <v>0.52099037999999998</v>
      </c>
      <c r="D415">
        <v>5.98971243</v>
      </c>
      <c r="E415">
        <v>0.47410824000000001</v>
      </c>
      <c r="F415">
        <v>3.33647436</v>
      </c>
      <c r="G415">
        <v>1.3367195000000001</v>
      </c>
      <c r="H415">
        <v>2.8130563999999998</v>
      </c>
      <c r="I415">
        <v>9.8609400000000003E-3</v>
      </c>
      <c r="J415">
        <v>1</v>
      </c>
      <c r="K415">
        <v>950017</v>
      </c>
      <c r="L415">
        <f t="shared" si="51"/>
        <v>1.2832593692307692E-2</v>
      </c>
      <c r="M415">
        <f t="shared" si="52"/>
        <v>5.1412288461538461E-3</v>
      </c>
      <c r="N415">
        <f t="shared" si="53"/>
        <v>1.0819447692307691E-2</v>
      </c>
      <c r="O415">
        <f t="shared" si="54"/>
        <v>7.9803382692307696E-3</v>
      </c>
      <c r="P415">
        <f t="shared" si="50"/>
        <v>29.482024633004418</v>
      </c>
      <c r="R415">
        <f t="shared" si="55"/>
        <v>-1.9954213035464777E-3</v>
      </c>
    </row>
    <row r="416" spans="1:19" x14ac:dyDescent="0.2">
      <c r="A416" t="s">
        <v>427</v>
      </c>
      <c r="B416">
        <v>5.7931923400000001</v>
      </c>
      <c r="C416">
        <v>0.41827103999999998</v>
      </c>
      <c r="D416">
        <v>5.9431377200000002</v>
      </c>
      <c r="E416">
        <v>0.47410824000000001</v>
      </c>
      <c r="F416">
        <v>3.3389938799999999</v>
      </c>
      <c r="G416">
        <v>1.33318662</v>
      </c>
      <c r="H416">
        <v>2.7775453200000002</v>
      </c>
      <c r="I416">
        <v>9.8609400000000003E-3</v>
      </c>
      <c r="J416">
        <v>1</v>
      </c>
      <c r="K416">
        <v>950017</v>
      </c>
      <c r="L416">
        <f t="shared" si="51"/>
        <v>1.2842284153846154E-2</v>
      </c>
      <c r="M416">
        <f t="shared" si="52"/>
        <v>5.1276408461538459E-3</v>
      </c>
      <c r="N416">
        <f t="shared" si="53"/>
        <v>1.0682866615384616E-2</v>
      </c>
      <c r="O416">
        <f t="shared" si="54"/>
        <v>7.9052537307692308E-3</v>
      </c>
      <c r="P416">
        <f t="shared" si="50"/>
        <v>23.669299046466801</v>
      </c>
      <c r="R416">
        <f t="shared" si="55"/>
        <v>-2.2506872873364124E-3</v>
      </c>
    </row>
    <row r="417" spans="1:19" x14ac:dyDescent="0.2">
      <c r="A417" t="s">
        <v>428</v>
      </c>
      <c r="B417">
        <v>5.7488109999999999</v>
      </c>
      <c r="C417">
        <v>0.32320944000000001</v>
      </c>
      <c r="D417">
        <v>5.88990948</v>
      </c>
      <c r="E417">
        <v>0.41484471000000001</v>
      </c>
      <c r="F417">
        <v>3.33600195</v>
      </c>
      <c r="G417">
        <v>1.3251017599999999</v>
      </c>
      <c r="H417">
        <v>2.7298447000000001</v>
      </c>
      <c r="I417">
        <v>9.8609400000000003E-3</v>
      </c>
      <c r="J417">
        <v>1</v>
      </c>
      <c r="K417">
        <v>950017</v>
      </c>
      <c r="L417">
        <f t="shared" si="51"/>
        <v>1.283077673076923E-2</v>
      </c>
      <c r="M417">
        <f t="shared" si="52"/>
        <v>5.0965452307692302E-3</v>
      </c>
      <c r="N417">
        <f t="shared" si="53"/>
        <v>1.0499402692307694E-2</v>
      </c>
      <c r="O417">
        <f t="shared" si="54"/>
        <v>7.7979739615384614E-3</v>
      </c>
      <c r="P417">
        <f t="shared" si="50"/>
        <v>18.289912899542529</v>
      </c>
      <c r="R417">
        <f t="shared" si="55"/>
        <v>-1.9637074963154912E-3</v>
      </c>
    </row>
    <row r="418" spans="1:19" x14ac:dyDescent="0.2">
      <c r="A418" t="s">
        <v>429</v>
      </c>
      <c r="B418">
        <v>5.6994984000000004</v>
      </c>
      <c r="C418">
        <v>0.23976648</v>
      </c>
      <c r="D418">
        <v>5.8382166700000004</v>
      </c>
      <c r="E418">
        <v>0.41484471000000001</v>
      </c>
      <c r="F418">
        <v>3.3322226700000002</v>
      </c>
      <c r="G418">
        <v>1.31348402</v>
      </c>
      <c r="H418">
        <v>2.67735732</v>
      </c>
      <c r="I418">
        <v>9.8609400000000003E-3</v>
      </c>
      <c r="J418">
        <v>1</v>
      </c>
      <c r="K418">
        <v>950017</v>
      </c>
      <c r="L418">
        <f t="shared" si="51"/>
        <v>1.2816241038461539E-2</v>
      </c>
      <c r="M418">
        <f t="shared" si="52"/>
        <v>5.0518616153846152E-3</v>
      </c>
      <c r="N418">
        <f t="shared" si="53"/>
        <v>1.0297528153846155E-2</v>
      </c>
      <c r="O418">
        <f t="shared" si="54"/>
        <v>7.6746948846153854E-3</v>
      </c>
      <c r="P418">
        <f t="shared" si="50"/>
        <v>13.568007281686777</v>
      </c>
      <c r="R418">
        <f t="shared" si="55"/>
        <v>-1.5258747124946724E-3</v>
      </c>
    </row>
    <row r="419" spans="1:19" x14ac:dyDescent="0.2">
      <c r="A419" t="s">
        <v>430</v>
      </c>
      <c r="B419">
        <v>5.6426591400000001</v>
      </c>
      <c r="C419">
        <v>0.16516953000000001</v>
      </c>
      <c r="D419">
        <v>5.7839648099999996</v>
      </c>
      <c r="E419">
        <v>0.41484471000000001</v>
      </c>
      <c r="F419">
        <v>3.3211997700000002</v>
      </c>
      <c r="G419">
        <v>1.29894486</v>
      </c>
      <c r="H419">
        <v>2.6226435399999999</v>
      </c>
      <c r="I419">
        <v>9.6783300000000006E-3</v>
      </c>
      <c r="J419">
        <v>1</v>
      </c>
      <c r="K419">
        <v>950017</v>
      </c>
      <c r="L419">
        <f t="shared" si="51"/>
        <v>1.277384526923077E-2</v>
      </c>
      <c r="M419">
        <f t="shared" si="52"/>
        <v>4.9959417692307688E-3</v>
      </c>
      <c r="N419">
        <f t="shared" si="53"/>
        <v>1.0087090538461537E-2</v>
      </c>
      <c r="O419">
        <f t="shared" si="54"/>
        <v>7.5415161538461544E-3</v>
      </c>
      <c r="P419">
        <f t="shared" si="50"/>
        <v>9.3466834302809243</v>
      </c>
      <c r="R419">
        <f t="shared" si="55"/>
        <v>-9.8093001560101579E-4</v>
      </c>
    </row>
    <row r="420" spans="1:19" x14ac:dyDescent="0.2">
      <c r="A420" t="s">
        <v>431</v>
      </c>
      <c r="B420">
        <v>5.5917893000000003</v>
      </c>
      <c r="C420">
        <v>9.8758440000000003E-2</v>
      </c>
      <c r="D420">
        <v>5.7292011399999998</v>
      </c>
      <c r="E420">
        <v>0.67165333999999999</v>
      </c>
      <c r="F420">
        <v>3.3024608400000002</v>
      </c>
      <c r="G420">
        <v>1.28379424</v>
      </c>
      <c r="H420">
        <v>2.5694882400000001</v>
      </c>
      <c r="I420">
        <v>9.4957199999999992E-3</v>
      </c>
      <c r="J420">
        <v>1</v>
      </c>
      <c r="K420">
        <v>950017</v>
      </c>
      <c r="L420">
        <f t="shared" si="51"/>
        <v>1.2701772461538462E-2</v>
      </c>
      <c r="M420">
        <f t="shared" si="52"/>
        <v>4.9376701538461536E-3</v>
      </c>
      <c r="N420">
        <f t="shared" si="53"/>
        <v>9.8826470769230769E-3</v>
      </c>
      <c r="O420">
        <f t="shared" si="54"/>
        <v>7.4101586153846148E-3</v>
      </c>
      <c r="P420">
        <f t="shared" si="50"/>
        <v>5.5885844970824392</v>
      </c>
      <c r="R420">
        <f t="shared" si="55"/>
        <v>-3.934889774971255E-4</v>
      </c>
    </row>
    <row r="421" spans="1:19" x14ac:dyDescent="0.2">
      <c r="A421" t="s">
        <v>432</v>
      </c>
      <c r="B421">
        <v>5.5484461200000004</v>
      </c>
      <c r="C421">
        <v>5.2811999999999998E-2</v>
      </c>
      <c r="D421">
        <v>5.68672091</v>
      </c>
      <c r="E421">
        <v>0.96797098999999998</v>
      </c>
      <c r="F421">
        <v>3.2841943200000001</v>
      </c>
      <c r="G421">
        <v>1.2732635400000001</v>
      </c>
      <c r="H421">
        <v>2.5323073599999999</v>
      </c>
      <c r="I421">
        <v>9.6783300000000006E-3</v>
      </c>
      <c r="J421">
        <v>1</v>
      </c>
      <c r="K421">
        <v>950017</v>
      </c>
      <c r="L421">
        <f t="shared" si="51"/>
        <v>1.2631516615384615E-2</v>
      </c>
      <c r="M421">
        <f t="shared" si="52"/>
        <v>4.897167461538462E-3</v>
      </c>
      <c r="N421">
        <f t="shared" si="53"/>
        <v>9.7396436923076913E-3</v>
      </c>
      <c r="O421">
        <f t="shared" si="54"/>
        <v>7.3184055769230771E-3</v>
      </c>
      <c r="P421">
        <f t="shared" si="50"/>
        <v>2.9885478594023738</v>
      </c>
      <c r="R421">
        <f t="shared" si="55"/>
        <v>-7.8220608689077176E-5</v>
      </c>
    </row>
    <row r="422" spans="1:19" x14ac:dyDescent="0.2">
      <c r="A422" t="s">
        <v>433</v>
      </c>
      <c r="B422">
        <v>5.53884314</v>
      </c>
      <c r="C422">
        <v>5.0303430000000003E-2</v>
      </c>
      <c r="D422">
        <v>5.6759728999999997</v>
      </c>
      <c r="E422">
        <v>1.0864980500000001</v>
      </c>
      <c r="F422">
        <v>3.26640021</v>
      </c>
      <c r="G422">
        <v>1.26973066</v>
      </c>
      <c r="H422">
        <v>2.5218989399999998</v>
      </c>
      <c r="I422">
        <v>9.6783300000000006E-3</v>
      </c>
      <c r="J422">
        <v>1</v>
      </c>
      <c r="K422">
        <v>950017</v>
      </c>
      <c r="L422">
        <f t="shared" si="51"/>
        <v>1.256307773076923E-2</v>
      </c>
      <c r="M422">
        <f t="shared" si="52"/>
        <v>4.8835794615384618E-3</v>
      </c>
      <c r="N422">
        <f t="shared" si="53"/>
        <v>9.6996113076923077E-3</v>
      </c>
      <c r="O422">
        <f t="shared" si="54"/>
        <v>7.2915953846153844E-3</v>
      </c>
      <c r="P422">
        <f t="shared" si="50"/>
        <v>2.8465918360807612</v>
      </c>
      <c r="R422">
        <f t="shared" si="55"/>
        <v>1.7387731407971773E-4</v>
      </c>
      <c r="S422">
        <f>ABS(SUMIFS($R:$R,$K:$K,K422))</f>
        <v>5.1716072516817561E-3</v>
      </c>
    </row>
    <row r="423" spans="1:19" x14ac:dyDescent="0.2">
      <c r="A423" t="s">
        <v>434</v>
      </c>
      <c r="B423">
        <v>5.55856818</v>
      </c>
      <c r="C423">
        <v>0.10641618</v>
      </c>
      <c r="D423">
        <v>5.6964452999999997</v>
      </c>
      <c r="E423">
        <v>1.0864980500000001</v>
      </c>
      <c r="F423">
        <v>3.24624405</v>
      </c>
      <c r="G423">
        <v>1.2695268399999999</v>
      </c>
      <c r="H423">
        <v>2.5424931399999999</v>
      </c>
      <c r="I423">
        <v>9.6783300000000006E-3</v>
      </c>
      <c r="J423">
        <v>1</v>
      </c>
      <c r="K423">
        <v>950017</v>
      </c>
      <c r="L423">
        <f t="shared" si="51"/>
        <v>1.2485554038461539E-2</v>
      </c>
      <c r="M423">
        <f t="shared" si="52"/>
        <v>4.882795538461538E-3</v>
      </c>
      <c r="N423">
        <f t="shared" si="53"/>
        <v>9.7788197692307687E-3</v>
      </c>
      <c r="O423">
        <f t="shared" si="54"/>
        <v>7.3308076538461534E-3</v>
      </c>
      <c r="P423">
        <f t="shared" si="50"/>
        <v>6.0219239366957833</v>
      </c>
      <c r="R423">
        <f t="shared" si="55"/>
        <v>7.8394551959114797E-4</v>
      </c>
    </row>
    <row r="424" spans="1:19" x14ac:dyDescent="0.2">
      <c r="A424" t="s">
        <v>435</v>
      </c>
      <c r="B424">
        <v>5.5982778</v>
      </c>
      <c r="C424">
        <v>0.18893493</v>
      </c>
      <c r="D424">
        <v>5.7414845799999998</v>
      </c>
      <c r="E424">
        <v>1.0864980500000001</v>
      </c>
      <c r="F424">
        <v>3.2327016300000002</v>
      </c>
      <c r="G424">
        <v>1.27550556</v>
      </c>
      <c r="H424">
        <v>2.5852956800000002</v>
      </c>
      <c r="I424">
        <v>9.8609400000000003E-3</v>
      </c>
      <c r="J424">
        <v>1</v>
      </c>
      <c r="K424">
        <v>950018</v>
      </c>
      <c r="L424">
        <f t="shared" si="51"/>
        <v>1.2433467807692309E-2</v>
      </c>
      <c r="M424">
        <f t="shared" si="52"/>
        <v>4.9057906153846158E-3</v>
      </c>
      <c r="N424">
        <f t="shared" si="53"/>
        <v>9.9434449230769231E-3</v>
      </c>
      <c r="O424">
        <f t="shared" si="54"/>
        <v>7.4246177692307699E-3</v>
      </c>
      <c r="P424">
        <f t="shared" si="50"/>
        <v>10.691529967011993</v>
      </c>
      <c r="Q424">
        <f t="shared" ref="Q424" si="57">ABS(0.5*(SUMPRODUCT(O424:O442,P425:P443)+O443*P424-(SUMPRODUCT(O425:O443,P424:P442)+O424*P443)))</f>
        <v>5.198134861264192E-3</v>
      </c>
      <c r="R424">
        <f t="shared" si="55"/>
        <v>1.8042121218200915E-3</v>
      </c>
    </row>
    <row r="425" spans="1:19" x14ac:dyDescent="0.2">
      <c r="A425" t="s">
        <v>436</v>
      </c>
      <c r="B425">
        <v>5.6465522400000001</v>
      </c>
      <c r="C425">
        <v>0.28241217000000002</v>
      </c>
      <c r="D425">
        <v>5.8039253999999998</v>
      </c>
      <c r="E425">
        <v>0.96797098999999998</v>
      </c>
      <c r="F425">
        <v>3.22844994</v>
      </c>
      <c r="G425">
        <v>1.2896370800000001</v>
      </c>
      <c r="H425">
        <v>2.6415122800000002</v>
      </c>
      <c r="I425">
        <v>9.8609400000000003E-3</v>
      </c>
      <c r="J425">
        <v>1</v>
      </c>
      <c r="K425">
        <v>950018</v>
      </c>
      <c r="L425">
        <f t="shared" si="51"/>
        <v>1.2417115153846154E-2</v>
      </c>
      <c r="M425">
        <f t="shared" si="52"/>
        <v>4.9601426153846155E-3</v>
      </c>
      <c r="N425">
        <f t="shared" si="53"/>
        <v>1.0159662615384616E-2</v>
      </c>
      <c r="O425">
        <f t="shared" si="54"/>
        <v>7.5599026153846151E-3</v>
      </c>
      <c r="P425">
        <f t="shared" si="50"/>
        <v>15.981259678154196</v>
      </c>
      <c r="R425">
        <f t="shared" si="55"/>
        <v>2.8881295244146009E-3</v>
      </c>
    </row>
    <row r="426" spans="1:19" x14ac:dyDescent="0.2">
      <c r="A426" t="s">
        <v>437</v>
      </c>
      <c r="B426">
        <v>5.7075441400000004</v>
      </c>
      <c r="C426">
        <v>0.39001661999999998</v>
      </c>
      <c r="D426">
        <v>5.8699488899999999</v>
      </c>
      <c r="E426">
        <v>0.73091687000000005</v>
      </c>
      <c r="F426">
        <v>3.2298671699999999</v>
      </c>
      <c r="G426">
        <v>1.3053991599999999</v>
      </c>
      <c r="H426">
        <v>2.7046863800000001</v>
      </c>
      <c r="I426">
        <v>9.6783300000000006E-3</v>
      </c>
      <c r="J426">
        <v>1</v>
      </c>
      <c r="K426">
        <v>950018</v>
      </c>
      <c r="L426">
        <f t="shared" si="51"/>
        <v>1.2422566038461537E-2</v>
      </c>
      <c r="M426">
        <f t="shared" si="52"/>
        <v>5.0207659999999994E-3</v>
      </c>
      <c r="N426">
        <f t="shared" si="53"/>
        <v>1.0402639923076924E-2</v>
      </c>
      <c r="O426">
        <f t="shared" si="54"/>
        <v>7.7117029615384625E-3</v>
      </c>
      <c r="P426">
        <f t="shared" si="50"/>
        <v>22.07042594168653</v>
      </c>
      <c r="R426">
        <f t="shared" si="55"/>
        <v>3.8170450781891698E-3</v>
      </c>
    </row>
    <row r="427" spans="1:19" x14ac:dyDescent="0.2">
      <c r="A427" t="s">
        <v>438</v>
      </c>
      <c r="B427">
        <v>5.7724291399999998</v>
      </c>
      <c r="C427">
        <v>0.52415909999999999</v>
      </c>
      <c r="D427">
        <v>5.9385314300000003</v>
      </c>
      <c r="E427">
        <v>0.61238981000000003</v>
      </c>
      <c r="F427">
        <v>3.2327016300000002</v>
      </c>
      <c r="G427">
        <v>1.3194627400000001</v>
      </c>
      <c r="H427">
        <v>2.7673595400000002</v>
      </c>
      <c r="I427">
        <v>9.8609400000000003E-3</v>
      </c>
      <c r="J427">
        <v>1</v>
      </c>
      <c r="K427">
        <v>950018</v>
      </c>
      <c r="L427">
        <f t="shared" si="51"/>
        <v>1.2433467807692309E-2</v>
      </c>
      <c r="M427">
        <f t="shared" si="52"/>
        <v>5.0748566923076929E-3</v>
      </c>
      <c r="N427">
        <f t="shared" si="53"/>
        <v>1.0643690538461538E-2</v>
      </c>
      <c r="O427">
        <f t="shared" si="54"/>
        <v>7.8592736153846147E-3</v>
      </c>
      <c r="P427">
        <f t="shared" si="50"/>
        <v>29.661337504568561</v>
      </c>
      <c r="R427">
        <f t="shared" si="55"/>
        <v>4.3896919210433E-3</v>
      </c>
    </row>
    <row r="428" spans="1:19" x14ac:dyDescent="0.2">
      <c r="A428" t="s">
        <v>439</v>
      </c>
      <c r="B428">
        <v>5.8318637999999998</v>
      </c>
      <c r="C428">
        <v>0.70477614</v>
      </c>
      <c r="D428">
        <v>6.0055785400000001</v>
      </c>
      <c r="E428">
        <v>0.47410824000000001</v>
      </c>
      <c r="F428">
        <v>3.24671646</v>
      </c>
      <c r="G428">
        <v>1.3300613800000001</v>
      </c>
      <c r="H428">
        <v>2.8224072800000002</v>
      </c>
      <c r="I428">
        <v>9.8609400000000003E-3</v>
      </c>
      <c r="J428">
        <v>1</v>
      </c>
      <c r="K428">
        <v>950018</v>
      </c>
      <c r="L428">
        <f t="shared" si="51"/>
        <v>1.2487371000000001E-2</v>
      </c>
      <c r="M428">
        <f t="shared" si="52"/>
        <v>5.1156206923076925E-3</v>
      </c>
      <c r="N428">
        <f t="shared" si="53"/>
        <v>1.0855412615384617E-2</v>
      </c>
      <c r="O428">
        <f t="shared" si="54"/>
        <v>7.9855166538461541E-3</v>
      </c>
      <c r="P428">
        <f t="shared" si="50"/>
        <v>39.88217118372468</v>
      </c>
      <c r="R428">
        <f t="shared" si="55"/>
        <v>2.8260454364994517E-3</v>
      </c>
    </row>
    <row r="429" spans="1:19" x14ac:dyDescent="0.2">
      <c r="A429" t="s">
        <v>440</v>
      </c>
      <c r="B429">
        <v>5.8681994</v>
      </c>
      <c r="C429">
        <v>0.82637576999999995</v>
      </c>
      <c r="D429">
        <v>6.0383343800000002</v>
      </c>
      <c r="E429">
        <v>0.47410824000000001</v>
      </c>
      <c r="F429">
        <v>3.2634082800000002</v>
      </c>
      <c r="G429">
        <v>1.3354286399999999</v>
      </c>
      <c r="H429">
        <v>2.8509608599999998</v>
      </c>
      <c r="I429">
        <v>9.4957199999999992E-3</v>
      </c>
      <c r="J429">
        <v>1</v>
      </c>
      <c r="K429">
        <v>950018</v>
      </c>
      <c r="L429">
        <f t="shared" si="51"/>
        <v>1.2551570307692309E-2</v>
      </c>
      <c r="M429">
        <f t="shared" si="52"/>
        <v>5.1362639999999998E-3</v>
      </c>
      <c r="N429">
        <f t="shared" si="53"/>
        <v>1.0965234076923076E-2</v>
      </c>
      <c r="O429">
        <f t="shared" si="54"/>
        <v>8.0507490384615372E-3</v>
      </c>
      <c r="P429">
        <f t="shared" si="50"/>
        <v>46.763302629998641</v>
      </c>
      <c r="R429">
        <f t="shared" si="55"/>
        <v>9.2538888382096886E-4</v>
      </c>
    </row>
    <row r="430" spans="1:19" x14ac:dyDescent="0.2">
      <c r="A430" t="s">
        <v>441</v>
      </c>
      <c r="B430">
        <v>5.8778023800000003</v>
      </c>
      <c r="C430">
        <v>0.85383801000000004</v>
      </c>
      <c r="D430">
        <v>6.0490823899999997</v>
      </c>
      <c r="E430">
        <v>0.47410824000000001</v>
      </c>
      <c r="F430">
        <v>3.27789552</v>
      </c>
      <c r="G430">
        <v>1.3369233199999999</v>
      </c>
      <c r="H430">
        <v>2.8595881599999999</v>
      </c>
      <c r="I430">
        <v>9.6783300000000006E-3</v>
      </c>
      <c r="J430">
        <v>1</v>
      </c>
      <c r="K430">
        <v>950018</v>
      </c>
      <c r="L430">
        <f t="shared" si="51"/>
        <v>1.2607290461538462E-2</v>
      </c>
      <c r="M430">
        <f t="shared" si="52"/>
        <v>5.142012769230769E-3</v>
      </c>
      <c r="N430">
        <f t="shared" si="53"/>
        <v>1.0998416E-2</v>
      </c>
      <c r="O430">
        <f t="shared" si="54"/>
        <v>8.0702143846153838E-3</v>
      </c>
      <c r="P430">
        <f t="shared" si="50"/>
        <v>48.317347516887878</v>
      </c>
      <c r="R430">
        <f t="shared" si="55"/>
        <v>2.7261014428223601E-4</v>
      </c>
    </row>
    <row r="431" spans="1:19" x14ac:dyDescent="0.2">
      <c r="A431" t="s">
        <v>442</v>
      </c>
      <c r="B431">
        <v>5.8832527199999998</v>
      </c>
      <c r="C431">
        <v>0.85542236999999999</v>
      </c>
      <c r="D431">
        <v>6.0490823899999997</v>
      </c>
      <c r="E431">
        <v>0.47410824000000001</v>
      </c>
      <c r="F431">
        <v>3.2923827600000002</v>
      </c>
      <c r="G431">
        <v>1.33712714</v>
      </c>
      <c r="H431">
        <v>2.8623154999999998</v>
      </c>
      <c r="I431">
        <v>9.6783300000000006E-3</v>
      </c>
      <c r="J431">
        <v>1</v>
      </c>
      <c r="K431">
        <v>950018</v>
      </c>
      <c r="L431">
        <f t="shared" si="51"/>
        <v>1.2663010615384615E-2</v>
      </c>
      <c r="M431">
        <f t="shared" si="52"/>
        <v>5.1427966923076919E-3</v>
      </c>
      <c r="N431">
        <f t="shared" si="53"/>
        <v>1.1008905769230769E-2</v>
      </c>
      <c r="O431">
        <f t="shared" si="54"/>
        <v>8.0758512307692303E-3</v>
      </c>
      <c r="P431">
        <f t="shared" si="50"/>
        <v>48.407003952669953</v>
      </c>
      <c r="R431">
        <f t="shared" si="55"/>
        <v>-5.0787383759446557E-5</v>
      </c>
    </row>
    <row r="432" spans="1:19" x14ac:dyDescent="0.2">
      <c r="A432" t="s">
        <v>443</v>
      </c>
      <c r="B432">
        <v>5.8778023800000003</v>
      </c>
      <c r="C432">
        <v>0.81911411999999995</v>
      </c>
      <c r="D432">
        <v>6.0526650599999998</v>
      </c>
      <c r="E432">
        <v>0.47410824000000001</v>
      </c>
      <c r="F432">
        <v>3.3095469899999999</v>
      </c>
      <c r="G432">
        <v>1.3377386</v>
      </c>
      <c r="H432">
        <v>2.8611466399999999</v>
      </c>
      <c r="I432">
        <v>9.6783300000000006E-3</v>
      </c>
      <c r="J432">
        <v>1</v>
      </c>
      <c r="K432">
        <v>950018</v>
      </c>
      <c r="L432">
        <f t="shared" si="51"/>
        <v>1.2729026884615384E-2</v>
      </c>
      <c r="M432">
        <f t="shared" si="52"/>
        <v>5.1451484615384615E-3</v>
      </c>
      <c r="N432">
        <f t="shared" si="53"/>
        <v>1.1004410153846154E-2</v>
      </c>
      <c r="O432">
        <f t="shared" si="54"/>
        <v>8.0747793076923081E-3</v>
      </c>
      <c r="P432">
        <f t="shared" si="50"/>
        <v>46.352377299330819</v>
      </c>
      <c r="R432">
        <f t="shared" si="55"/>
        <v>-1.0582558602450223E-3</v>
      </c>
    </row>
    <row r="433" spans="1:19" x14ac:dyDescent="0.2">
      <c r="A433" t="s">
        <v>444</v>
      </c>
      <c r="B433">
        <v>5.8643063</v>
      </c>
      <c r="C433">
        <v>0.70675659000000002</v>
      </c>
      <c r="D433">
        <v>6.0337280900000003</v>
      </c>
      <c r="E433">
        <v>0.47410824000000001</v>
      </c>
      <c r="F433">
        <v>3.3211997700000002</v>
      </c>
      <c r="G433">
        <v>1.3377386</v>
      </c>
      <c r="H433">
        <v>2.8484004999999999</v>
      </c>
      <c r="I433">
        <v>9.6783300000000006E-3</v>
      </c>
      <c r="J433">
        <v>1</v>
      </c>
      <c r="K433">
        <v>950018</v>
      </c>
      <c r="L433">
        <f t="shared" si="51"/>
        <v>1.277384526923077E-2</v>
      </c>
      <c r="M433">
        <f t="shared" si="52"/>
        <v>5.1451484615384615E-3</v>
      </c>
      <c r="N433">
        <f t="shared" si="53"/>
        <v>1.0955386538461538E-2</v>
      </c>
      <c r="O433">
        <f t="shared" si="54"/>
        <v>8.0502674999999996E-3</v>
      </c>
      <c r="P433">
        <f t="shared" si="50"/>
        <v>39.994241728452266</v>
      </c>
      <c r="R433">
        <f t="shared" si="55"/>
        <v>-1.0114484194930138E-3</v>
      </c>
    </row>
    <row r="434" spans="1:19" x14ac:dyDescent="0.2">
      <c r="A434" t="s">
        <v>445</v>
      </c>
      <c r="B434">
        <v>5.8469171199999996</v>
      </c>
      <c r="C434">
        <v>0.61327935</v>
      </c>
      <c r="D434">
        <v>6.0163265499999996</v>
      </c>
      <c r="E434">
        <v>0.47410824000000001</v>
      </c>
      <c r="F434">
        <v>3.3282859199999999</v>
      </c>
      <c r="G434">
        <v>1.3377386</v>
      </c>
      <c r="H434">
        <v>2.8343185200000001</v>
      </c>
      <c r="I434">
        <v>9.6783300000000006E-3</v>
      </c>
      <c r="J434">
        <v>1</v>
      </c>
      <c r="K434">
        <v>950018</v>
      </c>
      <c r="L434">
        <f t="shared" si="51"/>
        <v>1.2801099692307692E-2</v>
      </c>
      <c r="M434">
        <f t="shared" si="52"/>
        <v>5.1451484615384615E-3</v>
      </c>
      <c r="N434">
        <f t="shared" si="53"/>
        <v>1.0901225076923078E-2</v>
      </c>
      <c r="O434">
        <f t="shared" si="54"/>
        <v>8.0231867692307692E-3</v>
      </c>
      <c r="P434">
        <f t="shared" si="50"/>
        <v>34.704512017310066</v>
      </c>
      <c r="R434">
        <f t="shared" si="55"/>
        <v>-1.3083184247354152E-3</v>
      </c>
    </row>
    <row r="435" spans="1:19" x14ac:dyDescent="0.2">
      <c r="A435" t="s">
        <v>446</v>
      </c>
      <c r="B435">
        <v>5.8240775999999999</v>
      </c>
      <c r="C435">
        <v>0.52257474000000004</v>
      </c>
      <c r="D435">
        <v>5.9881770000000003</v>
      </c>
      <c r="E435">
        <v>0.47410824000000001</v>
      </c>
      <c r="F435">
        <v>3.3374191799999999</v>
      </c>
      <c r="G435">
        <v>1.3373309600000001</v>
      </c>
      <c r="H435">
        <v>2.81355734</v>
      </c>
      <c r="I435">
        <v>9.8609400000000003E-3</v>
      </c>
      <c r="J435">
        <v>1</v>
      </c>
      <c r="K435">
        <v>950018</v>
      </c>
      <c r="L435">
        <f t="shared" si="51"/>
        <v>1.2836227615384615E-2</v>
      </c>
      <c r="M435">
        <f t="shared" si="52"/>
        <v>5.1435806153846157E-3</v>
      </c>
      <c r="N435">
        <f t="shared" si="53"/>
        <v>1.0821374384615385E-2</v>
      </c>
      <c r="O435">
        <f t="shared" si="54"/>
        <v>7.9824774999999997E-3</v>
      </c>
      <c r="P435">
        <f t="shared" si="50"/>
        <v>29.571681068786493</v>
      </c>
      <c r="R435">
        <f t="shared" si="55"/>
        <v>-2.052522876280534E-3</v>
      </c>
    </row>
    <row r="436" spans="1:19" x14ac:dyDescent="0.2">
      <c r="A436" t="s">
        <v>447</v>
      </c>
      <c r="B436">
        <v>5.7898183200000002</v>
      </c>
      <c r="C436">
        <v>0.41985539999999999</v>
      </c>
      <c r="D436">
        <v>5.9462085800000004</v>
      </c>
      <c r="E436">
        <v>0.41484471000000001</v>
      </c>
      <c r="F436">
        <v>3.3413559300000002</v>
      </c>
      <c r="G436">
        <v>1.3329827999999999</v>
      </c>
      <c r="H436">
        <v>2.7778792800000001</v>
      </c>
      <c r="I436">
        <v>9.8609400000000003E-3</v>
      </c>
      <c r="J436">
        <v>1</v>
      </c>
      <c r="K436">
        <v>950018</v>
      </c>
      <c r="L436">
        <f t="shared" si="51"/>
        <v>1.2851368961538462E-2</v>
      </c>
      <c r="M436">
        <f t="shared" si="52"/>
        <v>5.126856923076923E-3</v>
      </c>
      <c r="N436">
        <f t="shared" si="53"/>
        <v>1.0684151076923077E-2</v>
      </c>
      <c r="O436">
        <f t="shared" si="54"/>
        <v>7.9055040000000007E-3</v>
      </c>
      <c r="P436">
        <f t="shared" si="50"/>
        <v>23.758955482248872</v>
      </c>
      <c r="R436">
        <f t="shared" si="55"/>
        <v>-2.2361345400291406E-3</v>
      </c>
    </row>
    <row r="437" spans="1:19" x14ac:dyDescent="0.2">
      <c r="A437" t="s">
        <v>448</v>
      </c>
      <c r="B437">
        <v>5.7472537600000004</v>
      </c>
      <c r="C437">
        <v>0.32400161999999999</v>
      </c>
      <c r="D437">
        <v>5.8945157699999999</v>
      </c>
      <c r="E437">
        <v>0.41484471000000001</v>
      </c>
      <c r="F437">
        <v>3.33694677</v>
      </c>
      <c r="G437">
        <v>1.3251017599999999</v>
      </c>
      <c r="H437">
        <v>2.7305126199999998</v>
      </c>
      <c r="I437">
        <v>9.6783300000000006E-3</v>
      </c>
      <c r="J437">
        <v>1</v>
      </c>
      <c r="K437">
        <v>950018</v>
      </c>
      <c r="L437">
        <f t="shared" si="51"/>
        <v>1.2834410653846154E-2</v>
      </c>
      <c r="M437">
        <f t="shared" si="52"/>
        <v>5.0965452307692302E-3</v>
      </c>
      <c r="N437">
        <f t="shared" si="53"/>
        <v>1.0501971615384615E-2</v>
      </c>
      <c r="O437">
        <f t="shared" si="54"/>
        <v>7.7992584230769223E-3</v>
      </c>
      <c r="P437">
        <f t="shared" si="50"/>
        <v>18.334741117433563</v>
      </c>
      <c r="R437">
        <f t="shared" si="55"/>
        <v>-1.9713370240834411E-3</v>
      </c>
    </row>
    <row r="438" spans="1:19" x14ac:dyDescent="0.2">
      <c r="A438" t="s">
        <v>449</v>
      </c>
      <c r="B438">
        <v>5.6994984000000004</v>
      </c>
      <c r="C438">
        <v>0.23937038999999999</v>
      </c>
      <c r="D438">
        <v>5.84026391</v>
      </c>
      <c r="E438">
        <v>0.41484471000000001</v>
      </c>
      <c r="F438">
        <v>3.3312778500000002</v>
      </c>
      <c r="G438">
        <v>1.3132801999999999</v>
      </c>
      <c r="H438">
        <v>2.6780252400000002</v>
      </c>
      <c r="I438">
        <v>9.6783300000000006E-3</v>
      </c>
      <c r="J438">
        <v>1</v>
      </c>
      <c r="K438">
        <v>950018</v>
      </c>
      <c r="L438">
        <f t="shared" si="51"/>
        <v>1.2812607115384617E-2</v>
      </c>
      <c r="M438">
        <f t="shared" si="52"/>
        <v>5.0510776923076922E-3</v>
      </c>
      <c r="N438">
        <f t="shared" si="53"/>
        <v>1.0300097076923078E-2</v>
      </c>
      <c r="O438">
        <f t="shared" si="54"/>
        <v>7.6755873846153849E-3</v>
      </c>
      <c r="P438">
        <f t="shared" si="50"/>
        <v>13.54559317274126</v>
      </c>
      <c r="R438">
        <f t="shared" si="55"/>
        <v>-1.5251930860793828E-3</v>
      </c>
    </row>
    <row r="439" spans="1:19" x14ac:dyDescent="0.2">
      <c r="A439" t="s">
        <v>450</v>
      </c>
      <c r="B439">
        <v>5.6496667199999999</v>
      </c>
      <c r="C439">
        <v>0.16516953000000001</v>
      </c>
      <c r="D439">
        <v>5.7855002400000002</v>
      </c>
      <c r="E439">
        <v>0.41484471000000001</v>
      </c>
      <c r="F439">
        <v>3.3216721800000002</v>
      </c>
      <c r="G439">
        <v>1.29853722</v>
      </c>
      <c r="H439">
        <v>2.62347844</v>
      </c>
      <c r="I439">
        <v>9.8609400000000003E-3</v>
      </c>
      <c r="J439">
        <v>1</v>
      </c>
      <c r="K439">
        <v>950018</v>
      </c>
      <c r="L439">
        <f t="shared" si="51"/>
        <v>1.2775662230769232E-2</v>
      </c>
      <c r="M439">
        <f t="shared" si="52"/>
        <v>4.9943739230769229E-3</v>
      </c>
      <c r="N439">
        <f t="shared" si="53"/>
        <v>1.0090301692307692E-2</v>
      </c>
      <c r="O439">
        <f t="shared" si="54"/>
        <v>7.5423378076923077E-3</v>
      </c>
      <c r="P439">
        <f t="shared" si="50"/>
        <v>9.3466834302809243</v>
      </c>
      <c r="R439">
        <f t="shared" si="55"/>
        <v>-9.9458787055680233E-4</v>
      </c>
    </row>
    <row r="440" spans="1:19" x14ac:dyDescent="0.2">
      <c r="A440" t="s">
        <v>451</v>
      </c>
      <c r="B440">
        <v>5.5936060799999998</v>
      </c>
      <c r="C440">
        <v>0.1003428</v>
      </c>
      <c r="D440">
        <v>5.7338074299999997</v>
      </c>
      <c r="E440">
        <v>0.73091687000000005</v>
      </c>
      <c r="F440">
        <v>3.30576771</v>
      </c>
      <c r="G440">
        <v>1.28318278</v>
      </c>
      <c r="H440">
        <v>2.5699891799999999</v>
      </c>
      <c r="I440">
        <v>9.8609400000000003E-3</v>
      </c>
      <c r="J440">
        <v>1</v>
      </c>
      <c r="K440">
        <v>950018</v>
      </c>
      <c r="L440">
        <f t="shared" si="51"/>
        <v>1.2714491192307692E-2</v>
      </c>
      <c r="M440">
        <f t="shared" si="52"/>
        <v>4.9353183846153848E-3</v>
      </c>
      <c r="N440">
        <f t="shared" si="53"/>
        <v>9.8845737692307683E-3</v>
      </c>
      <c r="O440">
        <f t="shared" si="54"/>
        <v>7.409946076923077E-3</v>
      </c>
      <c r="P440">
        <f t="shared" si="50"/>
        <v>5.6782409328645098</v>
      </c>
      <c r="R440">
        <f t="shared" si="55"/>
        <v>-3.9692746732894566E-4</v>
      </c>
    </row>
    <row r="441" spans="1:19" x14ac:dyDescent="0.2">
      <c r="A441" t="s">
        <v>452</v>
      </c>
      <c r="B441">
        <v>5.5538964599999998</v>
      </c>
      <c r="C441">
        <v>5.320809E-2</v>
      </c>
      <c r="D441">
        <v>5.6933744400000004</v>
      </c>
      <c r="E441">
        <v>1.0272345199999999</v>
      </c>
      <c r="F441">
        <v>3.2851391400000001</v>
      </c>
      <c r="G441">
        <v>1.2728558999999999</v>
      </c>
      <c r="H441">
        <v>2.5328083000000001</v>
      </c>
      <c r="I441">
        <v>1.004355E-2</v>
      </c>
      <c r="J441">
        <v>1</v>
      </c>
      <c r="K441">
        <v>950018</v>
      </c>
      <c r="L441">
        <f t="shared" si="51"/>
        <v>1.2635150538461539E-2</v>
      </c>
      <c r="M441">
        <f t="shared" si="52"/>
        <v>4.8955996153846153E-3</v>
      </c>
      <c r="N441">
        <f t="shared" si="53"/>
        <v>9.7415703846153844E-3</v>
      </c>
      <c r="O441">
        <f t="shared" si="54"/>
        <v>7.3185849999999998E-3</v>
      </c>
      <c r="P441">
        <f t="shared" si="50"/>
        <v>3.0109619683478916</v>
      </c>
      <c r="R441">
        <f t="shared" si="55"/>
        <v>-7.7645244978051346E-5</v>
      </c>
    </row>
    <row r="442" spans="1:19" x14ac:dyDescent="0.2">
      <c r="A442" t="s">
        <v>453</v>
      </c>
      <c r="B442">
        <v>5.5380645199999998</v>
      </c>
      <c r="C442">
        <v>5.1227639999999998E-2</v>
      </c>
      <c r="D442">
        <v>5.6851854800000003</v>
      </c>
      <c r="E442">
        <v>1.20502511</v>
      </c>
      <c r="F442">
        <v>3.2682898499999999</v>
      </c>
      <c r="G442">
        <v>1.2699344800000001</v>
      </c>
      <c r="H442">
        <v>2.5220659200000002</v>
      </c>
      <c r="I442">
        <v>9.8609400000000003E-3</v>
      </c>
      <c r="J442">
        <v>1</v>
      </c>
      <c r="K442">
        <v>950018</v>
      </c>
      <c r="L442">
        <f t="shared" si="51"/>
        <v>1.2570345576923077E-2</v>
      </c>
      <c r="M442">
        <f t="shared" si="52"/>
        <v>4.8843633846153848E-3</v>
      </c>
      <c r="N442">
        <f t="shared" si="53"/>
        <v>9.7002535384615399E-3</v>
      </c>
      <c r="O442">
        <f t="shared" si="54"/>
        <v>7.2923084615384619E-3</v>
      </c>
      <c r="P442">
        <f t="shared" si="50"/>
        <v>2.8988914236203027</v>
      </c>
      <c r="R442">
        <f t="shared" si="55"/>
        <v>1.688574819935991E-4</v>
      </c>
    </row>
    <row r="443" spans="1:19" x14ac:dyDescent="0.2">
      <c r="A443" t="s">
        <v>454</v>
      </c>
      <c r="B443">
        <v>5.5554537000000002</v>
      </c>
      <c r="C443">
        <v>0.10641618</v>
      </c>
      <c r="D443">
        <v>5.7041224499999998</v>
      </c>
      <c r="E443">
        <v>1.20502511</v>
      </c>
      <c r="F443">
        <v>3.2504957399999999</v>
      </c>
      <c r="G443">
        <v>1.2695268399999999</v>
      </c>
      <c r="H443">
        <v>2.5421591800000001</v>
      </c>
      <c r="I443">
        <v>1.004355E-2</v>
      </c>
      <c r="J443">
        <v>1</v>
      </c>
      <c r="K443">
        <v>950018</v>
      </c>
      <c r="L443">
        <f t="shared" si="51"/>
        <v>1.2501906692307692E-2</v>
      </c>
      <c r="M443">
        <f t="shared" si="52"/>
        <v>4.882795538461538E-3</v>
      </c>
      <c r="N443">
        <f t="shared" si="53"/>
        <v>9.7775353076923078E-3</v>
      </c>
      <c r="O443">
        <f t="shared" si="54"/>
        <v>7.3301654230769229E-3</v>
      </c>
      <c r="P443">
        <f t="shared" si="50"/>
        <v>6.0219239366957833</v>
      </c>
      <c r="R443">
        <f t="shared" si="55"/>
        <v>7.8200389294964801E-4</v>
      </c>
      <c r="S443">
        <f>ABS(SUMIFS($R:$R,$K:$K,K443))</f>
        <v>5.1908262874438725E-3</v>
      </c>
    </row>
    <row r="444" spans="1:19" x14ac:dyDescent="0.2">
      <c r="A444" t="s">
        <v>455</v>
      </c>
      <c r="B444">
        <v>5.5951633200000002</v>
      </c>
      <c r="C444">
        <v>0.18735056999999999</v>
      </c>
      <c r="D444">
        <v>5.7430200100000004</v>
      </c>
      <c r="E444">
        <v>1.0272345199999999</v>
      </c>
      <c r="F444">
        <v>3.2355360900000001</v>
      </c>
      <c r="G444">
        <v>1.2759811400000001</v>
      </c>
      <c r="H444">
        <v>2.5846277600000001</v>
      </c>
      <c r="I444">
        <v>1.0408769999999999E-2</v>
      </c>
      <c r="J444">
        <v>1</v>
      </c>
      <c r="K444">
        <v>950019</v>
      </c>
      <c r="L444">
        <f t="shared" si="51"/>
        <v>1.2444369576923077E-2</v>
      </c>
      <c r="M444">
        <f t="shared" si="52"/>
        <v>4.9076197692307696E-3</v>
      </c>
      <c r="N444">
        <f t="shared" si="53"/>
        <v>9.9408759999999995E-3</v>
      </c>
      <c r="O444">
        <f t="shared" si="54"/>
        <v>7.4242478846153846E-3</v>
      </c>
      <c r="P444">
        <f t="shared" si="50"/>
        <v>10.601873531229922</v>
      </c>
      <c r="Q444">
        <f t="shared" ref="Q444" si="58">ABS(0.5*(SUMPRODUCT(O444:O462,P445:P463)+O463*P444-(SUMPRODUCT(O445:O463,P444:P462)+O444*P463)))</f>
        <v>5.1358478167535804E-3</v>
      </c>
      <c r="R444">
        <f t="shared" si="55"/>
        <v>1.797921209897636E-3</v>
      </c>
    </row>
    <row r="445" spans="1:19" x14ac:dyDescent="0.2">
      <c r="A445" t="s">
        <v>456</v>
      </c>
      <c r="B445">
        <v>5.6473308600000003</v>
      </c>
      <c r="C445">
        <v>0.28082781000000001</v>
      </c>
      <c r="D445">
        <v>5.8023899700000001</v>
      </c>
      <c r="E445">
        <v>0.79018040000000001</v>
      </c>
      <c r="F445">
        <v>3.2289223499999999</v>
      </c>
      <c r="G445">
        <v>1.2898409</v>
      </c>
      <c r="H445">
        <v>2.6413452999999998</v>
      </c>
      <c r="I445">
        <v>1.004355E-2</v>
      </c>
      <c r="J445">
        <v>1</v>
      </c>
      <c r="K445">
        <v>950019</v>
      </c>
      <c r="L445">
        <f t="shared" si="51"/>
        <v>1.2418932115384616E-2</v>
      </c>
      <c r="M445">
        <f t="shared" si="52"/>
        <v>4.9609265384615384E-3</v>
      </c>
      <c r="N445">
        <f t="shared" si="53"/>
        <v>1.0159020384615384E-2</v>
      </c>
      <c r="O445">
        <f t="shared" si="54"/>
        <v>7.5599734615384613E-3</v>
      </c>
      <c r="P445">
        <f t="shared" si="50"/>
        <v>15.891603242372124</v>
      </c>
      <c r="R445">
        <f t="shared" si="55"/>
        <v>2.8799798535413365E-3</v>
      </c>
    </row>
    <row r="446" spans="1:19" x14ac:dyDescent="0.2">
      <c r="A446" t="s">
        <v>457</v>
      </c>
      <c r="B446">
        <v>5.7067655200000003</v>
      </c>
      <c r="C446">
        <v>0.39001661999999998</v>
      </c>
      <c r="D446">
        <v>5.8699488899999999</v>
      </c>
      <c r="E446">
        <v>0.61238981000000003</v>
      </c>
      <c r="F446">
        <v>3.2298671699999999</v>
      </c>
      <c r="G446">
        <v>1.3053991599999999</v>
      </c>
      <c r="H446">
        <v>2.7046863800000001</v>
      </c>
      <c r="I446">
        <v>1.004355E-2</v>
      </c>
      <c r="J446">
        <v>1</v>
      </c>
      <c r="K446">
        <v>950019</v>
      </c>
      <c r="L446">
        <f t="shared" si="51"/>
        <v>1.2422566038461537E-2</v>
      </c>
      <c r="M446">
        <f t="shared" si="52"/>
        <v>5.0207659999999994E-3</v>
      </c>
      <c r="N446">
        <f t="shared" si="53"/>
        <v>1.0402639923076924E-2</v>
      </c>
      <c r="O446">
        <f t="shared" si="54"/>
        <v>7.7117029615384625E-3</v>
      </c>
      <c r="P446">
        <f t="shared" si="50"/>
        <v>22.07042594168653</v>
      </c>
      <c r="R446">
        <f t="shared" si="55"/>
        <v>3.8105716438671831E-3</v>
      </c>
    </row>
    <row r="447" spans="1:19" x14ac:dyDescent="0.2">
      <c r="A447" t="s">
        <v>458</v>
      </c>
      <c r="B447">
        <v>5.7700932800000002</v>
      </c>
      <c r="C447">
        <v>0.52415909999999999</v>
      </c>
      <c r="D447">
        <v>5.9385314300000003</v>
      </c>
      <c r="E447">
        <v>0.47410824000000001</v>
      </c>
      <c r="F447">
        <v>3.2345912700000001</v>
      </c>
      <c r="G447">
        <v>1.3196665599999999</v>
      </c>
      <c r="H447">
        <v>2.7670255799999999</v>
      </c>
      <c r="I447">
        <v>1.004355E-2</v>
      </c>
      <c r="J447">
        <v>1</v>
      </c>
      <c r="K447">
        <v>950019</v>
      </c>
      <c r="L447">
        <f t="shared" si="51"/>
        <v>1.2440735653846154E-2</v>
      </c>
      <c r="M447">
        <f t="shared" si="52"/>
        <v>5.075640615384615E-3</v>
      </c>
      <c r="N447">
        <f t="shared" si="53"/>
        <v>1.0642406076923076E-2</v>
      </c>
      <c r="O447">
        <f t="shared" si="54"/>
        <v>7.8590233461538466E-3</v>
      </c>
      <c r="P447">
        <f t="shared" si="50"/>
        <v>29.661337504568561</v>
      </c>
      <c r="R447">
        <f t="shared" si="55"/>
        <v>4.4727790280486368E-3</v>
      </c>
    </row>
    <row r="448" spans="1:19" x14ac:dyDescent="0.2">
      <c r="A448" t="s">
        <v>459</v>
      </c>
      <c r="B448">
        <v>5.82874932</v>
      </c>
      <c r="C448">
        <v>0.70477614</v>
      </c>
      <c r="D448">
        <v>6.0071139699999998</v>
      </c>
      <c r="E448">
        <v>0.47410824000000001</v>
      </c>
      <c r="F448">
        <v>3.2452992300000001</v>
      </c>
      <c r="G448">
        <v>1.3306728400000001</v>
      </c>
      <c r="H448">
        <v>2.82290822</v>
      </c>
      <c r="I448">
        <v>9.6783300000000006E-3</v>
      </c>
      <c r="J448">
        <v>1</v>
      </c>
      <c r="K448">
        <v>950019</v>
      </c>
      <c r="L448">
        <f t="shared" si="51"/>
        <v>1.2481920115384616E-2</v>
      </c>
      <c r="M448">
        <f t="shared" si="52"/>
        <v>5.1179724615384621E-3</v>
      </c>
      <c r="N448">
        <f t="shared" si="53"/>
        <v>1.0857339307692308E-2</v>
      </c>
      <c r="O448">
        <f t="shared" si="54"/>
        <v>7.9876558846153859E-3</v>
      </c>
      <c r="P448">
        <f t="shared" si="50"/>
        <v>39.88217118372468</v>
      </c>
      <c r="R448">
        <f t="shared" si="55"/>
        <v>2.787571527113876E-3</v>
      </c>
    </row>
    <row r="449" spans="1:19" x14ac:dyDescent="0.2">
      <c r="A449" t="s">
        <v>460</v>
      </c>
      <c r="B449">
        <v>5.8731306600000002</v>
      </c>
      <c r="C449">
        <v>0.82558359000000003</v>
      </c>
      <c r="D449">
        <v>6.0383343800000002</v>
      </c>
      <c r="E449">
        <v>0.47410824000000001</v>
      </c>
      <c r="F449">
        <v>3.2645105700000001</v>
      </c>
      <c r="G449">
        <v>1.3354286399999999</v>
      </c>
      <c r="H449">
        <v>2.85162878</v>
      </c>
      <c r="I449">
        <v>9.6783300000000006E-3</v>
      </c>
      <c r="J449">
        <v>1</v>
      </c>
      <c r="K449">
        <v>950019</v>
      </c>
      <c r="L449">
        <f t="shared" si="51"/>
        <v>1.2555809884615386E-2</v>
      </c>
      <c r="M449">
        <f t="shared" si="52"/>
        <v>5.1362639999999998E-3</v>
      </c>
      <c r="N449">
        <f t="shared" si="53"/>
        <v>1.0967803E-2</v>
      </c>
      <c r="O449">
        <f t="shared" si="54"/>
        <v>8.0520334999999998E-3</v>
      </c>
      <c r="P449">
        <f t="shared" si="50"/>
        <v>46.718474412107611</v>
      </c>
      <c r="R449">
        <f t="shared" si="55"/>
        <v>9.2766221714810884E-4</v>
      </c>
    </row>
    <row r="450" spans="1:19" x14ac:dyDescent="0.2">
      <c r="A450" t="s">
        <v>461</v>
      </c>
      <c r="B450">
        <v>5.8809168600000001</v>
      </c>
      <c r="C450">
        <v>0.85264974000000004</v>
      </c>
      <c r="D450">
        <v>6.0511296300000001</v>
      </c>
      <c r="E450">
        <v>0.47410824000000001</v>
      </c>
      <c r="F450">
        <v>3.2812023899999998</v>
      </c>
      <c r="G450">
        <v>1.33712714</v>
      </c>
      <c r="H450">
        <v>2.8600891000000002</v>
      </c>
      <c r="I450">
        <v>9.6783300000000006E-3</v>
      </c>
      <c r="J450">
        <v>1</v>
      </c>
      <c r="K450">
        <v>950019</v>
      </c>
      <c r="L450">
        <f t="shared" si="51"/>
        <v>1.2620009192307692E-2</v>
      </c>
      <c r="M450">
        <f t="shared" si="52"/>
        <v>5.1427966923076919E-3</v>
      </c>
      <c r="N450">
        <f t="shared" si="53"/>
        <v>1.1000342692307694E-2</v>
      </c>
      <c r="O450">
        <f t="shared" si="54"/>
        <v>8.0715696923076927E-3</v>
      </c>
      <c r="P450">
        <f t="shared" si="50"/>
        <v>48.250105190051329</v>
      </c>
      <c r="R450">
        <f t="shared" si="55"/>
        <v>2.603254767797396E-4</v>
      </c>
    </row>
    <row r="451" spans="1:19" x14ac:dyDescent="0.2">
      <c r="A451" t="s">
        <v>462</v>
      </c>
      <c r="B451">
        <v>5.8824740999999996</v>
      </c>
      <c r="C451">
        <v>0.85542236999999999</v>
      </c>
      <c r="D451">
        <v>6.0526650599999998</v>
      </c>
      <c r="E451">
        <v>0.47410824000000001</v>
      </c>
      <c r="F451">
        <v>3.2928551700000002</v>
      </c>
      <c r="G451">
        <v>1.3375347799999999</v>
      </c>
      <c r="H451">
        <v>2.8624824800000002</v>
      </c>
      <c r="I451">
        <v>9.8609400000000003E-3</v>
      </c>
      <c r="J451">
        <v>1</v>
      </c>
      <c r="K451">
        <v>950019</v>
      </c>
      <c r="L451">
        <f t="shared" si="51"/>
        <v>1.2664827576923077E-2</v>
      </c>
      <c r="M451">
        <f t="shared" si="52"/>
        <v>5.1443645384615377E-3</v>
      </c>
      <c r="N451">
        <f t="shared" si="53"/>
        <v>1.1009548000000001E-2</v>
      </c>
      <c r="O451">
        <f t="shared" si="54"/>
        <v>8.0769562692307693E-3</v>
      </c>
      <c r="P451">
        <f t="shared" ref="P451:P514" si="59">+C451*4/(PI()*0.15^2)</f>
        <v>48.407003952669953</v>
      </c>
      <c r="R451">
        <f t="shared" si="55"/>
        <v>-1.3702629466031104E-4</v>
      </c>
    </row>
    <row r="452" spans="1:19" x14ac:dyDescent="0.2">
      <c r="A452" t="s">
        <v>463</v>
      </c>
      <c r="B452">
        <v>5.8809168600000001</v>
      </c>
      <c r="C452">
        <v>0.82030239000000005</v>
      </c>
      <c r="D452">
        <v>6.0511296300000001</v>
      </c>
      <c r="E452">
        <v>0.47410824000000001</v>
      </c>
      <c r="F452">
        <v>3.3086021699999999</v>
      </c>
      <c r="G452">
        <v>1.3375347799999999</v>
      </c>
      <c r="H452">
        <v>2.8609796599999999</v>
      </c>
      <c r="I452">
        <v>9.6783300000000006E-3</v>
      </c>
      <c r="J452">
        <v>1</v>
      </c>
      <c r="K452">
        <v>950019</v>
      </c>
      <c r="L452">
        <f t="shared" ref="L452:L515" si="60">+F452/260</f>
        <v>1.2725392961538462E-2</v>
      </c>
      <c r="M452">
        <f t="shared" ref="M452:M515" si="61">+G452/260</f>
        <v>5.1443645384615377E-3</v>
      </c>
      <c r="N452">
        <f t="shared" ref="N452:N515" si="62">+H452/260</f>
        <v>1.1003767923076923E-2</v>
      </c>
      <c r="O452">
        <f t="shared" ref="O452:O515" si="63">(+G452+H452)/520</f>
        <v>8.0740662307692314E-3</v>
      </c>
      <c r="P452">
        <f t="shared" si="59"/>
        <v>46.419619626167375</v>
      </c>
      <c r="R452">
        <f t="shared" ref="R452:R515" si="64">+(P452+P453)/2*(O453-O452)</f>
        <v>-9.8767054966382136E-4</v>
      </c>
    </row>
    <row r="453" spans="1:19" x14ac:dyDescent="0.2">
      <c r="A453" t="s">
        <v>464</v>
      </c>
      <c r="B453">
        <v>5.8635276799999998</v>
      </c>
      <c r="C453">
        <v>0.70834094999999997</v>
      </c>
      <c r="D453">
        <v>6.03526352</v>
      </c>
      <c r="E453">
        <v>0.47410824000000001</v>
      </c>
      <c r="F453">
        <v>3.3230894100000001</v>
      </c>
      <c r="G453">
        <v>1.3377386</v>
      </c>
      <c r="H453">
        <v>2.8489014400000001</v>
      </c>
      <c r="I453">
        <v>9.6783300000000006E-3</v>
      </c>
      <c r="J453">
        <v>1</v>
      </c>
      <c r="K453">
        <v>950019</v>
      </c>
      <c r="L453">
        <f t="shared" si="60"/>
        <v>1.2781113115384615E-2</v>
      </c>
      <c r="M453">
        <f t="shared" si="61"/>
        <v>5.1451484615384615E-3</v>
      </c>
      <c r="N453">
        <f t="shared" si="62"/>
        <v>1.0957313230769232E-2</v>
      </c>
      <c r="O453">
        <f t="shared" si="63"/>
        <v>8.0512308461538461E-3</v>
      </c>
      <c r="P453">
        <f t="shared" si="59"/>
        <v>40.083898164234334</v>
      </c>
      <c r="R453">
        <f t="shared" si="64"/>
        <v>-1.0340288738859755E-3</v>
      </c>
    </row>
    <row r="454" spans="1:19" x14ac:dyDescent="0.2">
      <c r="A454" t="s">
        <v>465</v>
      </c>
      <c r="B454">
        <v>5.8469171199999996</v>
      </c>
      <c r="C454">
        <v>0.61327935</v>
      </c>
      <c r="D454">
        <v>6.0178619800000002</v>
      </c>
      <c r="E454">
        <v>0.41484471000000001</v>
      </c>
      <c r="F454">
        <v>3.3308054399999998</v>
      </c>
      <c r="G454">
        <v>1.3379424200000001</v>
      </c>
      <c r="H454">
        <v>2.8343185200000001</v>
      </c>
      <c r="I454">
        <v>9.4957199999999992E-3</v>
      </c>
      <c r="J454">
        <v>1</v>
      </c>
      <c r="K454">
        <v>950019</v>
      </c>
      <c r="L454">
        <f t="shared" si="60"/>
        <v>1.2810790153846154E-2</v>
      </c>
      <c r="M454">
        <f t="shared" si="61"/>
        <v>5.1459323846153853E-3</v>
      </c>
      <c r="N454">
        <f t="shared" si="62"/>
        <v>1.0901225076923078E-2</v>
      </c>
      <c r="O454">
        <f t="shared" si="63"/>
        <v>8.0235787307692315E-3</v>
      </c>
      <c r="P454">
        <f t="shared" si="59"/>
        <v>34.704512017310066</v>
      </c>
      <c r="R454">
        <f t="shared" si="64"/>
        <v>-1.4050833309431519E-3</v>
      </c>
    </row>
    <row r="455" spans="1:19" x14ac:dyDescent="0.2">
      <c r="A455" t="s">
        <v>466</v>
      </c>
      <c r="B455">
        <v>5.8232989799999997</v>
      </c>
      <c r="C455">
        <v>0.52019820000000005</v>
      </c>
      <c r="D455">
        <v>5.9881770000000003</v>
      </c>
      <c r="E455">
        <v>0.41484471000000001</v>
      </c>
      <c r="F455">
        <v>3.33552954</v>
      </c>
      <c r="G455">
        <v>1.3369233199999999</v>
      </c>
      <c r="H455">
        <v>2.81255546</v>
      </c>
      <c r="I455">
        <v>9.6783300000000006E-3</v>
      </c>
      <c r="J455">
        <v>1</v>
      </c>
      <c r="K455">
        <v>950019</v>
      </c>
      <c r="L455">
        <f t="shared" si="60"/>
        <v>1.2828959769230769E-2</v>
      </c>
      <c r="M455">
        <f t="shared" si="61"/>
        <v>5.142012769230769E-3</v>
      </c>
      <c r="N455">
        <f t="shared" si="62"/>
        <v>1.0817521E-2</v>
      </c>
      <c r="O455">
        <f t="shared" si="63"/>
        <v>7.9797668846153837E-3</v>
      </c>
      <c r="P455">
        <f t="shared" si="59"/>
        <v>29.437196415113387</v>
      </c>
      <c r="R455">
        <f t="shared" si="64"/>
        <v>-2.0189884175323409E-3</v>
      </c>
    </row>
    <row r="456" spans="1:19" x14ac:dyDescent="0.2">
      <c r="A456" t="s">
        <v>467</v>
      </c>
      <c r="B456">
        <v>5.7924137199999999</v>
      </c>
      <c r="C456">
        <v>0.41945930999999997</v>
      </c>
      <c r="D456">
        <v>5.9477440100000001</v>
      </c>
      <c r="E456">
        <v>0.41484471000000001</v>
      </c>
      <c r="F456">
        <v>3.3413559300000002</v>
      </c>
      <c r="G456">
        <v>1.3327789800000001</v>
      </c>
      <c r="H456">
        <v>2.7772113599999999</v>
      </c>
      <c r="I456">
        <v>9.6783300000000006E-3</v>
      </c>
      <c r="J456">
        <v>1</v>
      </c>
      <c r="K456">
        <v>950019</v>
      </c>
      <c r="L456">
        <f t="shared" si="60"/>
        <v>1.2851368961538462E-2</v>
      </c>
      <c r="M456">
        <f t="shared" si="61"/>
        <v>5.1260730000000001E-3</v>
      </c>
      <c r="N456">
        <f t="shared" si="62"/>
        <v>1.0681582153846153E-2</v>
      </c>
      <c r="O456">
        <f t="shared" si="63"/>
        <v>7.9038275769230757E-3</v>
      </c>
      <c r="P456">
        <f t="shared" si="59"/>
        <v>23.736541373303353</v>
      </c>
      <c r="R456">
        <f t="shared" si="64"/>
        <v>-2.1711694392469259E-3</v>
      </c>
    </row>
    <row r="457" spans="1:19" x14ac:dyDescent="0.2">
      <c r="A457" t="s">
        <v>468</v>
      </c>
      <c r="B457">
        <v>5.7488109999999999</v>
      </c>
      <c r="C457">
        <v>0.32400161999999999</v>
      </c>
      <c r="D457">
        <v>5.8960511999999996</v>
      </c>
      <c r="E457">
        <v>0.41484471000000001</v>
      </c>
      <c r="F457">
        <v>3.3389938799999999</v>
      </c>
      <c r="G457">
        <v>1.32530558</v>
      </c>
      <c r="H457">
        <v>2.7310135600000001</v>
      </c>
      <c r="I457">
        <v>9.6783300000000006E-3</v>
      </c>
      <c r="J457">
        <v>1</v>
      </c>
      <c r="K457">
        <v>950019</v>
      </c>
      <c r="L457">
        <f t="shared" si="60"/>
        <v>1.2842284153846154E-2</v>
      </c>
      <c r="M457">
        <f t="shared" si="61"/>
        <v>5.097329153846154E-3</v>
      </c>
      <c r="N457">
        <f t="shared" si="62"/>
        <v>1.0503898307692308E-2</v>
      </c>
      <c r="O457">
        <f t="shared" si="63"/>
        <v>7.8006137307692312E-3</v>
      </c>
      <c r="P457">
        <f t="shared" si="59"/>
        <v>18.334741117433563</v>
      </c>
      <c r="R457">
        <f t="shared" si="64"/>
        <v>-1.9906173789567792E-3</v>
      </c>
    </row>
    <row r="458" spans="1:19" x14ac:dyDescent="0.2">
      <c r="A458" t="s">
        <v>469</v>
      </c>
      <c r="B458">
        <v>5.6994984000000004</v>
      </c>
      <c r="C458">
        <v>0.24016256999999999</v>
      </c>
      <c r="D458">
        <v>5.8417993399999997</v>
      </c>
      <c r="E458">
        <v>0.41484471000000001</v>
      </c>
      <c r="F458">
        <v>3.3312778500000002</v>
      </c>
      <c r="G458">
        <v>1.3132801999999999</v>
      </c>
      <c r="H458">
        <v>2.6781922200000001</v>
      </c>
      <c r="I458">
        <v>9.6783300000000006E-3</v>
      </c>
      <c r="J458">
        <v>1</v>
      </c>
      <c r="K458">
        <v>950019</v>
      </c>
      <c r="L458">
        <f t="shared" si="60"/>
        <v>1.2812607115384617E-2</v>
      </c>
      <c r="M458">
        <f t="shared" si="61"/>
        <v>5.0510776923076922E-3</v>
      </c>
      <c r="N458">
        <f t="shared" si="62"/>
        <v>1.0300739307692309E-2</v>
      </c>
      <c r="O458">
        <f t="shared" si="63"/>
        <v>7.6759085000000001E-3</v>
      </c>
      <c r="P458">
        <f t="shared" si="59"/>
        <v>13.590421390632295</v>
      </c>
      <c r="R458">
        <f t="shared" si="64"/>
        <v>-1.5258483194503397E-3</v>
      </c>
    </row>
    <row r="459" spans="1:19" x14ac:dyDescent="0.2">
      <c r="A459" t="s">
        <v>470</v>
      </c>
      <c r="B459">
        <v>5.6488880999999997</v>
      </c>
      <c r="C459">
        <v>0.16596171000000001</v>
      </c>
      <c r="D459">
        <v>5.78242938</v>
      </c>
      <c r="E459">
        <v>0.41484471000000001</v>
      </c>
      <c r="F459">
        <v>3.3211997700000002</v>
      </c>
      <c r="G459">
        <v>1.29894486</v>
      </c>
      <c r="H459">
        <v>2.62347844</v>
      </c>
      <c r="I459">
        <v>9.8609400000000003E-3</v>
      </c>
      <c r="J459">
        <v>1</v>
      </c>
      <c r="K459">
        <v>950019</v>
      </c>
      <c r="L459">
        <f t="shared" si="60"/>
        <v>1.277384526923077E-2</v>
      </c>
      <c r="M459">
        <f t="shared" si="61"/>
        <v>4.9959417692307688E-3</v>
      </c>
      <c r="N459">
        <f t="shared" si="62"/>
        <v>1.0090301692307692E-2</v>
      </c>
      <c r="O459">
        <f t="shared" si="63"/>
        <v>7.5431217307692314E-3</v>
      </c>
      <c r="P459">
        <f t="shared" si="59"/>
        <v>9.39151164817196</v>
      </c>
      <c r="R459">
        <f t="shared" si="64"/>
        <v>-1.0029282596347624E-3</v>
      </c>
    </row>
    <row r="460" spans="1:19" x14ac:dyDescent="0.2">
      <c r="A460" t="s">
        <v>471</v>
      </c>
      <c r="B460">
        <v>5.5917893000000003</v>
      </c>
      <c r="C460">
        <v>0.1003428</v>
      </c>
      <c r="D460">
        <v>5.7307365700000004</v>
      </c>
      <c r="E460">
        <v>0.79018040000000001</v>
      </c>
      <c r="F460">
        <v>3.3076573499999999</v>
      </c>
      <c r="G460">
        <v>1.2833866</v>
      </c>
      <c r="H460">
        <v>2.5698221999999999</v>
      </c>
      <c r="I460">
        <v>9.8609400000000003E-3</v>
      </c>
      <c r="J460">
        <v>1</v>
      </c>
      <c r="K460">
        <v>950019</v>
      </c>
      <c r="L460">
        <f t="shared" si="60"/>
        <v>1.2721759038461539E-2</v>
      </c>
      <c r="M460">
        <f t="shared" si="61"/>
        <v>4.9361023076923078E-3</v>
      </c>
      <c r="N460">
        <f t="shared" si="62"/>
        <v>9.8839315384615378E-3</v>
      </c>
      <c r="O460">
        <f t="shared" si="63"/>
        <v>7.4100169230769232E-3</v>
      </c>
      <c r="P460">
        <f t="shared" si="59"/>
        <v>5.6782409328645098</v>
      </c>
      <c r="R460">
        <f t="shared" si="64"/>
        <v>-3.9243431392874155E-4</v>
      </c>
    </row>
    <row r="461" spans="1:19" x14ac:dyDescent="0.2">
      <c r="A461" t="s">
        <v>472</v>
      </c>
      <c r="B461">
        <v>5.5523392200000004</v>
      </c>
      <c r="C461">
        <v>5.320809E-2</v>
      </c>
      <c r="D461">
        <v>5.6918390099999998</v>
      </c>
      <c r="E461">
        <v>1.0864980500000001</v>
      </c>
      <c r="F461">
        <v>3.28561155</v>
      </c>
      <c r="G461">
        <v>1.2732635400000001</v>
      </c>
      <c r="H461">
        <v>2.5329752800000001</v>
      </c>
      <c r="I461">
        <v>9.8609400000000003E-3</v>
      </c>
      <c r="J461">
        <v>1</v>
      </c>
      <c r="K461">
        <v>950019</v>
      </c>
      <c r="L461">
        <f t="shared" si="60"/>
        <v>1.26369675E-2</v>
      </c>
      <c r="M461">
        <f t="shared" si="61"/>
        <v>4.897167461538462E-3</v>
      </c>
      <c r="N461">
        <f t="shared" si="62"/>
        <v>9.7422126153846149E-3</v>
      </c>
      <c r="O461">
        <f t="shared" si="63"/>
        <v>7.319690038461538E-3</v>
      </c>
      <c r="P461">
        <f t="shared" si="59"/>
        <v>3.0109619683478916</v>
      </c>
      <c r="R461">
        <f t="shared" si="64"/>
        <v>-7.9115207358276373E-5</v>
      </c>
    </row>
    <row r="462" spans="1:19" x14ac:dyDescent="0.2">
      <c r="A462" t="s">
        <v>473</v>
      </c>
      <c r="B462">
        <v>5.5411789999999996</v>
      </c>
      <c r="C462">
        <v>5.1227639999999998E-2</v>
      </c>
      <c r="D462">
        <v>5.6851854800000003</v>
      </c>
      <c r="E462">
        <v>1.1457615800000001</v>
      </c>
      <c r="F462">
        <v>3.2649829800000001</v>
      </c>
      <c r="G462">
        <v>1.2695268399999999</v>
      </c>
      <c r="H462">
        <v>2.5227895</v>
      </c>
      <c r="I462">
        <v>9.8609400000000003E-3</v>
      </c>
      <c r="J462">
        <v>1</v>
      </c>
      <c r="K462">
        <v>950019</v>
      </c>
      <c r="L462">
        <f t="shared" si="60"/>
        <v>1.2557626846153847E-2</v>
      </c>
      <c r="M462">
        <f t="shared" si="61"/>
        <v>4.882795538461538E-3</v>
      </c>
      <c r="N462">
        <f t="shared" si="62"/>
        <v>9.7030365384615392E-3</v>
      </c>
      <c r="O462">
        <f t="shared" si="63"/>
        <v>7.2929160384615386E-3</v>
      </c>
      <c r="P462">
        <f t="shared" si="59"/>
        <v>2.8988914236203027</v>
      </c>
      <c r="R462">
        <f t="shared" si="64"/>
        <v>1.753017805602326E-4</v>
      </c>
    </row>
    <row r="463" spans="1:19" x14ac:dyDescent="0.2">
      <c r="A463" t="s">
        <v>474</v>
      </c>
      <c r="B463">
        <v>5.5554537000000002</v>
      </c>
      <c r="C463">
        <v>0.10720836</v>
      </c>
      <c r="D463">
        <v>5.7071933100000001</v>
      </c>
      <c r="E463">
        <v>1.1457615800000001</v>
      </c>
      <c r="F463">
        <v>3.2490785099999999</v>
      </c>
      <c r="G463">
        <v>1.2693230200000001</v>
      </c>
      <c r="H463">
        <v>2.54332804</v>
      </c>
      <c r="I463">
        <v>9.8609400000000003E-3</v>
      </c>
      <c r="J463">
        <v>1</v>
      </c>
      <c r="K463">
        <v>950019</v>
      </c>
      <c r="L463">
        <f t="shared" si="60"/>
        <v>1.2496455807692307E-2</v>
      </c>
      <c r="M463">
        <f t="shared" si="61"/>
        <v>4.882011615384616E-3</v>
      </c>
      <c r="N463">
        <f t="shared" si="62"/>
        <v>9.7820309230769228E-3</v>
      </c>
      <c r="O463">
        <f t="shared" si="63"/>
        <v>7.3320212692307698E-3</v>
      </c>
      <c r="P463">
        <f t="shared" si="59"/>
        <v>6.066752154586819</v>
      </c>
      <c r="R463">
        <f t="shared" si="64"/>
        <v>8.0726670798517922E-4</v>
      </c>
    </row>
    <row r="464" spans="1:19" x14ac:dyDescent="0.2">
      <c r="A464" t="s">
        <v>475</v>
      </c>
      <c r="B464">
        <v>5.5959419400000003</v>
      </c>
      <c r="C464">
        <v>0.19051929000000001</v>
      </c>
      <c r="D464">
        <v>5.7445554400000001</v>
      </c>
      <c r="E464">
        <v>1.0864980500000001</v>
      </c>
      <c r="F464">
        <v>3.2355360900000001</v>
      </c>
      <c r="G464">
        <v>1.2761849599999999</v>
      </c>
      <c r="H464">
        <v>2.5862975600000002</v>
      </c>
      <c r="I464">
        <v>9.8609400000000003E-3</v>
      </c>
      <c r="J464">
        <v>1</v>
      </c>
      <c r="K464">
        <v>950020</v>
      </c>
      <c r="L464">
        <f t="shared" si="60"/>
        <v>1.2444369576923077E-2</v>
      </c>
      <c r="M464">
        <f t="shared" si="61"/>
        <v>4.9084036923076916E-3</v>
      </c>
      <c r="N464">
        <f t="shared" si="62"/>
        <v>9.9472983076923094E-3</v>
      </c>
      <c r="O464">
        <f t="shared" si="63"/>
        <v>7.4278510000000009E-3</v>
      </c>
      <c r="P464">
        <f t="shared" si="59"/>
        <v>10.781186402794065</v>
      </c>
      <c r="Q464">
        <f t="shared" ref="Q464" si="65">ABS(0.5*(SUMPRODUCT(O464:O482,P465:P483)+O483*P464-(SUMPRODUCT(O465:O483,P464:P482)+O464*P483)))</f>
        <v>5.2268797980681292E-3</v>
      </c>
      <c r="R464">
        <f t="shared" si="64"/>
        <v>1.7901770033585268E-3</v>
      </c>
      <c r="S464">
        <f>ABS(SUMIFS($R:$R,$K:$K,K464))</f>
        <v>5.1991002115047832E-3</v>
      </c>
    </row>
    <row r="465" spans="1:18" x14ac:dyDescent="0.2">
      <c r="A465" t="s">
        <v>476</v>
      </c>
      <c r="B465">
        <v>5.6481094799999996</v>
      </c>
      <c r="C465">
        <v>0.28399653000000002</v>
      </c>
      <c r="D465">
        <v>5.8008545399999996</v>
      </c>
      <c r="E465">
        <v>0.90870746000000002</v>
      </c>
      <c r="F465">
        <v>3.22703271</v>
      </c>
      <c r="G465">
        <v>1.2896370800000001</v>
      </c>
      <c r="H465">
        <v>2.6421801999999999</v>
      </c>
      <c r="I465">
        <v>9.8609400000000003E-3</v>
      </c>
      <c r="J465">
        <v>1</v>
      </c>
      <c r="K465">
        <v>950020</v>
      </c>
      <c r="L465">
        <f t="shared" si="60"/>
        <v>1.2411664269230769E-2</v>
      </c>
      <c r="M465">
        <f t="shared" si="61"/>
        <v>4.9601426153846155E-3</v>
      </c>
      <c r="N465">
        <f t="shared" si="62"/>
        <v>1.0162231538461538E-2</v>
      </c>
      <c r="O465">
        <f t="shared" si="63"/>
        <v>7.561187076923076E-3</v>
      </c>
      <c r="P465">
        <f t="shared" si="59"/>
        <v>16.070916113936267</v>
      </c>
      <c r="R465">
        <f t="shared" si="64"/>
        <v>2.8990308832004224E-3</v>
      </c>
    </row>
    <row r="466" spans="1:18" x14ac:dyDescent="0.2">
      <c r="A466" t="s">
        <v>477</v>
      </c>
      <c r="B466">
        <v>5.7083227599999997</v>
      </c>
      <c r="C466">
        <v>0.39160097999999999</v>
      </c>
      <c r="D466">
        <v>5.8663662199999997</v>
      </c>
      <c r="E466">
        <v>0.73091687000000005</v>
      </c>
      <c r="F466">
        <v>3.2289223499999999</v>
      </c>
      <c r="G466">
        <v>1.30499152</v>
      </c>
      <c r="H466">
        <v>2.7056882600000001</v>
      </c>
      <c r="I466">
        <v>9.8609400000000003E-3</v>
      </c>
      <c r="J466">
        <v>1</v>
      </c>
      <c r="K466">
        <v>950020</v>
      </c>
      <c r="L466">
        <f t="shared" si="60"/>
        <v>1.2418932115384616E-2</v>
      </c>
      <c r="M466">
        <f t="shared" si="61"/>
        <v>5.0191981538461536E-3</v>
      </c>
      <c r="N466">
        <f t="shared" si="62"/>
        <v>1.0406493307692308E-2</v>
      </c>
      <c r="O466">
        <f t="shared" si="63"/>
        <v>7.712845730769231E-3</v>
      </c>
      <c r="P466">
        <f t="shared" si="59"/>
        <v>22.160082377468601</v>
      </c>
      <c r="R466">
        <f t="shared" si="64"/>
        <v>3.8243302069949532E-3</v>
      </c>
    </row>
    <row r="467" spans="1:18" x14ac:dyDescent="0.2">
      <c r="A467" t="s">
        <v>478</v>
      </c>
      <c r="B467">
        <v>5.7700932800000002</v>
      </c>
      <c r="C467">
        <v>0.52587549</v>
      </c>
      <c r="D467">
        <v>5.9385314300000003</v>
      </c>
      <c r="E467">
        <v>0.73091687000000005</v>
      </c>
      <c r="F467">
        <v>3.2361659700000001</v>
      </c>
      <c r="G467">
        <v>1.31925892</v>
      </c>
      <c r="H467">
        <v>2.7680274599999999</v>
      </c>
      <c r="I467">
        <v>9.8609400000000003E-3</v>
      </c>
      <c r="J467">
        <v>1</v>
      </c>
      <c r="K467">
        <v>950020</v>
      </c>
      <c r="L467">
        <f t="shared" si="60"/>
        <v>1.2446792192307692E-2</v>
      </c>
      <c r="M467">
        <f t="shared" si="61"/>
        <v>5.0740727692307691E-3</v>
      </c>
      <c r="N467">
        <f t="shared" si="62"/>
        <v>1.0646259461538462E-2</v>
      </c>
      <c r="O467">
        <f t="shared" si="63"/>
        <v>7.8601661153846151E-3</v>
      </c>
      <c r="P467">
        <f t="shared" si="59"/>
        <v>29.758465309999139</v>
      </c>
      <c r="R467">
        <f t="shared" si="64"/>
        <v>4.3885203292467669E-3</v>
      </c>
    </row>
    <row r="468" spans="1:18" x14ac:dyDescent="0.2">
      <c r="A468" t="s">
        <v>479</v>
      </c>
      <c r="B468">
        <v>5.8295279400000002</v>
      </c>
      <c r="C468">
        <v>0.70517222999999996</v>
      </c>
      <c r="D468">
        <v>6.0071139699999998</v>
      </c>
      <c r="E468">
        <v>0.53337177000000002</v>
      </c>
      <c r="F468">
        <v>3.24624405</v>
      </c>
      <c r="G468">
        <v>1.3300613800000001</v>
      </c>
      <c r="H468">
        <v>2.82274124</v>
      </c>
      <c r="I468">
        <v>9.8609400000000003E-3</v>
      </c>
      <c r="J468">
        <v>1</v>
      </c>
      <c r="K468">
        <v>950020</v>
      </c>
      <c r="L468">
        <f t="shared" si="60"/>
        <v>1.2485554038461539E-2</v>
      </c>
      <c r="M468">
        <f t="shared" si="61"/>
        <v>5.1156206923076925E-3</v>
      </c>
      <c r="N468">
        <f t="shared" si="62"/>
        <v>1.0856697076923078E-2</v>
      </c>
      <c r="O468">
        <f t="shared" si="63"/>
        <v>7.9861588846153846E-3</v>
      </c>
      <c r="P468">
        <f t="shared" si="59"/>
        <v>39.904585292670191</v>
      </c>
      <c r="R468">
        <f t="shared" si="64"/>
        <v>2.8061579092773506E-3</v>
      </c>
    </row>
    <row r="469" spans="1:18" x14ac:dyDescent="0.2">
      <c r="A469" t="s">
        <v>480</v>
      </c>
      <c r="B469">
        <v>5.8674207799999998</v>
      </c>
      <c r="C469">
        <v>0.82439532000000004</v>
      </c>
      <c r="D469">
        <v>6.0398698099999999</v>
      </c>
      <c r="E469">
        <v>0.53337177000000002</v>
      </c>
      <c r="F469">
        <v>3.2619910499999998</v>
      </c>
      <c r="G469">
        <v>1.3352248200000001</v>
      </c>
      <c r="H469">
        <v>2.8512948200000001</v>
      </c>
      <c r="I469">
        <v>9.6783300000000006E-3</v>
      </c>
      <c r="J469">
        <v>1</v>
      </c>
      <c r="K469">
        <v>950020</v>
      </c>
      <c r="L469">
        <f t="shared" si="60"/>
        <v>1.2546119423076922E-2</v>
      </c>
      <c r="M469">
        <f t="shared" si="61"/>
        <v>5.1354800769230768E-3</v>
      </c>
      <c r="N469">
        <f t="shared" si="62"/>
        <v>1.0966518538461539E-2</v>
      </c>
      <c r="O469">
        <f t="shared" si="63"/>
        <v>8.0509993076923088E-3</v>
      </c>
      <c r="P469">
        <f t="shared" si="59"/>
        <v>46.651232085271062</v>
      </c>
      <c r="R469">
        <f t="shared" si="64"/>
        <v>9.016831558128571E-4</v>
      </c>
    </row>
    <row r="470" spans="1:18" x14ac:dyDescent="0.2">
      <c r="A470" t="s">
        <v>481</v>
      </c>
      <c r="B470">
        <v>5.8816954800000003</v>
      </c>
      <c r="C470">
        <v>0.85264974000000004</v>
      </c>
      <c r="D470">
        <v>6.0526650599999998</v>
      </c>
      <c r="E470">
        <v>0.53337177000000002</v>
      </c>
      <c r="F470">
        <v>3.2797851599999999</v>
      </c>
      <c r="G470">
        <v>1.3363118599999999</v>
      </c>
      <c r="H470">
        <v>2.8600891000000002</v>
      </c>
      <c r="I470">
        <v>9.6783300000000006E-3</v>
      </c>
      <c r="J470">
        <v>1</v>
      </c>
      <c r="K470">
        <v>950020</v>
      </c>
      <c r="L470">
        <f t="shared" si="60"/>
        <v>1.2614558307692307E-2</v>
      </c>
      <c r="M470">
        <f t="shared" si="61"/>
        <v>5.1396609999999994E-3</v>
      </c>
      <c r="N470">
        <f t="shared" si="62"/>
        <v>1.1000342692307694E-2</v>
      </c>
      <c r="O470">
        <f t="shared" si="63"/>
        <v>8.0700018461538469E-3</v>
      </c>
      <c r="P470">
        <f t="shared" si="59"/>
        <v>48.250105190051329</v>
      </c>
      <c r="R470">
        <f t="shared" si="64"/>
        <v>2.9465073546439179E-4</v>
      </c>
    </row>
    <row r="471" spans="1:18" x14ac:dyDescent="0.2">
      <c r="A471" t="s">
        <v>482</v>
      </c>
      <c r="B471">
        <v>5.8832527199999998</v>
      </c>
      <c r="C471">
        <v>0.85463018999999996</v>
      </c>
      <c r="D471">
        <v>6.0542004900000004</v>
      </c>
      <c r="E471">
        <v>0.53337177000000002</v>
      </c>
      <c r="F471">
        <v>3.2937999900000001</v>
      </c>
      <c r="G471">
        <v>1.3369233199999999</v>
      </c>
      <c r="H471">
        <v>2.8626494600000001</v>
      </c>
      <c r="I471">
        <v>9.6783300000000006E-3</v>
      </c>
      <c r="J471">
        <v>1</v>
      </c>
      <c r="K471">
        <v>950020</v>
      </c>
      <c r="L471">
        <f t="shared" si="60"/>
        <v>1.26684615E-2</v>
      </c>
      <c r="M471">
        <f t="shared" si="61"/>
        <v>5.142012769230769E-3</v>
      </c>
      <c r="N471">
        <f t="shared" si="62"/>
        <v>1.1010190230769231E-2</v>
      </c>
      <c r="O471">
        <f t="shared" si="63"/>
        <v>8.0761015000000002E-3</v>
      </c>
      <c r="P471">
        <f t="shared" si="59"/>
        <v>48.362175734778916</v>
      </c>
      <c r="R471">
        <f t="shared" si="64"/>
        <v>-1.1481102817193921E-4</v>
      </c>
    </row>
    <row r="472" spans="1:18" x14ac:dyDescent="0.2">
      <c r="A472" t="s">
        <v>483</v>
      </c>
      <c r="B472">
        <v>5.8793596199999998</v>
      </c>
      <c r="C472">
        <v>0.81713367000000003</v>
      </c>
      <c r="D472">
        <v>6.0460115300000004</v>
      </c>
      <c r="E472">
        <v>0.53337177000000002</v>
      </c>
      <c r="F472">
        <v>3.30624012</v>
      </c>
      <c r="G472">
        <v>1.3373309600000001</v>
      </c>
      <c r="H472">
        <v>2.8609796599999999</v>
      </c>
      <c r="I472">
        <v>9.6783300000000006E-3</v>
      </c>
      <c r="J472">
        <v>1</v>
      </c>
      <c r="K472">
        <v>950020</v>
      </c>
      <c r="L472">
        <f t="shared" si="60"/>
        <v>1.2716308153846154E-2</v>
      </c>
      <c r="M472">
        <f t="shared" si="61"/>
        <v>5.1435806153846157E-3</v>
      </c>
      <c r="N472">
        <f t="shared" si="62"/>
        <v>1.1003767923076923E-2</v>
      </c>
      <c r="O472">
        <f t="shared" si="63"/>
        <v>8.0736742692307691E-3</v>
      </c>
      <c r="P472">
        <f t="shared" si="59"/>
        <v>46.240306754603232</v>
      </c>
      <c r="R472">
        <f t="shared" si="64"/>
        <v>-9.9680155864689682E-4</v>
      </c>
    </row>
    <row r="473" spans="1:18" x14ac:dyDescent="0.2">
      <c r="A473" t="s">
        <v>484</v>
      </c>
      <c r="B473">
        <v>5.8619704400000003</v>
      </c>
      <c r="C473">
        <v>0.70424801999999997</v>
      </c>
      <c r="D473">
        <v>6.0321926599999998</v>
      </c>
      <c r="E473">
        <v>0.53337177000000002</v>
      </c>
      <c r="F473">
        <v>3.3202549499999998</v>
      </c>
      <c r="G473">
        <v>1.3375347799999999</v>
      </c>
      <c r="H473">
        <v>2.8487344600000002</v>
      </c>
      <c r="I473">
        <v>9.6783300000000006E-3</v>
      </c>
      <c r="J473">
        <v>1</v>
      </c>
      <c r="K473">
        <v>950020</v>
      </c>
      <c r="L473">
        <f t="shared" si="60"/>
        <v>1.2770211346153845E-2</v>
      </c>
      <c r="M473">
        <f t="shared" si="61"/>
        <v>5.1443645384615377E-3</v>
      </c>
      <c r="N473">
        <f t="shared" si="62"/>
        <v>1.0956671000000001E-2</v>
      </c>
      <c r="O473">
        <f t="shared" si="63"/>
        <v>8.0505177692307694E-3</v>
      </c>
      <c r="P473">
        <f t="shared" si="59"/>
        <v>39.852285705130654</v>
      </c>
      <c r="R473">
        <f t="shared" si="64"/>
        <v>-1.0199614805443838E-3</v>
      </c>
    </row>
    <row r="474" spans="1:18" x14ac:dyDescent="0.2">
      <c r="A474" t="s">
        <v>485</v>
      </c>
      <c r="B474">
        <v>5.8461385000000003</v>
      </c>
      <c r="C474">
        <v>0.61129889999999998</v>
      </c>
      <c r="D474">
        <v>6.0147911199999999</v>
      </c>
      <c r="E474">
        <v>0.53337177000000002</v>
      </c>
      <c r="F474">
        <v>3.3298606199999998</v>
      </c>
      <c r="G474">
        <v>1.3375347799999999</v>
      </c>
      <c r="H474">
        <v>2.8344855</v>
      </c>
      <c r="I474">
        <v>9.6783300000000006E-3</v>
      </c>
      <c r="J474">
        <v>1</v>
      </c>
      <c r="K474">
        <v>950020</v>
      </c>
      <c r="L474">
        <f t="shared" si="60"/>
        <v>1.280715623076923E-2</v>
      </c>
      <c r="M474">
        <f t="shared" si="61"/>
        <v>5.1443645384615377E-3</v>
      </c>
      <c r="N474">
        <f t="shared" si="62"/>
        <v>1.0901867307692308E-2</v>
      </c>
      <c r="O474">
        <f t="shared" si="63"/>
        <v>8.023115923076923E-3</v>
      </c>
      <c r="P474">
        <f t="shared" si="59"/>
        <v>34.592441472582479</v>
      </c>
      <c r="R474">
        <f t="shared" si="64"/>
        <v>-1.3144999941688594E-3</v>
      </c>
    </row>
    <row r="475" spans="1:18" x14ac:dyDescent="0.2">
      <c r="A475" t="s">
        <v>486</v>
      </c>
      <c r="B475">
        <v>5.8256348400000002</v>
      </c>
      <c r="C475">
        <v>0.52099037999999998</v>
      </c>
      <c r="D475">
        <v>5.9932951000000001</v>
      </c>
      <c r="E475">
        <v>0.53337177000000002</v>
      </c>
      <c r="F475">
        <v>3.3341123100000001</v>
      </c>
      <c r="G475">
        <v>1.33712714</v>
      </c>
      <c r="H475">
        <v>2.81355734</v>
      </c>
      <c r="I475">
        <v>1.004355E-2</v>
      </c>
      <c r="J475">
        <v>1</v>
      </c>
      <c r="K475">
        <v>950020</v>
      </c>
      <c r="L475">
        <f t="shared" si="60"/>
        <v>1.2823508884615385E-2</v>
      </c>
      <c r="M475">
        <f t="shared" si="61"/>
        <v>5.1427966923076919E-3</v>
      </c>
      <c r="N475">
        <f t="shared" si="62"/>
        <v>1.0821374384615385E-2</v>
      </c>
      <c r="O475">
        <f t="shared" si="63"/>
        <v>7.9820855384615374E-3</v>
      </c>
      <c r="P475">
        <f t="shared" si="59"/>
        <v>29.482024633004418</v>
      </c>
      <c r="R475">
        <f t="shared" si="64"/>
        <v>-1.9840627483756288E-3</v>
      </c>
    </row>
    <row r="476" spans="1:18" x14ac:dyDescent="0.2">
      <c r="A476" t="s">
        <v>487</v>
      </c>
      <c r="B476">
        <v>5.7931923400000001</v>
      </c>
      <c r="C476">
        <v>0.42143976</v>
      </c>
      <c r="D476">
        <v>5.9523503</v>
      </c>
      <c r="E476">
        <v>0.47410824000000001</v>
      </c>
      <c r="F476">
        <v>3.3385214699999999</v>
      </c>
      <c r="G476">
        <v>1.3333904400000001</v>
      </c>
      <c r="H476">
        <v>2.7786028599999999</v>
      </c>
      <c r="I476">
        <v>1.004355E-2</v>
      </c>
      <c r="J476">
        <v>1</v>
      </c>
      <c r="K476">
        <v>950020</v>
      </c>
      <c r="L476">
        <f t="shared" si="60"/>
        <v>1.2840467192307692E-2</v>
      </c>
      <c r="M476">
        <f t="shared" si="61"/>
        <v>5.1284247692307697E-3</v>
      </c>
      <c r="N476">
        <f t="shared" si="62"/>
        <v>1.0686934076923076E-2</v>
      </c>
      <c r="O476">
        <f t="shared" si="63"/>
        <v>7.9076794230769232E-3</v>
      </c>
      <c r="P476">
        <f t="shared" si="59"/>
        <v>23.848611918030944</v>
      </c>
      <c r="R476">
        <f t="shared" si="64"/>
        <v>-2.2210926728984982E-3</v>
      </c>
    </row>
    <row r="477" spans="1:18" x14ac:dyDescent="0.2">
      <c r="A477" t="s">
        <v>488</v>
      </c>
      <c r="B477">
        <v>5.7495896200000001</v>
      </c>
      <c r="C477">
        <v>0.32518988999999998</v>
      </c>
      <c r="D477">
        <v>5.8975866300000002</v>
      </c>
      <c r="E477">
        <v>0.47410824000000001</v>
      </c>
      <c r="F477">
        <v>3.3389938799999999</v>
      </c>
      <c r="G477">
        <v>1.32530558</v>
      </c>
      <c r="H477">
        <v>2.7320154400000001</v>
      </c>
      <c r="I477">
        <v>1.004355E-2</v>
      </c>
      <c r="J477">
        <v>1</v>
      </c>
      <c r="K477">
        <v>950020</v>
      </c>
      <c r="L477">
        <f t="shared" si="60"/>
        <v>1.2842284153846154E-2</v>
      </c>
      <c r="M477">
        <f t="shared" si="61"/>
        <v>5.097329153846154E-3</v>
      </c>
      <c r="N477">
        <f t="shared" si="62"/>
        <v>1.0507751692307693E-2</v>
      </c>
      <c r="O477">
        <f t="shared" si="63"/>
        <v>7.8025404230769226E-3</v>
      </c>
      <c r="P477">
        <f t="shared" si="59"/>
        <v>18.401983444270115</v>
      </c>
      <c r="R477">
        <f t="shared" si="64"/>
        <v>-2.0109700071293804E-3</v>
      </c>
    </row>
    <row r="478" spans="1:18" x14ac:dyDescent="0.2">
      <c r="A478" t="s">
        <v>489</v>
      </c>
      <c r="B478">
        <v>5.7005365599999998</v>
      </c>
      <c r="C478">
        <v>0.24214301999999999</v>
      </c>
      <c r="D478">
        <v>5.84026391</v>
      </c>
      <c r="E478">
        <v>0.47410824000000001</v>
      </c>
      <c r="F478">
        <v>3.3312778500000002</v>
      </c>
      <c r="G478">
        <v>1.31348402</v>
      </c>
      <c r="H478">
        <v>2.6786931599999999</v>
      </c>
      <c r="I478">
        <v>1.004355E-2</v>
      </c>
      <c r="J478">
        <v>1</v>
      </c>
      <c r="K478">
        <v>950020</v>
      </c>
      <c r="L478">
        <f t="shared" si="60"/>
        <v>1.2812607115384617E-2</v>
      </c>
      <c r="M478">
        <f t="shared" si="61"/>
        <v>5.0518616153846152E-3</v>
      </c>
      <c r="N478">
        <f t="shared" si="62"/>
        <v>1.0302666E-2</v>
      </c>
      <c r="O478">
        <f t="shared" si="63"/>
        <v>7.6772638076923073E-3</v>
      </c>
      <c r="P478">
        <f t="shared" si="59"/>
        <v>13.702491935359884</v>
      </c>
      <c r="R478">
        <f t="shared" si="64"/>
        <v>-1.5252981458931368E-3</v>
      </c>
    </row>
    <row r="479" spans="1:18" x14ac:dyDescent="0.2">
      <c r="A479" t="s">
        <v>490</v>
      </c>
      <c r="B479">
        <v>5.6465522400000001</v>
      </c>
      <c r="C479">
        <v>0.1663578</v>
      </c>
      <c r="D479">
        <v>5.7855002400000002</v>
      </c>
      <c r="E479">
        <v>0.47410824000000001</v>
      </c>
      <c r="F479">
        <v>3.3191526599999999</v>
      </c>
      <c r="G479">
        <v>1.2993524999999999</v>
      </c>
      <c r="H479">
        <v>2.6242020199999998</v>
      </c>
      <c r="I479">
        <v>1.004355E-2</v>
      </c>
      <c r="J479">
        <v>1</v>
      </c>
      <c r="K479">
        <v>950020</v>
      </c>
      <c r="L479">
        <f t="shared" si="60"/>
        <v>1.2765971769230769E-2</v>
      </c>
      <c r="M479">
        <f t="shared" si="61"/>
        <v>4.9975096153846155E-3</v>
      </c>
      <c r="N479">
        <f t="shared" si="62"/>
        <v>1.0093084692307691E-2</v>
      </c>
      <c r="O479">
        <f t="shared" si="63"/>
        <v>7.5452971538461531E-3</v>
      </c>
      <c r="P479">
        <f t="shared" si="59"/>
        <v>9.413925757117477</v>
      </c>
      <c r="R479">
        <f t="shared" si="64"/>
        <v>-9.9495535820640774E-4</v>
      </c>
    </row>
    <row r="480" spans="1:18" x14ac:dyDescent="0.2">
      <c r="A480" t="s">
        <v>491</v>
      </c>
      <c r="B480">
        <v>5.5951633200000002</v>
      </c>
      <c r="C480">
        <v>0.10073889</v>
      </c>
      <c r="D480">
        <v>5.732272</v>
      </c>
      <c r="E480">
        <v>0.67165333999999999</v>
      </c>
      <c r="F480">
        <v>3.30576771</v>
      </c>
      <c r="G480">
        <v>1.28426982</v>
      </c>
      <c r="H480">
        <v>2.57082408</v>
      </c>
      <c r="I480">
        <v>1.004355E-2</v>
      </c>
      <c r="J480">
        <v>1</v>
      </c>
      <c r="K480">
        <v>950020</v>
      </c>
      <c r="L480">
        <f t="shared" si="60"/>
        <v>1.2714491192307692E-2</v>
      </c>
      <c r="M480">
        <f t="shared" si="61"/>
        <v>4.9394993076923074E-3</v>
      </c>
      <c r="N480">
        <f t="shared" si="62"/>
        <v>9.8877849230769223E-3</v>
      </c>
      <c r="O480">
        <f t="shared" si="63"/>
        <v>7.4136421153846157E-3</v>
      </c>
      <c r="P480">
        <f t="shared" si="59"/>
        <v>5.7006550418100277</v>
      </c>
      <c r="R480">
        <f t="shared" si="64"/>
        <v>-4.1059956803145753E-4</v>
      </c>
    </row>
    <row r="481" spans="1:19" x14ac:dyDescent="0.2">
      <c r="A481" t="s">
        <v>492</v>
      </c>
      <c r="B481">
        <v>5.55078198</v>
      </c>
      <c r="C481">
        <v>5.3604180000000001E-2</v>
      </c>
      <c r="D481">
        <v>5.6918390099999998</v>
      </c>
      <c r="E481">
        <v>1.1457615800000001</v>
      </c>
      <c r="F481">
        <v>3.28655637</v>
      </c>
      <c r="G481">
        <v>1.27305972</v>
      </c>
      <c r="H481">
        <v>2.53314226</v>
      </c>
      <c r="I481">
        <v>1.022616E-2</v>
      </c>
      <c r="J481">
        <v>1</v>
      </c>
      <c r="K481">
        <v>950020</v>
      </c>
      <c r="L481">
        <f t="shared" si="60"/>
        <v>1.2640601423076924E-2</v>
      </c>
      <c r="M481">
        <f t="shared" si="61"/>
        <v>4.8963835384615382E-3</v>
      </c>
      <c r="N481">
        <f t="shared" si="62"/>
        <v>9.7428548461538454E-3</v>
      </c>
      <c r="O481">
        <f t="shared" si="63"/>
        <v>7.3196191923076926E-3</v>
      </c>
      <c r="P481">
        <f t="shared" si="59"/>
        <v>3.0333760772934095</v>
      </c>
      <c r="R481">
        <f t="shared" si="64"/>
        <v>-8.2792439060006684E-5</v>
      </c>
    </row>
    <row r="482" spans="1:19" x14ac:dyDescent="0.2">
      <c r="A482" t="s">
        <v>493</v>
      </c>
      <c r="B482">
        <v>5.5380645199999998</v>
      </c>
      <c r="C482">
        <v>4.9115159999999998E-2</v>
      </c>
      <c r="D482">
        <v>5.6836500499999998</v>
      </c>
      <c r="E482">
        <v>1.20502511</v>
      </c>
      <c r="F482">
        <v>3.2634082800000002</v>
      </c>
      <c r="G482">
        <v>1.2693230200000001</v>
      </c>
      <c r="H482">
        <v>2.5220659200000002</v>
      </c>
      <c r="I482">
        <v>1.022616E-2</v>
      </c>
      <c r="J482">
        <v>1</v>
      </c>
      <c r="K482">
        <v>950020</v>
      </c>
      <c r="L482">
        <f t="shared" si="60"/>
        <v>1.2551570307692309E-2</v>
      </c>
      <c r="M482">
        <f t="shared" si="61"/>
        <v>4.882011615384616E-3</v>
      </c>
      <c r="N482">
        <f t="shared" si="62"/>
        <v>9.7002535384615399E-3</v>
      </c>
      <c r="O482">
        <f t="shared" si="63"/>
        <v>7.2911325769230767E-3</v>
      </c>
      <c r="P482">
        <f t="shared" si="59"/>
        <v>2.7793495092442075</v>
      </c>
      <c r="R482">
        <f t="shared" si="64"/>
        <v>1.7400182402386538E-4</v>
      </c>
    </row>
    <row r="483" spans="1:19" x14ac:dyDescent="0.2">
      <c r="A483" t="s">
        <v>494</v>
      </c>
      <c r="B483">
        <v>5.5538964599999998</v>
      </c>
      <c r="C483">
        <v>0.10800054000000001</v>
      </c>
      <c r="D483">
        <v>5.7025870200000002</v>
      </c>
      <c r="E483">
        <v>1.20502511</v>
      </c>
      <c r="F483">
        <v>3.24718887</v>
      </c>
      <c r="G483">
        <v>1.2689153799999999</v>
      </c>
      <c r="H483">
        <v>2.5428270999999998</v>
      </c>
      <c r="I483">
        <v>1.022616E-2</v>
      </c>
      <c r="J483">
        <v>1</v>
      </c>
      <c r="K483">
        <v>950020</v>
      </c>
      <c r="L483">
        <f t="shared" si="60"/>
        <v>1.2489187961538462E-2</v>
      </c>
      <c r="M483">
        <f t="shared" si="61"/>
        <v>4.8804437692307693E-3</v>
      </c>
      <c r="N483">
        <f t="shared" si="62"/>
        <v>9.7801042307692296E-3</v>
      </c>
      <c r="O483">
        <f t="shared" si="63"/>
        <v>7.3302739999999986E-3</v>
      </c>
      <c r="P483">
        <f t="shared" si="59"/>
        <v>6.1115803724778548</v>
      </c>
      <c r="R483">
        <f t="shared" si="64"/>
        <v>7.9639316525224955E-4</v>
      </c>
    </row>
    <row r="484" spans="1:19" x14ac:dyDescent="0.2">
      <c r="A484" t="s">
        <v>495</v>
      </c>
      <c r="B484">
        <v>5.5951633200000002</v>
      </c>
      <c r="C484">
        <v>0.18933101999999999</v>
      </c>
      <c r="D484">
        <v>5.7430200100000004</v>
      </c>
      <c r="E484">
        <v>1.0272345199999999</v>
      </c>
      <c r="F484">
        <v>3.2345912700000001</v>
      </c>
      <c r="G484">
        <v>1.27550556</v>
      </c>
      <c r="H484">
        <v>2.5854626600000001</v>
      </c>
      <c r="I484">
        <v>1.022616E-2</v>
      </c>
      <c r="J484">
        <v>1</v>
      </c>
      <c r="K484">
        <v>950021</v>
      </c>
      <c r="L484">
        <f t="shared" si="60"/>
        <v>1.2440735653846154E-2</v>
      </c>
      <c r="M484">
        <f t="shared" si="61"/>
        <v>4.9057906153846158E-3</v>
      </c>
      <c r="N484">
        <f t="shared" si="62"/>
        <v>9.9440871538461536E-3</v>
      </c>
      <c r="O484">
        <f t="shared" si="63"/>
        <v>7.4249388846153851E-3</v>
      </c>
      <c r="P484">
        <f t="shared" si="59"/>
        <v>10.71394407595751</v>
      </c>
      <c r="Q484">
        <f t="shared" ref="Q484" si="66">ABS(0.5*(SUMPRODUCT(O484:O502,P485:P503)+O503*P484-(SUMPRODUCT(O485:O503,P484:P502)+O484*P503)))</f>
        <v>5.2583144862798914E-3</v>
      </c>
      <c r="R484">
        <f t="shared" si="64"/>
        <v>1.7947022464350794E-3</v>
      </c>
    </row>
    <row r="485" spans="1:19" x14ac:dyDescent="0.2">
      <c r="A485" t="s">
        <v>496</v>
      </c>
      <c r="B485">
        <v>5.6473308600000003</v>
      </c>
      <c r="C485">
        <v>0.28201608</v>
      </c>
      <c r="D485">
        <v>5.7993191099999999</v>
      </c>
      <c r="E485">
        <v>0.84944392999999996</v>
      </c>
      <c r="F485">
        <v>3.2259304200000001</v>
      </c>
      <c r="G485">
        <v>1.28943326</v>
      </c>
      <c r="H485">
        <v>2.6415122800000002</v>
      </c>
      <c r="I485">
        <v>1.022616E-2</v>
      </c>
      <c r="J485">
        <v>1</v>
      </c>
      <c r="K485">
        <v>950021</v>
      </c>
      <c r="L485">
        <f t="shared" si="60"/>
        <v>1.2407424692307692E-2</v>
      </c>
      <c r="M485">
        <f t="shared" si="61"/>
        <v>4.9593586923076926E-3</v>
      </c>
      <c r="N485">
        <f t="shared" si="62"/>
        <v>1.0159662615384616E-2</v>
      </c>
      <c r="O485">
        <f t="shared" si="63"/>
        <v>7.5595106538461545E-3</v>
      </c>
      <c r="P485">
        <f t="shared" si="59"/>
        <v>15.958845569208677</v>
      </c>
      <c r="R485">
        <f t="shared" si="64"/>
        <v>2.8867816166278019E-3</v>
      </c>
      <c r="S485">
        <f>ABS(SUMIFS($R:$R,$K:$K,K485))</f>
        <v>5.2567830595274647E-3</v>
      </c>
    </row>
    <row r="486" spans="1:19" x14ac:dyDescent="0.2">
      <c r="A486" t="s">
        <v>497</v>
      </c>
      <c r="B486">
        <v>5.7083227599999997</v>
      </c>
      <c r="C486">
        <v>0.39041271</v>
      </c>
      <c r="D486">
        <v>5.8663662199999997</v>
      </c>
      <c r="E486">
        <v>0.73091687000000005</v>
      </c>
      <c r="F486">
        <v>3.2259304200000001</v>
      </c>
      <c r="G486">
        <v>1.30499152</v>
      </c>
      <c r="H486">
        <v>2.70485336</v>
      </c>
      <c r="I486">
        <v>9.8609400000000003E-3</v>
      </c>
      <c r="J486">
        <v>1</v>
      </c>
      <c r="K486">
        <v>950021</v>
      </c>
      <c r="L486">
        <f t="shared" si="60"/>
        <v>1.2407424692307692E-2</v>
      </c>
      <c r="M486">
        <f t="shared" si="61"/>
        <v>5.0191981538461536E-3</v>
      </c>
      <c r="N486">
        <f t="shared" si="62"/>
        <v>1.0403282153846154E-2</v>
      </c>
      <c r="O486">
        <f t="shared" si="63"/>
        <v>7.711240153846154E-3</v>
      </c>
      <c r="P486">
        <f t="shared" si="59"/>
        <v>22.092840050632049</v>
      </c>
      <c r="R486">
        <f t="shared" si="64"/>
        <v>3.805184078294679E-3</v>
      </c>
    </row>
    <row r="487" spans="1:19" x14ac:dyDescent="0.2">
      <c r="A487" t="s">
        <v>498</v>
      </c>
      <c r="B487">
        <v>5.7685360399999999</v>
      </c>
      <c r="C487">
        <v>0.52534736999999998</v>
      </c>
      <c r="D487">
        <v>5.9400668599999999</v>
      </c>
      <c r="E487">
        <v>0.73091687000000005</v>
      </c>
      <c r="F487">
        <v>3.2345912700000001</v>
      </c>
      <c r="G487">
        <v>1.3188512800000001</v>
      </c>
      <c r="H487">
        <v>2.7673595400000002</v>
      </c>
      <c r="I487">
        <v>9.4957199999999992E-3</v>
      </c>
      <c r="J487">
        <v>1</v>
      </c>
      <c r="K487">
        <v>950021</v>
      </c>
      <c r="L487">
        <f t="shared" si="60"/>
        <v>1.2440735653846154E-2</v>
      </c>
      <c r="M487">
        <f t="shared" si="61"/>
        <v>5.0725049230769233E-3</v>
      </c>
      <c r="N487">
        <f t="shared" si="62"/>
        <v>1.0643690538461538E-2</v>
      </c>
      <c r="O487">
        <f t="shared" si="63"/>
        <v>7.8580977307692312E-3</v>
      </c>
      <c r="P487">
        <f t="shared" si="59"/>
        <v>29.728579831405114</v>
      </c>
      <c r="R487">
        <f t="shared" si="64"/>
        <v>4.4485058329924703E-3</v>
      </c>
    </row>
    <row r="488" spans="1:19" x14ac:dyDescent="0.2">
      <c r="A488" t="s">
        <v>499</v>
      </c>
      <c r="B488">
        <v>5.8295279400000002</v>
      </c>
      <c r="C488">
        <v>0.70477614</v>
      </c>
      <c r="D488">
        <v>6.01018483</v>
      </c>
      <c r="E488">
        <v>0.67165333999999999</v>
      </c>
      <c r="F488">
        <v>3.24624405</v>
      </c>
      <c r="G488">
        <v>1.3302651999999999</v>
      </c>
      <c r="H488">
        <v>2.8224072800000002</v>
      </c>
      <c r="I488">
        <v>9.6783300000000006E-3</v>
      </c>
      <c r="J488">
        <v>1</v>
      </c>
      <c r="K488">
        <v>950021</v>
      </c>
      <c r="L488">
        <f t="shared" si="60"/>
        <v>1.2485554038461539E-2</v>
      </c>
      <c r="M488">
        <f t="shared" si="61"/>
        <v>5.1164046153846154E-3</v>
      </c>
      <c r="N488">
        <f t="shared" si="62"/>
        <v>1.0855412615384617E-2</v>
      </c>
      <c r="O488">
        <f t="shared" si="63"/>
        <v>7.9859086153846147E-3</v>
      </c>
      <c r="P488">
        <f t="shared" si="59"/>
        <v>39.88217118372468</v>
      </c>
      <c r="R488">
        <f t="shared" si="64"/>
        <v>2.8377530488878557E-3</v>
      </c>
    </row>
    <row r="489" spans="1:19" x14ac:dyDescent="0.2">
      <c r="A489" t="s">
        <v>500</v>
      </c>
      <c r="B489">
        <v>5.8674207799999998</v>
      </c>
      <c r="C489">
        <v>0.82518749999999996</v>
      </c>
      <c r="D489">
        <v>6.0444760999999998</v>
      </c>
      <c r="E489">
        <v>0.67165333999999999</v>
      </c>
      <c r="F489">
        <v>3.2591565899999999</v>
      </c>
      <c r="G489">
        <v>1.33563246</v>
      </c>
      <c r="H489">
        <v>2.8511278400000002</v>
      </c>
      <c r="I489">
        <v>9.6783300000000006E-3</v>
      </c>
      <c r="J489">
        <v>1</v>
      </c>
      <c r="K489">
        <v>950021</v>
      </c>
      <c r="L489">
        <f t="shared" si="60"/>
        <v>1.2535217653846154E-2</v>
      </c>
      <c r="M489">
        <f t="shared" si="61"/>
        <v>5.1370479230769235E-3</v>
      </c>
      <c r="N489">
        <f t="shared" si="62"/>
        <v>1.0965876307692309E-2</v>
      </c>
      <c r="O489">
        <f t="shared" si="63"/>
        <v>8.0514621153846156E-3</v>
      </c>
      <c r="P489">
        <f t="shared" si="59"/>
        <v>46.696060303162092</v>
      </c>
      <c r="R489">
        <f t="shared" si="64"/>
        <v>8.5657823531582898E-4</v>
      </c>
    </row>
    <row r="490" spans="1:19" x14ac:dyDescent="0.2">
      <c r="A490" t="s">
        <v>501</v>
      </c>
      <c r="B490">
        <v>5.8816954800000003</v>
      </c>
      <c r="C490">
        <v>0.85304583</v>
      </c>
      <c r="D490">
        <v>6.04754696</v>
      </c>
      <c r="E490">
        <v>0.67165333999999999</v>
      </c>
      <c r="F490">
        <v>3.27789552</v>
      </c>
      <c r="G490">
        <v>1.3367195000000001</v>
      </c>
      <c r="H490">
        <v>2.85942118</v>
      </c>
      <c r="I490">
        <v>9.8609400000000003E-3</v>
      </c>
      <c r="J490">
        <v>1</v>
      </c>
      <c r="K490">
        <v>950021</v>
      </c>
      <c r="L490">
        <f t="shared" si="60"/>
        <v>1.2607290461538462E-2</v>
      </c>
      <c r="M490">
        <f t="shared" si="61"/>
        <v>5.1412288461538461E-3</v>
      </c>
      <c r="N490">
        <f t="shared" si="62"/>
        <v>1.099777376923077E-2</v>
      </c>
      <c r="O490">
        <f t="shared" si="63"/>
        <v>8.0695013076923072E-3</v>
      </c>
      <c r="P490">
        <f t="shared" si="59"/>
        <v>48.272519298996841</v>
      </c>
      <c r="R490">
        <f t="shared" si="64"/>
        <v>3.101625803382995E-4</v>
      </c>
    </row>
    <row r="491" spans="1:19" x14ac:dyDescent="0.2">
      <c r="A491" t="s">
        <v>502</v>
      </c>
      <c r="B491">
        <v>5.88429088</v>
      </c>
      <c r="C491">
        <v>0.8542341</v>
      </c>
      <c r="D491">
        <v>6.0460115300000004</v>
      </c>
      <c r="E491">
        <v>0.53337177000000002</v>
      </c>
      <c r="F491">
        <v>3.2933275800000001</v>
      </c>
      <c r="G491">
        <v>1.3373309600000001</v>
      </c>
      <c r="H491">
        <v>2.8621485199999999</v>
      </c>
      <c r="I491">
        <v>9.8609400000000003E-3</v>
      </c>
      <c r="J491">
        <v>1</v>
      </c>
      <c r="K491">
        <v>950021</v>
      </c>
      <c r="L491">
        <f t="shared" si="60"/>
        <v>1.2666644538461539E-2</v>
      </c>
      <c r="M491">
        <f t="shared" si="61"/>
        <v>5.1435806153846157E-3</v>
      </c>
      <c r="N491">
        <f t="shared" si="62"/>
        <v>1.1008263538461538E-2</v>
      </c>
      <c r="O491">
        <f t="shared" si="63"/>
        <v>8.0759220769230766E-3</v>
      </c>
      <c r="P491">
        <f t="shared" si="59"/>
        <v>48.339761625833397</v>
      </c>
      <c r="R491">
        <f t="shared" si="64"/>
        <v>-4.2306378475872981E-5</v>
      </c>
    </row>
    <row r="492" spans="1:19" x14ac:dyDescent="0.2">
      <c r="A492" t="s">
        <v>503</v>
      </c>
      <c r="B492">
        <v>5.88013824</v>
      </c>
      <c r="C492">
        <v>0.82109456999999997</v>
      </c>
      <c r="D492">
        <v>6.0444760999999998</v>
      </c>
      <c r="E492">
        <v>0.53337177000000002</v>
      </c>
      <c r="F492">
        <v>3.3048228900000001</v>
      </c>
      <c r="G492">
        <v>1.3375347799999999</v>
      </c>
      <c r="H492">
        <v>2.8614806000000002</v>
      </c>
      <c r="I492">
        <v>9.6783300000000006E-3</v>
      </c>
      <c r="J492">
        <v>1</v>
      </c>
      <c r="K492">
        <v>950021</v>
      </c>
      <c r="L492">
        <f t="shared" si="60"/>
        <v>1.2710857269230769E-2</v>
      </c>
      <c r="M492">
        <f t="shared" si="61"/>
        <v>5.1443645384615377E-3</v>
      </c>
      <c r="N492">
        <f t="shared" si="62"/>
        <v>1.1005694615384616E-2</v>
      </c>
      <c r="O492">
        <f t="shared" si="63"/>
        <v>8.0750295769230779E-3</v>
      </c>
      <c r="P492">
        <f t="shared" si="59"/>
        <v>46.464447844058405</v>
      </c>
      <c r="R492">
        <f t="shared" si="64"/>
        <v>-9.7554797496272644E-4</v>
      </c>
    </row>
    <row r="493" spans="1:19" x14ac:dyDescent="0.2">
      <c r="A493" t="s">
        <v>504</v>
      </c>
      <c r="B493">
        <v>5.8650849200000001</v>
      </c>
      <c r="C493">
        <v>0.71032139999999999</v>
      </c>
      <c r="D493">
        <v>6.0291218000000004</v>
      </c>
      <c r="E493">
        <v>0.47410824000000001</v>
      </c>
      <c r="F493">
        <v>3.31726302</v>
      </c>
      <c r="G493">
        <v>1.3377386</v>
      </c>
      <c r="H493">
        <v>2.8495693599999998</v>
      </c>
      <c r="I493">
        <v>9.6783300000000006E-3</v>
      </c>
      <c r="J493">
        <v>1</v>
      </c>
      <c r="K493">
        <v>950021</v>
      </c>
      <c r="L493">
        <f t="shared" si="60"/>
        <v>1.2758703923076924E-2</v>
      </c>
      <c r="M493">
        <f t="shared" si="61"/>
        <v>5.1451484615384615E-3</v>
      </c>
      <c r="N493">
        <f t="shared" si="62"/>
        <v>1.0959882153846153E-2</v>
      </c>
      <c r="O493">
        <f t="shared" si="63"/>
        <v>8.0525153076923071E-3</v>
      </c>
      <c r="P493">
        <f t="shared" si="59"/>
        <v>40.195968708961928</v>
      </c>
      <c r="R493">
        <f t="shared" si="64"/>
        <v>-1.1076176191742448E-3</v>
      </c>
    </row>
    <row r="494" spans="1:19" x14ac:dyDescent="0.2">
      <c r="A494" t="s">
        <v>505</v>
      </c>
      <c r="B494">
        <v>5.8500316000000003</v>
      </c>
      <c r="C494">
        <v>0.60997860000000004</v>
      </c>
      <c r="D494">
        <v>6.0147911199999999</v>
      </c>
      <c r="E494">
        <v>0.41484471000000001</v>
      </c>
      <c r="F494">
        <v>3.3278135099999999</v>
      </c>
      <c r="G494">
        <v>1.3377386</v>
      </c>
      <c r="H494">
        <v>2.8341515400000001</v>
      </c>
      <c r="I494">
        <v>9.6783300000000006E-3</v>
      </c>
      <c r="J494">
        <v>1</v>
      </c>
      <c r="K494">
        <v>950021</v>
      </c>
      <c r="L494">
        <f t="shared" si="60"/>
        <v>1.279928273076923E-2</v>
      </c>
      <c r="M494">
        <f t="shared" si="61"/>
        <v>5.1451484615384615E-3</v>
      </c>
      <c r="N494">
        <f t="shared" si="62"/>
        <v>1.0900582846153847E-2</v>
      </c>
      <c r="O494">
        <f t="shared" si="63"/>
        <v>8.0228656538461549E-3</v>
      </c>
      <c r="P494">
        <f t="shared" si="59"/>
        <v>34.517727776097423</v>
      </c>
      <c r="R494">
        <f t="shared" si="64"/>
        <v>-1.285306993723545E-3</v>
      </c>
    </row>
    <row r="495" spans="1:19" x14ac:dyDescent="0.2">
      <c r="A495" t="s">
        <v>506</v>
      </c>
      <c r="B495">
        <v>5.8271920799999997</v>
      </c>
      <c r="C495">
        <v>0.52178256000000001</v>
      </c>
      <c r="D495">
        <v>5.9963659600000003</v>
      </c>
      <c r="E495">
        <v>0.41484471000000001</v>
      </c>
      <c r="F495">
        <v>3.3336399000000001</v>
      </c>
      <c r="G495">
        <v>1.33712714</v>
      </c>
      <c r="H495">
        <v>2.8138912999999999</v>
      </c>
      <c r="I495">
        <v>9.6783300000000006E-3</v>
      </c>
      <c r="J495">
        <v>1</v>
      </c>
      <c r="K495">
        <v>950021</v>
      </c>
      <c r="L495">
        <f t="shared" si="60"/>
        <v>1.2821691923076924E-2</v>
      </c>
      <c r="M495">
        <f t="shared" si="61"/>
        <v>5.1427966923076919E-3</v>
      </c>
      <c r="N495">
        <f t="shared" si="62"/>
        <v>1.0822658846153846E-2</v>
      </c>
      <c r="O495">
        <f t="shared" si="63"/>
        <v>7.9827277692307679E-3</v>
      </c>
      <c r="P495">
        <f t="shared" si="59"/>
        <v>29.526852850895455</v>
      </c>
      <c r="R495">
        <f t="shared" si="64"/>
        <v>-2.0039190363645375E-3</v>
      </c>
    </row>
    <row r="496" spans="1:19" x14ac:dyDescent="0.2">
      <c r="A496" t="s">
        <v>507</v>
      </c>
      <c r="B496">
        <v>5.79708544</v>
      </c>
      <c r="C496">
        <v>0.42104366999999998</v>
      </c>
      <c r="D496">
        <v>5.9492794399999998</v>
      </c>
      <c r="E496">
        <v>0.41484471000000001</v>
      </c>
      <c r="F496">
        <v>3.3345847200000001</v>
      </c>
      <c r="G496">
        <v>1.33318662</v>
      </c>
      <c r="H496">
        <v>2.7787698399999998</v>
      </c>
      <c r="I496">
        <v>9.6783300000000006E-3</v>
      </c>
      <c r="J496">
        <v>1</v>
      </c>
      <c r="K496">
        <v>950021</v>
      </c>
      <c r="L496">
        <f t="shared" si="60"/>
        <v>1.2825325846153847E-2</v>
      </c>
      <c r="M496">
        <f t="shared" si="61"/>
        <v>5.1276408461538459E-3</v>
      </c>
      <c r="N496">
        <f t="shared" si="62"/>
        <v>1.0687576307692306E-2</v>
      </c>
      <c r="O496">
        <f t="shared" si="63"/>
        <v>7.907608576923077E-3</v>
      </c>
      <c r="P496">
        <f t="shared" si="59"/>
        <v>23.826197809085425</v>
      </c>
      <c r="R496">
        <f t="shared" si="64"/>
        <v>-2.2426327419415326E-3</v>
      </c>
    </row>
    <row r="497" spans="1:19" x14ac:dyDescent="0.2">
      <c r="A497" t="s">
        <v>508</v>
      </c>
      <c r="B497">
        <v>5.7488109999999999</v>
      </c>
      <c r="C497">
        <v>0.32598207000000001</v>
      </c>
      <c r="D497">
        <v>5.8975866300000002</v>
      </c>
      <c r="E497">
        <v>0.41484471000000001</v>
      </c>
      <c r="F497">
        <v>3.33600195</v>
      </c>
      <c r="G497">
        <v>1.3251017599999999</v>
      </c>
      <c r="H497">
        <v>2.7316814800000002</v>
      </c>
      <c r="I497">
        <v>9.8609400000000003E-3</v>
      </c>
      <c r="J497">
        <v>1</v>
      </c>
      <c r="K497">
        <v>950021</v>
      </c>
      <c r="L497">
        <f t="shared" si="60"/>
        <v>1.283077673076923E-2</v>
      </c>
      <c r="M497">
        <f t="shared" si="61"/>
        <v>5.0965452307692302E-3</v>
      </c>
      <c r="N497">
        <f t="shared" si="62"/>
        <v>1.0506467230769232E-2</v>
      </c>
      <c r="O497">
        <f t="shared" si="63"/>
        <v>7.8015062307692298E-3</v>
      </c>
      <c r="P497">
        <f t="shared" si="59"/>
        <v>18.446811662161153</v>
      </c>
      <c r="R497">
        <f t="shared" si="64"/>
        <v>-1.9815380260176378E-3</v>
      </c>
    </row>
    <row r="498" spans="1:19" x14ac:dyDescent="0.2">
      <c r="A498" t="s">
        <v>509</v>
      </c>
      <c r="B498">
        <v>5.6979411600000001</v>
      </c>
      <c r="C498">
        <v>0.24095475</v>
      </c>
      <c r="D498">
        <v>5.8448701999999999</v>
      </c>
      <c r="E498">
        <v>0.41484471000000001</v>
      </c>
      <c r="F498">
        <v>3.3308054399999998</v>
      </c>
      <c r="G498">
        <v>1.3136878400000001</v>
      </c>
      <c r="H498">
        <v>2.6788601399999998</v>
      </c>
      <c r="I498">
        <v>9.8609400000000003E-3</v>
      </c>
      <c r="J498">
        <v>1</v>
      </c>
      <c r="K498">
        <v>950021</v>
      </c>
      <c r="L498">
        <f t="shared" si="60"/>
        <v>1.2810790153846154E-2</v>
      </c>
      <c r="M498">
        <f t="shared" si="61"/>
        <v>5.052645538461539E-3</v>
      </c>
      <c r="N498">
        <f t="shared" si="62"/>
        <v>1.0303308230769231E-2</v>
      </c>
      <c r="O498">
        <f t="shared" si="63"/>
        <v>7.677976884615384E-3</v>
      </c>
      <c r="P498">
        <f t="shared" si="59"/>
        <v>13.635249608523331</v>
      </c>
      <c r="R498">
        <f t="shared" si="64"/>
        <v>-1.5163440783400998E-3</v>
      </c>
    </row>
    <row r="499" spans="1:19" x14ac:dyDescent="0.2">
      <c r="A499" t="s">
        <v>510</v>
      </c>
      <c r="B499">
        <v>5.6434377600000003</v>
      </c>
      <c r="C499">
        <v>0.1663578</v>
      </c>
      <c r="D499">
        <v>5.7901065300000001</v>
      </c>
      <c r="E499">
        <v>0.47410824000000001</v>
      </c>
      <c r="F499">
        <v>3.31726302</v>
      </c>
      <c r="G499">
        <v>1.2997601400000001</v>
      </c>
      <c r="H499">
        <v>2.6243690000000002</v>
      </c>
      <c r="I499">
        <v>9.8609400000000003E-3</v>
      </c>
      <c r="J499">
        <v>1</v>
      </c>
      <c r="K499">
        <v>950021</v>
      </c>
      <c r="L499">
        <f t="shared" si="60"/>
        <v>1.2758703923076924E-2</v>
      </c>
      <c r="M499">
        <f t="shared" si="61"/>
        <v>4.9990774615384622E-3</v>
      </c>
      <c r="N499">
        <f t="shared" si="62"/>
        <v>1.0093726923076923E-2</v>
      </c>
      <c r="O499">
        <f t="shared" si="63"/>
        <v>7.546402192307693E-3</v>
      </c>
      <c r="P499">
        <f t="shared" si="59"/>
        <v>9.413925757117477</v>
      </c>
      <c r="R499">
        <f t="shared" si="64"/>
        <v>-1.0086953841476878E-3</v>
      </c>
    </row>
    <row r="500" spans="1:19" x14ac:dyDescent="0.2">
      <c r="A500" t="s">
        <v>511</v>
      </c>
      <c r="B500">
        <v>5.5925679199999996</v>
      </c>
      <c r="C500">
        <v>0.10073889</v>
      </c>
      <c r="D500">
        <v>5.732272</v>
      </c>
      <c r="E500">
        <v>0.73091687000000005</v>
      </c>
      <c r="F500">
        <v>3.3024608400000002</v>
      </c>
      <c r="G500">
        <v>1.2840659999999999</v>
      </c>
      <c r="H500">
        <v>2.5706571</v>
      </c>
      <c r="I500">
        <v>1.004355E-2</v>
      </c>
      <c r="J500">
        <v>1</v>
      </c>
      <c r="K500">
        <v>950021</v>
      </c>
      <c r="L500">
        <f t="shared" si="60"/>
        <v>1.2701772461538462E-2</v>
      </c>
      <c r="M500">
        <f t="shared" si="61"/>
        <v>4.9387153846153845E-3</v>
      </c>
      <c r="N500">
        <f t="shared" si="62"/>
        <v>9.8871426923076919E-3</v>
      </c>
      <c r="O500">
        <f t="shared" si="63"/>
        <v>7.412929038461539E-3</v>
      </c>
      <c r="P500">
        <f t="shared" si="59"/>
        <v>5.7006550418100277</v>
      </c>
      <c r="R500">
        <f t="shared" si="64"/>
        <v>-4.1159016302462801E-4</v>
      </c>
    </row>
    <row r="501" spans="1:19" x14ac:dyDescent="0.2">
      <c r="A501" t="s">
        <v>512</v>
      </c>
      <c r="B501">
        <v>5.55078198</v>
      </c>
      <c r="C501">
        <v>5.2811999999999998E-2</v>
      </c>
      <c r="D501">
        <v>5.6903035800000001</v>
      </c>
      <c r="E501">
        <v>0.96797098999999998</v>
      </c>
      <c r="F501">
        <v>3.28561155</v>
      </c>
      <c r="G501">
        <v>1.2726520800000001</v>
      </c>
      <c r="H501">
        <v>2.5328083000000001</v>
      </c>
      <c r="I501">
        <v>1.022616E-2</v>
      </c>
      <c r="J501">
        <v>1</v>
      </c>
      <c r="K501">
        <v>950021</v>
      </c>
      <c r="L501">
        <f t="shared" si="60"/>
        <v>1.26369675E-2</v>
      </c>
      <c r="M501">
        <f t="shared" si="61"/>
        <v>4.8948156923076924E-3</v>
      </c>
      <c r="N501">
        <f t="shared" si="62"/>
        <v>9.7415703846153844E-3</v>
      </c>
      <c r="O501">
        <f t="shared" si="63"/>
        <v>7.3181930384615393E-3</v>
      </c>
      <c r="P501">
        <f t="shared" si="59"/>
        <v>2.9885478594023738</v>
      </c>
      <c r="R501">
        <f t="shared" si="64"/>
        <v>-8.0296818979893347E-5</v>
      </c>
    </row>
    <row r="502" spans="1:19" x14ac:dyDescent="0.2">
      <c r="A502" t="s">
        <v>513</v>
      </c>
      <c r="B502">
        <v>5.5372858999999996</v>
      </c>
      <c r="C502">
        <v>5.0831550000000003E-2</v>
      </c>
      <c r="D502">
        <v>5.6805791899999996</v>
      </c>
      <c r="E502">
        <v>1.0864980500000001</v>
      </c>
      <c r="F502">
        <v>3.2654553900000001</v>
      </c>
      <c r="G502">
        <v>1.2693230200000001</v>
      </c>
      <c r="H502">
        <v>2.5218989399999998</v>
      </c>
      <c r="I502">
        <v>1.022616E-2</v>
      </c>
      <c r="J502">
        <v>1</v>
      </c>
      <c r="K502">
        <v>950021</v>
      </c>
      <c r="L502">
        <f t="shared" si="60"/>
        <v>1.2559443807692307E-2</v>
      </c>
      <c r="M502">
        <f t="shared" si="61"/>
        <v>4.882011615384616E-3</v>
      </c>
      <c r="N502">
        <f t="shared" si="62"/>
        <v>9.6996113076923077E-3</v>
      </c>
      <c r="O502">
        <f t="shared" si="63"/>
        <v>7.2908114615384606E-3</v>
      </c>
      <c r="P502">
        <f t="shared" si="59"/>
        <v>2.8764773146747848</v>
      </c>
      <c r="R502">
        <f t="shared" si="64"/>
        <v>1.7653945360400155E-4</v>
      </c>
    </row>
    <row r="503" spans="1:19" x14ac:dyDescent="0.2">
      <c r="A503" t="s">
        <v>514</v>
      </c>
      <c r="B503">
        <v>5.5554537000000002</v>
      </c>
      <c r="C503">
        <v>0.10800054000000001</v>
      </c>
      <c r="D503">
        <v>5.7010515899999996</v>
      </c>
      <c r="E503">
        <v>1.0864980500000001</v>
      </c>
      <c r="F503">
        <v>3.2457716400000001</v>
      </c>
      <c r="G503">
        <v>1.2693230200000001</v>
      </c>
      <c r="H503">
        <v>2.54232616</v>
      </c>
      <c r="I503">
        <v>1.004355E-2</v>
      </c>
      <c r="J503">
        <v>1</v>
      </c>
      <c r="K503">
        <v>950021</v>
      </c>
      <c r="L503">
        <f t="shared" si="60"/>
        <v>1.2483737076923077E-2</v>
      </c>
      <c r="M503">
        <f t="shared" si="61"/>
        <v>4.882011615384616E-3</v>
      </c>
      <c r="N503">
        <f t="shared" si="62"/>
        <v>9.7781775384615383E-3</v>
      </c>
      <c r="O503">
        <f t="shared" si="63"/>
        <v>7.3300945769230767E-3</v>
      </c>
      <c r="P503">
        <f t="shared" si="59"/>
        <v>6.1115803724778548</v>
      </c>
      <c r="R503">
        <f t="shared" si="64"/>
        <v>7.9637118218385137E-4</v>
      </c>
    </row>
    <row r="504" spans="1:19" x14ac:dyDescent="0.2">
      <c r="A504" t="s">
        <v>515</v>
      </c>
      <c r="B504">
        <v>5.5959419400000003</v>
      </c>
      <c r="C504">
        <v>0.18853884000000001</v>
      </c>
      <c r="D504">
        <v>5.7414845799999998</v>
      </c>
      <c r="E504">
        <v>1.0272345199999999</v>
      </c>
      <c r="F504">
        <v>3.2341188600000002</v>
      </c>
      <c r="G504">
        <v>1.2757093799999999</v>
      </c>
      <c r="H504">
        <v>2.5852956800000002</v>
      </c>
      <c r="I504">
        <v>1.004355E-2</v>
      </c>
      <c r="J504">
        <v>1</v>
      </c>
      <c r="K504">
        <v>950022</v>
      </c>
      <c r="L504">
        <f t="shared" si="60"/>
        <v>1.2438918692307692E-2</v>
      </c>
      <c r="M504">
        <f t="shared" si="61"/>
        <v>4.9065745384615379E-3</v>
      </c>
      <c r="N504">
        <f t="shared" si="62"/>
        <v>9.9434449230769231E-3</v>
      </c>
      <c r="O504">
        <f t="shared" si="63"/>
        <v>7.4250097307692314E-3</v>
      </c>
      <c r="P504">
        <f t="shared" si="59"/>
        <v>10.669115858066476</v>
      </c>
      <c r="Q504">
        <f t="shared" ref="Q504" si="67">ABS(0.5*(SUMPRODUCT(O504:O522,P505:P523)+O523*P504-(SUMPRODUCT(O505:O523,P504:P522)+O504*P523)))</f>
        <v>5.1535101611832612E-3</v>
      </c>
      <c r="R504">
        <f t="shared" si="64"/>
        <v>1.8023224572613933E-3</v>
      </c>
    </row>
    <row r="505" spans="1:19" x14ac:dyDescent="0.2">
      <c r="A505" t="s">
        <v>516</v>
      </c>
      <c r="B505">
        <v>5.6481094799999996</v>
      </c>
      <c r="C505">
        <v>0.28280825999999998</v>
      </c>
      <c r="D505">
        <v>5.7993191099999999</v>
      </c>
      <c r="E505">
        <v>0.84944392999999996</v>
      </c>
      <c r="F505">
        <v>3.22797753</v>
      </c>
      <c r="G505">
        <v>1.28943326</v>
      </c>
      <c r="H505">
        <v>2.64184624</v>
      </c>
      <c r="I505">
        <v>9.8609400000000003E-3</v>
      </c>
      <c r="J505">
        <v>1</v>
      </c>
      <c r="K505">
        <v>950022</v>
      </c>
      <c r="L505">
        <f t="shared" si="60"/>
        <v>1.2415298192307692E-2</v>
      </c>
      <c r="M505">
        <f t="shared" si="61"/>
        <v>4.9593586923076926E-3</v>
      </c>
      <c r="N505">
        <f t="shared" si="62"/>
        <v>1.0160947076923077E-2</v>
      </c>
      <c r="O505">
        <f t="shared" si="63"/>
        <v>7.560152884615385E-3</v>
      </c>
      <c r="P505">
        <f t="shared" si="59"/>
        <v>16.003673787099711</v>
      </c>
      <c r="R505">
        <f t="shared" si="64"/>
        <v>2.8997072655762828E-3</v>
      </c>
    </row>
    <row r="506" spans="1:19" x14ac:dyDescent="0.2">
      <c r="A506" t="s">
        <v>517</v>
      </c>
      <c r="B506">
        <v>5.7106586200000002</v>
      </c>
      <c r="C506">
        <v>0.39120489000000003</v>
      </c>
      <c r="D506">
        <v>5.8632953600000004</v>
      </c>
      <c r="E506">
        <v>0.67165333999999999</v>
      </c>
      <c r="F506">
        <v>3.22703271</v>
      </c>
      <c r="G506">
        <v>1.30499152</v>
      </c>
      <c r="H506">
        <v>2.7053543000000002</v>
      </c>
      <c r="I506">
        <v>9.8609400000000003E-3</v>
      </c>
      <c r="J506">
        <v>1</v>
      </c>
      <c r="K506">
        <v>950022</v>
      </c>
      <c r="L506">
        <f t="shared" si="60"/>
        <v>1.2411664269230769E-2</v>
      </c>
      <c r="M506">
        <f t="shared" si="61"/>
        <v>5.0191981538461536E-3</v>
      </c>
      <c r="N506">
        <f t="shared" si="62"/>
        <v>1.0405208846153848E-2</v>
      </c>
      <c r="O506">
        <f t="shared" si="63"/>
        <v>7.7122035000000005E-3</v>
      </c>
      <c r="P506">
        <f t="shared" si="59"/>
        <v>22.137668268523086</v>
      </c>
      <c r="R506">
        <f t="shared" si="64"/>
        <v>3.8190114283112595E-3</v>
      </c>
      <c r="S506">
        <f>ABS(SUMIFS($R:$R,$K:$K,K506))</f>
        <v>5.150805095048297E-3</v>
      </c>
    </row>
    <row r="507" spans="1:19" x14ac:dyDescent="0.2">
      <c r="A507" t="s">
        <v>518</v>
      </c>
      <c r="B507">
        <v>5.77320776</v>
      </c>
      <c r="C507">
        <v>0.52455518999999995</v>
      </c>
      <c r="D507">
        <v>5.93546057</v>
      </c>
      <c r="E507">
        <v>0.61238981000000003</v>
      </c>
      <c r="F507">
        <v>3.2336464500000002</v>
      </c>
      <c r="G507">
        <v>1.3194627400000001</v>
      </c>
      <c r="H507">
        <v>2.7675265200000001</v>
      </c>
      <c r="I507">
        <v>9.8609400000000003E-3</v>
      </c>
      <c r="J507">
        <v>1</v>
      </c>
      <c r="K507">
        <v>950022</v>
      </c>
      <c r="L507">
        <f t="shared" si="60"/>
        <v>1.2437101730769231E-2</v>
      </c>
      <c r="M507">
        <f t="shared" si="61"/>
        <v>5.0748566923076929E-3</v>
      </c>
      <c r="N507">
        <f t="shared" si="62"/>
        <v>1.0644332769230769E-2</v>
      </c>
      <c r="O507">
        <f t="shared" si="63"/>
        <v>7.8595947307692308E-3</v>
      </c>
      <c r="P507">
        <f t="shared" si="59"/>
        <v>29.683751613514076</v>
      </c>
      <c r="R507">
        <f t="shared" si="64"/>
        <v>4.4299869055153063E-3</v>
      </c>
    </row>
    <row r="508" spans="1:19" x14ac:dyDescent="0.2">
      <c r="A508" t="s">
        <v>519</v>
      </c>
      <c r="B508">
        <v>5.8318637999999998</v>
      </c>
      <c r="C508">
        <v>0.70385193000000001</v>
      </c>
      <c r="D508">
        <v>6.0025076799999999</v>
      </c>
      <c r="E508">
        <v>0.47410824000000001</v>
      </c>
      <c r="F508">
        <v>3.2486060999999999</v>
      </c>
      <c r="G508">
        <v>1.32985756</v>
      </c>
      <c r="H508">
        <v>2.8234091600000002</v>
      </c>
      <c r="I508">
        <v>9.6783300000000006E-3</v>
      </c>
      <c r="J508">
        <v>1</v>
      </c>
      <c r="K508">
        <v>950022</v>
      </c>
      <c r="L508">
        <f t="shared" si="60"/>
        <v>1.2494638846153846E-2</v>
      </c>
      <c r="M508">
        <f t="shared" si="61"/>
        <v>5.1148367692307696E-3</v>
      </c>
      <c r="N508">
        <f t="shared" si="62"/>
        <v>1.0859266000000001E-2</v>
      </c>
      <c r="O508">
        <f t="shared" si="63"/>
        <v>7.9870513846153849E-3</v>
      </c>
      <c r="P508">
        <f t="shared" si="59"/>
        <v>39.829871596185136</v>
      </c>
      <c r="R508">
        <f t="shared" si="64"/>
        <v>2.8010499380181106E-3</v>
      </c>
    </row>
    <row r="509" spans="1:19" x14ac:dyDescent="0.2">
      <c r="A509" t="s">
        <v>520</v>
      </c>
      <c r="B509">
        <v>5.8700161800000004</v>
      </c>
      <c r="C509">
        <v>0.82716794999999999</v>
      </c>
      <c r="D509">
        <v>6.0398698099999999</v>
      </c>
      <c r="E509">
        <v>0.47410824000000001</v>
      </c>
      <c r="F509">
        <v>3.2615186399999998</v>
      </c>
      <c r="G509">
        <v>1.3354286399999999</v>
      </c>
      <c r="H509">
        <v>2.8514618</v>
      </c>
      <c r="I509">
        <v>9.6783300000000006E-3</v>
      </c>
      <c r="J509">
        <v>1</v>
      </c>
      <c r="K509">
        <v>950022</v>
      </c>
      <c r="L509">
        <f t="shared" si="60"/>
        <v>1.254430246153846E-2</v>
      </c>
      <c r="M509">
        <f t="shared" si="61"/>
        <v>5.1362639999999998E-3</v>
      </c>
      <c r="N509">
        <f t="shared" si="62"/>
        <v>1.0967160769230769E-2</v>
      </c>
      <c r="O509">
        <f t="shared" si="63"/>
        <v>8.0517123846153837E-3</v>
      </c>
      <c r="P509">
        <f t="shared" si="59"/>
        <v>46.808130847889679</v>
      </c>
      <c r="R509">
        <f t="shared" si="64"/>
        <v>9.4513557242070518E-4</v>
      </c>
    </row>
    <row r="510" spans="1:19" x14ac:dyDescent="0.2">
      <c r="A510" t="s">
        <v>521</v>
      </c>
      <c r="B510">
        <v>5.88013824</v>
      </c>
      <c r="C510">
        <v>0.85502628000000003</v>
      </c>
      <c r="D510">
        <v>6.0526650599999998</v>
      </c>
      <c r="E510">
        <v>0.41484471000000001</v>
      </c>
      <c r="F510">
        <v>3.2769507</v>
      </c>
      <c r="G510">
        <v>1.33712714</v>
      </c>
      <c r="H510">
        <v>2.8600891000000002</v>
      </c>
      <c r="I510">
        <v>9.6783300000000006E-3</v>
      </c>
      <c r="J510">
        <v>1</v>
      </c>
      <c r="K510">
        <v>950022</v>
      </c>
      <c r="L510">
        <f t="shared" si="60"/>
        <v>1.2603656538461539E-2</v>
      </c>
      <c r="M510">
        <f t="shared" si="61"/>
        <v>5.1427966923076919E-3</v>
      </c>
      <c r="N510">
        <f t="shared" si="62"/>
        <v>1.1000342692307694E-2</v>
      </c>
      <c r="O510">
        <f t="shared" si="63"/>
        <v>8.0715696923076927E-3</v>
      </c>
      <c r="P510">
        <f t="shared" si="59"/>
        <v>48.384589843724434</v>
      </c>
      <c r="R510">
        <f t="shared" si="64"/>
        <v>2.6399401554288385E-4</v>
      </c>
    </row>
    <row r="511" spans="1:19" x14ac:dyDescent="0.2">
      <c r="A511" t="s">
        <v>522</v>
      </c>
      <c r="B511">
        <v>5.8824740999999996</v>
      </c>
      <c r="C511">
        <v>0.85463018999999996</v>
      </c>
      <c r="D511">
        <v>6.0526650599999998</v>
      </c>
      <c r="E511">
        <v>0.41484471000000001</v>
      </c>
      <c r="F511">
        <v>3.2933275800000001</v>
      </c>
      <c r="G511">
        <v>1.3377386</v>
      </c>
      <c r="H511">
        <v>2.8623154999999998</v>
      </c>
      <c r="I511">
        <v>9.8609400000000003E-3</v>
      </c>
      <c r="J511">
        <v>1</v>
      </c>
      <c r="K511">
        <v>950022</v>
      </c>
      <c r="L511">
        <f t="shared" si="60"/>
        <v>1.2666644538461539E-2</v>
      </c>
      <c r="M511">
        <f t="shared" si="61"/>
        <v>5.1451484615384615E-3</v>
      </c>
      <c r="N511">
        <f t="shared" si="62"/>
        <v>1.1008905769230769E-2</v>
      </c>
      <c r="O511">
        <f t="shared" si="63"/>
        <v>8.0770271153846156E-3</v>
      </c>
      <c r="P511">
        <f t="shared" si="59"/>
        <v>48.362175734778916</v>
      </c>
      <c r="R511">
        <f t="shared" si="64"/>
        <v>-1.367024064756428E-4</v>
      </c>
    </row>
    <row r="512" spans="1:19" x14ac:dyDescent="0.2">
      <c r="A512" t="s">
        <v>523</v>
      </c>
      <c r="B512">
        <v>5.8770237600000002</v>
      </c>
      <c r="C512">
        <v>0.81713367000000003</v>
      </c>
      <c r="D512">
        <v>6.04754696</v>
      </c>
      <c r="E512">
        <v>0.41484471000000001</v>
      </c>
      <c r="F512">
        <v>3.3076573499999999</v>
      </c>
      <c r="G512">
        <v>1.3377386</v>
      </c>
      <c r="H512">
        <v>2.86081268</v>
      </c>
      <c r="I512">
        <v>1.004355E-2</v>
      </c>
      <c r="J512">
        <v>1</v>
      </c>
      <c r="K512">
        <v>950022</v>
      </c>
      <c r="L512">
        <f t="shared" si="60"/>
        <v>1.2721759038461539E-2</v>
      </c>
      <c r="M512">
        <f t="shared" si="61"/>
        <v>5.1451484615384615E-3</v>
      </c>
      <c r="N512">
        <f t="shared" si="62"/>
        <v>1.1003125692307693E-2</v>
      </c>
      <c r="O512">
        <f t="shared" si="63"/>
        <v>8.0741370769230776E-3</v>
      </c>
      <c r="P512">
        <f t="shared" si="59"/>
        <v>46.240306754603232</v>
      </c>
      <c r="R512">
        <f t="shared" si="64"/>
        <v>-1.0369184804086755E-3</v>
      </c>
    </row>
    <row r="513" spans="1:19" x14ac:dyDescent="0.2">
      <c r="A513" t="s">
        <v>524</v>
      </c>
      <c r="B513">
        <v>5.8627490599999996</v>
      </c>
      <c r="C513">
        <v>0.70226756999999995</v>
      </c>
      <c r="D513">
        <v>6.0367989499999997</v>
      </c>
      <c r="E513">
        <v>0.41484471000000001</v>
      </c>
      <c r="F513">
        <v>3.3186802499999999</v>
      </c>
      <c r="G513">
        <v>1.3379424200000001</v>
      </c>
      <c r="H513">
        <v>2.84806654</v>
      </c>
      <c r="I513">
        <v>9.8609400000000003E-3</v>
      </c>
      <c r="J513">
        <v>1</v>
      </c>
      <c r="K513">
        <v>950022</v>
      </c>
      <c r="L513">
        <f t="shared" si="60"/>
        <v>1.2764154807692307E-2</v>
      </c>
      <c r="M513">
        <f t="shared" si="61"/>
        <v>5.1459323846153853E-3</v>
      </c>
      <c r="N513">
        <f t="shared" si="62"/>
        <v>1.0954102076923078E-2</v>
      </c>
      <c r="O513">
        <f t="shared" si="63"/>
        <v>8.0500172307692314E-3</v>
      </c>
      <c r="P513">
        <f t="shared" si="59"/>
        <v>39.740215160403061</v>
      </c>
      <c r="R513">
        <f t="shared" si="64"/>
        <v>-1.0720212552219005E-3</v>
      </c>
    </row>
    <row r="514" spans="1:19" x14ac:dyDescent="0.2">
      <c r="A514" t="s">
        <v>525</v>
      </c>
      <c r="B514">
        <v>5.8453598800000002</v>
      </c>
      <c r="C514">
        <v>0.61037469</v>
      </c>
      <c r="D514">
        <v>6.0147911199999999</v>
      </c>
      <c r="E514">
        <v>0.41484471000000001</v>
      </c>
      <c r="F514">
        <v>3.3282859199999999</v>
      </c>
      <c r="G514">
        <v>1.3377386</v>
      </c>
      <c r="H514">
        <v>2.8332609799999999</v>
      </c>
      <c r="I514">
        <v>9.8609400000000003E-3</v>
      </c>
      <c r="J514">
        <v>1</v>
      </c>
      <c r="K514">
        <v>950022</v>
      </c>
      <c r="L514">
        <f t="shared" si="60"/>
        <v>1.2801099692307692E-2</v>
      </c>
      <c r="M514">
        <f t="shared" si="61"/>
        <v>5.1451484615384615E-3</v>
      </c>
      <c r="N514">
        <f t="shared" si="62"/>
        <v>1.0897157615384616E-2</v>
      </c>
      <c r="O514">
        <f t="shared" si="63"/>
        <v>8.0211530384615391E-3</v>
      </c>
      <c r="P514">
        <f t="shared" si="59"/>
        <v>34.540141885042935</v>
      </c>
      <c r="R514">
        <f t="shared" si="64"/>
        <v>-1.2464021068568946E-3</v>
      </c>
    </row>
    <row r="515" spans="1:19" x14ac:dyDescent="0.2">
      <c r="A515" t="s">
        <v>526</v>
      </c>
      <c r="B515">
        <v>5.8264134600000004</v>
      </c>
      <c r="C515">
        <v>0.52336691999999996</v>
      </c>
      <c r="D515">
        <v>5.98971243</v>
      </c>
      <c r="E515">
        <v>0.41484471000000001</v>
      </c>
      <c r="F515">
        <v>3.3374191799999999</v>
      </c>
      <c r="G515">
        <v>1.3377386</v>
      </c>
      <c r="H515">
        <v>2.8130563999999998</v>
      </c>
      <c r="I515">
        <v>9.8609400000000003E-3</v>
      </c>
      <c r="J515">
        <v>1</v>
      </c>
      <c r="K515">
        <v>950022</v>
      </c>
      <c r="L515">
        <f t="shared" si="60"/>
        <v>1.2836227615384615E-2</v>
      </c>
      <c r="M515">
        <f t="shared" si="61"/>
        <v>5.1451484615384615E-3</v>
      </c>
      <c r="N515">
        <f t="shared" si="62"/>
        <v>1.0819447692307691E-2</v>
      </c>
      <c r="O515">
        <f t="shared" si="63"/>
        <v>7.9822980769230761E-3</v>
      </c>
      <c r="P515">
        <f t="shared" ref="P515:P578" si="68">+C515*4/(PI()*0.15^2)</f>
        <v>29.616509286677523</v>
      </c>
      <c r="R515">
        <f t="shared" si="64"/>
        <v>-2.0110727061339703E-3</v>
      </c>
    </row>
    <row r="516" spans="1:19" x14ac:dyDescent="0.2">
      <c r="A516" t="s">
        <v>527</v>
      </c>
      <c r="B516">
        <v>5.7913755599999996</v>
      </c>
      <c r="C516">
        <v>0.42104366999999998</v>
      </c>
      <c r="D516">
        <v>5.9477440100000001</v>
      </c>
      <c r="E516">
        <v>0.41484471000000001</v>
      </c>
      <c r="F516">
        <v>3.33694677</v>
      </c>
      <c r="G516">
        <v>1.3333904400000001</v>
      </c>
      <c r="H516">
        <v>2.7782689</v>
      </c>
      <c r="I516">
        <v>9.8609400000000003E-3</v>
      </c>
      <c r="J516">
        <v>1</v>
      </c>
      <c r="K516">
        <v>950022</v>
      </c>
      <c r="L516">
        <f t="shared" ref="L516:L579" si="69">+F516/260</f>
        <v>1.2834410653846154E-2</v>
      </c>
      <c r="M516">
        <f t="shared" ref="M516:M579" si="70">+G516/260</f>
        <v>5.1284247692307697E-3</v>
      </c>
      <c r="N516">
        <f t="shared" ref="N516:N579" si="71">+H516/260</f>
        <v>1.0685649615384615E-2</v>
      </c>
      <c r="O516">
        <f t="shared" ref="O516:O579" si="72">(+G516+H516)/520</f>
        <v>7.9070371923076928E-3</v>
      </c>
      <c r="P516">
        <f t="shared" si="68"/>
        <v>23.826197809085425</v>
      </c>
      <c r="R516">
        <f t="shared" ref="R516:R579" si="73">+(P516+P517)/2*(O517-O516)</f>
        <v>-2.2580042555276005E-3</v>
      </c>
    </row>
    <row r="517" spans="1:19" x14ac:dyDescent="0.2">
      <c r="A517" t="s">
        <v>528</v>
      </c>
      <c r="B517">
        <v>5.7464751400000003</v>
      </c>
      <c r="C517">
        <v>0.32558598</v>
      </c>
      <c r="D517">
        <v>5.8960511999999996</v>
      </c>
      <c r="E517">
        <v>0.41484471000000001</v>
      </c>
      <c r="F517">
        <v>3.33647436</v>
      </c>
      <c r="G517">
        <v>1.3248979400000001</v>
      </c>
      <c r="H517">
        <v>2.73118054</v>
      </c>
      <c r="I517">
        <v>9.6783300000000006E-3</v>
      </c>
      <c r="J517">
        <v>1</v>
      </c>
      <c r="K517">
        <v>950022</v>
      </c>
      <c r="L517">
        <f t="shared" si="69"/>
        <v>1.2832593692307692E-2</v>
      </c>
      <c r="M517">
        <f t="shared" si="70"/>
        <v>5.0957613076923081E-3</v>
      </c>
      <c r="N517">
        <f t="shared" si="71"/>
        <v>1.0504540538461539E-2</v>
      </c>
      <c r="O517">
        <f t="shared" si="72"/>
        <v>7.8001509230769235E-3</v>
      </c>
      <c r="P517">
        <f t="shared" si="68"/>
        <v>18.424397553215634</v>
      </c>
      <c r="R517">
        <f t="shared" si="73"/>
        <v>-1.9817851868280333E-3</v>
      </c>
    </row>
    <row r="518" spans="1:19" x14ac:dyDescent="0.2">
      <c r="A518" t="s">
        <v>529</v>
      </c>
      <c r="B518">
        <v>5.6948266800000003</v>
      </c>
      <c r="C518">
        <v>0.24174693</v>
      </c>
      <c r="D518">
        <v>5.8417993399999997</v>
      </c>
      <c r="E518">
        <v>0.41484471000000001</v>
      </c>
      <c r="F518">
        <v>3.3308054399999998</v>
      </c>
      <c r="G518">
        <v>1.3136878400000001</v>
      </c>
      <c r="H518">
        <v>2.6781922200000001</v>
      </c>
      <c r="I518">
        <v>9.8609400000000003E-3</v>
      </c>
      <c r="J518">
        <v>1</v>
      </c>
      <c r="K518">
        <v>950022</v>
      </c>
      <c r="L518">
        <f t="shared" si="69"/>
        <v>1.2810790153846154E-2</v>
      </c>
      <c r="M518">
        <f t="shared" si="70"/>
        <v>5.052645538461539E-3</v>
      </c>
      <c r="N518">
        <f t="shared" si="71"/>
        <v>1.0300739307692309E-2</v>
      </c>
      <c r="O518">
        <f t="shared" si="72"/>
        <v>7.676692423076923E-3</v>
      </c>
      <c r="P518">
        <f t="shared" si="68"/>
        <v>13.680077826414367</v>
      </c>
      <c r="R518">
        <f t="shared" si="73"/>
        <v>-1.5415229627389374E-3</v>
      </c>
    </row>
    <row r="519" spans="1:19" x14ac:dyDescent="0.2">
      <c r="A519" t="s">
        <v>530</v>
      </c>
      <c r="B519">
        <v>5.6465522400000001</v>
      </c>
      <c r="C519">
        <v>0.1663578</v>
      </c>
      <c r="D519">
        <v>5.7855002400000002</v>
      </c>
      <c r="E519">
        <v>0.41484471000000001</v>
      </c>
      <c r="F519">
        <v>3.3191526599999999</v>
      </c>
      <c r="G519">
        <v>1.2991486800000001</v>
      </c>
      <c r="H519">
        <v>2.62331146</v>
      </c>
      <c r="I519">
        <v>1.004355E-2</v>
      </c>
      <c r="J519">
        <v>1</v>
      </c>
      <c r="K519">
        <v>950022</v>
      </c>
      <c r="L519">
        <f t="shared" si="69"/>
        <v>1.2765971769230769E-2</v>
      </c>
      <c r="M519">
        <f t="shared" si="70"/>
        <v>4.9967256923076925E-3</v>
      </c>
      <c r="N519">
        <f t="shared" si="71"/>
        <v>1.0089659461538461E-2</v>
      </c>
      <c r="O519">
        <f t="shared" si="72"/>
        <v>7.5431925769230768E-3</v>
      </c>
      <c r="P519">
        <f t="shared" si="68"/>
        <v>9.413925757117477</v>
      </c>
      <c r="R519">
        <f t="shared" si="73"/>
        <v>-9.9714575530741628E-4</v>
      </c>
    </row>
    <row r="520" spans="1:19" x14ac:dyDescent="0.2">
      <c r="A520" t="s">
        <v>531</v>
      </c>
      <c r="B520">
        <v>5.5925679199999996</v>
      </c>
      <c r="C520">
        <v>0.10113498</v>
      </c>
      <c r="D520">
        <v>5.732272</v>
      </c>
      <c r="E520">
        <v>0.61238981000000003</v>
      </c>
      <c r="F520">
        <v>3.3010436099999998</v>
      </c>
      <c r="G520">
        <v>1.28379424</v>
      </c>
      <c r="H520">
        <v>2.5701561599999998</v>
      </c>
      <c r="I520">
        <v>9.8609400000000003E-3</v>
      </c>
      <c r="J520">
        <v>1</v>
      </c>
      <c r="K520">
        <v>950022</v>
      </c>
      <c r="L520">
        <f t="shared" si="69"/>
        <v>1.2696321576923075E-2</v>
      </c>
      <c r="M520">
        <f t="shared" si="70"/>
        <v>4.9376701538461536E-3</v>
      </c>
      <c r="N520">
        <f t="shared" si="71"/>
        <v>9.8852159999999988E-3</v>
      </c>
      <c r="O520">
        <f t="shared" si="72"/>
        <v>7.4114430769230757E-3</v>
      </c>
      <c r="P520">
        <f t="shared" si="68"/>
        <v>5.7230691507555456</v>
      </c>
      <c r="R520">
        <f t="shared" si="73"/>
        <v>-4.107710761953399E-4</v>
      </c>
    </row>
    <row r="521" spans="1:19" x14ac:dyDescent="0.2">
      <c r="A521" t="s">
        <v>532</v>
      </c>
      <c r="B521">
        <v>5.5484461200000004</v>
      </c>
      <c r="C521">
        <v>5.3604180000000001E-2</v>
      </c>
      <c r="D521">
        <v>5.6887681499999996</v>
      </c>
      <c r="E521">
        <v>1.0864980500000001</v>
      </c>
      <c r="F521">
        <v>3.2837219100000001</v>
      </c>
      <c r="G521">
        <v>1.2728558999999999</v>
      </c>
      <c r="H521">
        <v>2.5323073599999999</v>
      </c>
      <c r="I521">
        <v>1.004355E-2</v>
      </c>
      <c r="J521">
        <v>1</v>
      </c>
      <c r="K521">
        <v>950022</v>
      </c>
      <c r="L521">
        <f t="shared" si="69"/>
        <v>1.2629699653846154E-2</v>
      </c>
      <c r="M521">
        <f t="shared" si="70"/>
        <v>4.8955996153846153E-3</v>
      </c>
      <c r="N521">
        <f t="shared" si="71"/>
        <v>9.7396436923076913E-3</v>
      </c>
      <c r="O521">
        <f t="shared" si="72"/>
        <v>7.3176216538461533E-3</v>
      </c>
      <c r="P521">
        <f t="shared" si="68"/>
        <v>3.0333760772934095</v>
      </c>
      <c r="R521">
        <f t="shared" si="73"/>
        <v>-7.1753150600700451E-5</v>
      </c>
    </row>
    <row r="522" spans="1:19" x14ac:dyDescent="0.2">
      <c r="A522" t="s">
        <v>533</v>
      </c>
      <c r="B522">
        <v>5.5419576199999998</v>
      </c>
      <c r="C522">
        <v>5.320809E-2</v>
      </c>
      <c r="D522">
        <v>5.6821146200000001</v>
      </c>
      <c r="E522">
        <v>1.1457615800000001</v>
      </c>
      <c r="F522">
        <v>3.2649829800000001</v>
      </c>
      <c r="G522">
        <v>1.2695268399999999</v>
      </c>
      <c r="H522">
        <v>2.5232904399999998</v>
      </c>
      <c r="I522">
        <v>1.004355E-2</v>
      </c>
      <c r="J522">
        <v>1</v>
      </c>
      <c r="K522">
        <v>950022</v>
      </c>
      <c r="L522">
        <f t="shared" si="69"/>
        <v>1.2557626846153847E-2</v>
      </c>
      <c r="M522">
        <f t="shared" si="70"/>
        <v>4.882795538461538E-3</v>
      </c>
      <c r="N522">
        <f t="shared" si="71"/>
        <v>9.7049632307692306E-3</v>
      </c>
      <c r="O522">
        <f t="shared" si="72"/>
        <v>7.2938793846153835E-3</v>
      </c>
      <c r="P522">
        <f t="shared" si="68"/>
        <v>3.0109619683478916</v>
      </c>
      <c r="R522">
        <f t="shared" si="73"/>
        <v>1.7788330400600517E-4</v>
      </c>
    </row>
    <row r="523" spans="1:19" x14ac:dyDescent="0.2">
      <c r="A523" t="s">
        <v>534</v>
      </c>
      <c r="B523">
        <v>5.5601254200000003</v>
      </c>
      <c r="C523">
        <v>0.10918881</v>
      </c>
      <c r="D523">
        <v>5.7010515899999996</v>
      </c>
      <c r="E523">
        <v>1.1457615800000001</v>
      </c>
      <c r="F523">
        <v>3.2446693500000001</v>
      </c>
      <c r="G523">
        <v>1.2691192</v>
      </c>
      <c r="H523">
        <v>2.5438289799999998</v>
      </c>
      <c r="I523">
        <v>9.8609400000000003E-3</v>
      </c>
      <c r="J523">
        <v>1</v>
      </c>
      <c r="K523">
        <v>950022</v>
      </c>
      <c r="L523">
        <f t="shared" si="69"/>
        <v>1.2479497500000001E-2</v>
      </c>
      <c r="M523">
        <f t="shared" si="70"/>
        <v>4.8812276923076922E-3</v>
      </c>
      <c r="N523">
        <f t="shared" si="71"/>
        <v>9.7839576153846142E-3</v>
      </c>
      <c r="O523">
        <f t="shared" si="72"/>
        <v>7.3325926538461532E-3</v>
      </c>
      <c r="P523">
        <f t="shared" si="68"/>
        <v>6.1788226993144075</v>
      </c>
      <c r="R523">
        <f t="shared" si="73"/>
        <v>7.7581355069146105E-4</v>
      </c>
    </row>
    <row r="524" spans="1:19" x14ac:dyDescent="0.2">
      <c r="A524" t="s">
        <v>535</v>
      </c>
      <c r="B524">
        <v>5.5974991799999998</v>
      </c>
      <c r="C524">
        <v>0.18853884000000001</v>
      </c>
      <c r="D524">
        <v>5.7445554400000001</v>
      </c>
      <c r="E524">
        <v>1.0272345199999999</v>
      </c>
      <c r="F524">
        <v>3.2317568099999998</v>
      </c>
      <c r="G524">
        <v>1.2757093799999999</v>
      </c>
      <c r="H524">
        <v>2.5851286999999998</v>
      </c>
      <c r="I524">
        <v>9.8609400000000003E-3</v>
      </c>
      <c r="J524">
        <v>1</v>
      </c>
      <c r="K524">
        <v>950023</v>
      </c>
      <c r="L524">
        <f t="shared" si="69"/>
        <v>1.2429833884615384E-2</v>
      </c>
      <c r="M524">
        <f t="shared" si="70"/>
        <v>4.9065745384615379E-3</v>
      </c>
      <c r="N524">
        <f t="shared" si="71"/>
        <v>9.9428026923076909E-3</v>
      </c>
      <c r="O524">
        <f t="shared" si="72"/>
        <v>7.4246886153846153E-3</v>
      </c>
      <c r="P524">
        <f t="shared" si="68"/>
        <v>10.669115858066476</v>
      </c>
      <c r="Q524">
        <f t="shared" ref="Q524" si="74">ABS(0.5*(SUMPRODUCT(O524:O542,P525:P543)+O543*P524-(SUMPRODUCT(O525:O543,P524:P542)+O524*P543)))</f>
        <v>5.1864556045908561E-3</v>
      </c>
      <c r="R524">
        <f t="shared" si="73"/>
        <v>1.7953919626195244E-3</v>
      </c>
    </row>
    <row r="525" spans="1:19" x14ac:dyDescent="0.2">
      <c r="A525" t="s">
        <v>536</v>
      </c>
      <c r="B525">
        <v>5.6512239600000003</v>
      </c>
      <c r="C525">
        <v>0.28161998999999999</v>
      </c>
      <c r="D525">
        <v>5.8023899700000001</v>
      </c>
      <c r="E525">
        <v>0.90870746000000002</v>
      </c>
      <c r="F525">
        <v>3.22797753</v>
      </c>
      <c r="G525">
        <v>1.2898409</v>
      </c>
      <c r="H525">
        <v>2.6411783199999999</v>
      </c>
      <c r="I525">
        <v>9.6783300000000006E-3</v>
      </c>
      <c r="J525">
        <v>1</v>
      </c>
      <c r="K525">
        <v>950023</v>
      </c>
      <c r="L525">
        <f t="shared" si="69"/>
        <v>1.2415298192307692E-2</v>
      </c>
      <c r="M525">
        <f t="shared" si="70"/>
        <v>4.9609265384615384E-3</v>
      </c>
      <c r="N525">
        <f t="shared" si="71"/>
        <v>1.0158378153846154E-2</v>
      </c>
      <c r="O525">
        <f t="shared" si="72"/>
        <v>7.5596523461538452E-3</v>
      </c>
      <c r="P525">
        <f t="shared" si="68"/>
        <v>15.936431460263158</v>
      </c>
      <c r="R525">
        <f t="shared" si="73"/>
        <v>2.8759321219348926E-3</v>
      </c>
    </row>
    <row r="526" spans="1:19" x14ac:dyDescent="0.2">
      <c r="A526" t="s">
        <v>537</v>
      </c>
      <c r="B526">
        <v>5.7067655200000003</v>
      </c>
      <c r="C526">
        <v>0.39001661999999998</v>
      </c>
      <c r="D526">
        <v>5.8714843200000004</v>
      </c>
      <c r="E526">
        <v>0.61238981000000003</v>
      </c>
      <c r="F526">
        <v>3.2259304200000001</v>
      </c>
      <c r="G526">
        <v>1.30519534</v>
      </c>
      <c r="H526">
        <v>2.7045194000000001</v>
      </c>
      <c r="I526">
        <v>9.6783300000000006E-3</v>
      </c>
      <c r="J526">
        <v>1</v>
      </c>
      <c r="K526">
        <v>950023</v>
      </c>
      <c r="L526">
        <f t="shared" si="69"/>
        <v>1.2407424692307692E-2</v>
      </c>
      <c r="M526">
        <f t="shared" si="70"/>
        <v>5.0199820769230774E-3</v>
      </c>
      <c r="N526">
        <f t="shared" si="71"/>
        <v>1.0401997692307693E-2</v>
      </c>
      <c r="O526">
        <f t="shared" si="72"/>
        <v>7.7109898846153841E-3</v>
      </c>
      <c r="P526">
        <f t="shared" si="68"/>
        <v>22.07042594168653</v>
      </c>
      <c r="R526">
        <f t="shared" si="73"/>
        <v>3.8122226714425154E-3</v>
      </c>
    </row>
    <row r="527" spans="1:19" x14ac:dyDescent="0.2">
      <c r="A527" t="s">
        <v>538</v>
      </c>
      <c r="B527">
        <v>5.76931466</v>
      </c>
      <c r="C527">
        <v>0.52455518999999995</v>
      </c>
      <c r="D527">
        <v>5.9369959999999997</v>
      </c>
      <c r="E527">
        <v>0.53337177000000002</v>
      </c>
      <c r="F527">
        <v>3.2303395799999999</v>
      </c>
      <c r="G527">
        <v>1.3194627400000001</v>
      </c>
      <c r="H527">
        <v>2.7668585999999999</v>
      </c>
      <c r="I527">
        <v>9.8609400000000003E-3</v>
      </c>
      <c r="J527">
        <v>1</v>
      </c>
      <c r="K527">
        <v>950023</v>
      </c>
      <c r="L527">
        <f t="shared" si="69"/>
        <v>1.2424382999999999E-2</v>
      </c>
      <c r="M527">
        <f t="shared" si="70"/>
        <v>5.0748566923076929E-3</v>
      </c>
      <c r="N527">
        <f t="shared" si="71"/>
        <v>1.0641763846153845E-2</v>
      </c>
      <c r="O527">
        <f t="shared" si="72"/>
        <v>7.8583102692307682E-3</v>
      </c>
      <c r="P527">
        <f t="shared" si="68"/>
        <v>29.683751613514076</v>
      </c>
      <c r="R527">
        <f t="shared" si="73"/>
        <v>4.4781272447908301E-3</v>
      </c>
      <c r="S527">
        <f>ABS(SUMIFS($R:$R,$K:$K,K527))</f>
        <v>5.2112687183186995E-3</v>
      </c>
    </row>
    <row r="528" spans="1:19" x14ac:dyDescent="0.2">
      <c r="A528" t="s">
        <v>539</v>
      </c>
      <c r="B528">
        <v>5.8303065600000004</v>
      </c>
      <c r="C528">
        <v>0.70517222999999996</v>
      </c>
      <c r="D528">
        <v>6.0025076799999999</v>
      </c>
      <c r="E528">
        <v>0.53337177000000002</v>
      </c>
      <c r="F528">
        <v>3.2452992300000001</v>
      </c>
      <c r="G528">
        <v>1.3306728400000001</v>
      </c>
      <c r="H528">
        <v>2.8225742600000001</v>
      </c>
      <c r="I528">
        <v>9.6783300000000006E-3</v>
      </c>
      <c r="J528">
        <v>1</v>
      </c>
      <c r="K528">
        <v>950023</v>
      </c>
      <c r="L528">
        <f t="shared" si="69"/>
        <v>1.2481920115384616E-2</v>
      </c>
      <c r="M528">
        <f t="shared" si="70"/>
        <v>5.1179724615384621E-3</v>
      </c>
      <c r="N528">
        <f t="shared" si="71"/>
        <v>1.0856054846153847E-2</v>
      </c>
      <c r="O528">
        <f t="shared" si="72"/>
        <v>7.9870136538461537E-3</v>
      </c>
      <c r="P528">
        <f t="shared" si="68"/>
        <v>39.904585292670191</v>
      </c>
      <c r="R528">
        <f t="shared" si="73"/>
        <v>2.8213658878003638E-3</v>
      </c>
    </row>
    <row r="529" spans="1:18" x14ac:dyDescent="0.2">
      <c r="A529" t="s">
        <v>540</v>
      </c>
      <c r="B529">
        <v>5.8707947999999996</v>
      </c>
      <c r="C529">
        <v>0.82677186000000003</v>
      </c>
      <c r="D529">
        <v>6.0383343800000002</v>
      </c>
      <c r="E529">
        <v>0.53337177000000002</v>
      </c>
      <c r="F529">
        <v>3.2629358700000002</v>
      </c>
      <c r="G529">
        <v>1.33563246</v>
      </c>
      <c r="H529">
        <v>2.8514618</v>
      </c>
      <c r="I529">
        <v>9.6783300000000006E-3</v>
      </c>
      <c r="J529">
        <v>1</v>
      </c>
      <c r="K529">
        <v>950023</v>
      </c>
      <c r="L529">
        <f t="shared" si="69"/>
        <v>1.2549753346153847E-2</v>
      </c>
      <c r="M529">
        <f t="shared" si="70"/>
        <v>5.1370479230769235E-3</v>
      </c>
      <c r="N529">
        <f t="shared" si="71"/>
        <v>1.0967160769230769E-2</v>
      </c>
      <c r="O529">
        <f t="shared" si="72"/>
        <v>8.0521043461538461E-3</v>
      </c>
      <c r="P529">
        <f t="shared" si="68"/>
        <v>46.785716738944167</v>
      </c>
      <c r="R529">
        <f t="shared" si="73"/>
        <v>9.2560703301564626E-4</v>
      </c>
    </row>
    <row r="530" spans="1:18" x14ac:dyDescent="0.2">
      <c r="A530" t="s">
        <v>541</v>
      </c>
      <c r="B530">
        <v>5.8809168600000001</v>
      </c>
      <c r="C530">
        <v>0.85383801000000004</v>
      </c>
      <c r="D530">
        <v>6.0542004900000004</v>
      </c>
      <c r="E530">
        <v>0.53337177000000002</v>
      </c>
      <c r="F530">
        <v>3.2745886500000001</v>
      </c>
      <c r="G530">
        <v>1.33712714</v>
      </c>
      <c r="H530">
        <v>2.8600891000000002</v>
      </c>
      <c r="I530">
        <v>9.6783300000000006E-3</v>
      </c>
      <c r="J530">
        <v>1</v>
      </c>
      <c r="K530">
        <v>950023</v>
      </c>
      <c r="L530">
        <f t="shared" si="69"/>
        <v>1.259457173076923E-2</v>
      </c>
      <c r="M530">
        <f t="shared" si="70"/>
        <v>5.1427966923076919E-3</v>
      </c>
      <c r="N530">
        <f t="shared" si="71"/>
        <v>1.1000342692307694E-2</v>
      </c>
      <c r="O530">
        <f t="shared" si="72"/>
        <v>8.0715696923076927E-3</v>
      </c>
      <c r="P530">
        <f t="shared" si="68"/>
        <v>48.317347516887878</v>
      </c>
      <c r="R530">
        <f t="shared" si="73"/>
        <v>3.0709609574840251E-4</v>
      </c>
    </row>
    <row r="531" spans="1:18" x14ac:dyDescent="0.2">
      <c r="A531" t="s">
        <v>542</v>
      </c>
      <c r="B531">
        <v>5.8816954800000003</v>
      </c>
      <c r="C531">
        <v>0.85542236999999999</v>
      </c>
      <c r="D531">
        <v>6.05573592</v>
      </c>
      <c r="E531">
        <v>0.53337177000000002</v>
      </c>
      <c r="F531">
        <v>3.2898632399999999</v>
      </c>
      <c r="G531">
        <v>1.3375347799999999</v>
      </c>
      <c r="H531">
        <v>2.8629834199999999</v>
      </c>
      <c r="I531">
        <v>9.6783300000000006E-3</v>
      </c>
      <c r="J531">
        <v>1</v>
      </c>
      <c r="K531">
        <v>950023</v>
      </c>
      <c r="L531">
        <f t="shared" si="69"/>
        <v>1.2653320153846154E-2</v>
      </c>
      <c r="M531">
        <f t="shared" si="70"/>
        <v>5.1443645384615377E-3</v>
      </c>
      <c r="N531">
        <f t="shared" si="71"/>
        <v>1.1011474692307692E-2</v>
      </c>
      <c r="O531">
        <f t="shared" si="72"/>
        <v>8.0779196153846142E-3</v>
      </c>
      <c r="P531">
        <f t="shared" si="68"/>
        <v>48.407003952669953</v>
      </c>
      <c r="R531">
        <f t="shared" si="73"/>
        <v>-1.8239943057466961E-4</v>
      </c>
    </row>
    <row r="532" spans="1:18" x14ac:dyDescent="0.2">
      <c r="A532" t="s">
        <v>543</v>
      </c>
      <c r="B532">
        <v>5.88013824</v>
      </c>
      <c r="C532">
        <v>0.81752975999999999</v>
      </c>
      <c r="D532">
        <v>6.0542004900000004</v>
      </c>
      <c r="E532">
        <v>0.53337177000000002</v>
      </c>
      <c r="F532">
        <v>3.30624012</v>
      </c>
      <c r="G532">
        <v>1.3375347799999999</v>
      </c>
      <c r="H532">
        <v>2.8609796599999999</v>
      </c>
      <c r="I532">
        <v>9.6783300000000006E-3</v>
      </c>
      <c r="J532">
        <v>1</v>
      </c>
      <c r="K532">
        <v>950023</v>
      </c>
      <c r="L532">
        <f t="shared" si="69"/>
        <v>1.2716308153846154E-2</v>
      </c>
      <c r="M532">
        <f t="shared" si="70"/>
        <v>5.1443645384615377E-3</v>
      </c>
      <c r="N532">
        <f t="shared" si="71"/>
        <v>1.1003767923076923E-2</v>
      </c>
      <c r="O532">
        <f t="shared" si="72"/>
        <v>8.0740662307692314E-3</v>
      </c>
      <c r="P532">
        <f t="shared" si="68"/>
        <v>46.262720863548743</v>
      </c>
      <c r="R532">
        <f t="shared" si="73"/>
        <v>-9.9818564481709681E-4</v>
      </c>
    </row>
    <row r="533" spans="1:18" x14ac:dyDescent="0.2">
      <c r="A533" t="s">
        <v>544</v>
      </c>
      <c r="B533">
        <v>5.8643063</v>
      </c>
      <c r="C533">
        <v>0.70596440999999999</v>
      </c>
      <c r="D533">
        <v>6.0398698099999999</v>
      </c>
      <c r="E533">
        <v>0.53337177000000002</v>
      </c>
      <c r="F533">
        <v>3.3163182</v>
      </c>
      <c r="G533">
        <v>1.3377386</v>
      </c>
      <c r="H533">
        <v>2.8487344600000002</v>
      </c>
      <c r="I533">
        <v>9.6783300000000006E-3</v>
      </c>
      <c r="J533">
        <v>1</v>
      </c>
      <c r="K533">
        <v>950023</v>
      </c>
      <c r="L533">
        <f t="shared" si="69"/>
        <v>1.275507E-2</v>
      </c>
      <c r="M533">
        <f t="shared" si="70"/>
        <v>5.1451484615384615E-3</v>
      </c>
      <c r="N533">
        <f t="shared" si="71"/>
        <v>1.0956671000000001E-2</v>
      </c>
      <c r="O533">
        <f t="shared" si="72"/>
        <v>8.05090973076923E-3</v>
      </c>
      <c r="P533">
        <f t="shared" si="68"/>
        <v>39.949413510561229</v>
      </c>
      <c r="R533">
        <f t="shared" si="73"/>
        <v>-9.9885516703873581E-4</v>
      </c>
    </row>
    <row r="534" spans="1:18" x14ac:dyDescent="0.2">
      <c r="A534" t="s">
        <v>545</v>
      </c>
      <c r="B534">
        <v>5.8476957399999998</v>
      </c>
      <c r="C534">
        <v>0.61327935</v>
      </c>
      <c r="D534">
        <v>6.0214446500000003</v>
      </c>
      <c r="E534">
        <v>0.53337177000000002</v>
      </c>
      <c r="F534">
        <v>3.32497905</v>
      </c>
      <c r="G534">
        <v>1.3377386</v>
      </c>
      <c r="H534">
        <v>2.8348194599999998</v>
      </c>
      <c r="I534">
        <v>9.6783300000000006E-3</v>
      </c>
      <c r="J534">
        <v>1</v>
      </c>
      <c r="K534">
        <v>950023</v>
      </c>
      <c r="L534">
        <f t="shared" si="69"/>
        <v>1.2788380961538462E-2</v>
      </c>
      <c r="M534">
        <f t="shared" si="70"/>
        <v>5.1451484615384615E-3</v>
      </c>
      <c r="N534">
        <f t="shared" si="71"/>
        <v>1.0903151769230769E-2</v>
      </c>
      <c r="O534">
        <f t="shared" si="72"/>
        <v>8.0241501153846158E-3</v>
      </c>
      <c r="P534">
        <f t="shared" si="68"/>
        <v>34.704512017310066</v>
      </c>
      <c r="R534">
        <f t="shared" si="73"/>
        <v>-1.3504611741815228E-3</v>
      </c>
    </row>
    <row r="535" spans="1:18" x14ac:dyDescent="0.2">
      <c r="A535" t="s">
        <v>546</v>
      </c>
      <c r="B535">
        <v>5.82874932</v>
      </c>
      <c r="C535">
        <v>0.52138647000000005</v>
      </c>
      <c r="D535">
        <v>5.9963659600000003</v>
      </c>
      <c r="E535">
        <v>0.53337177000000002</v>
      </c>
      <c r="F535">
        <v>3.3341123100000001</v>
      </c>
      <c r="G535">
        <v>1.33712714</v>
      </c>
      <c r="H535">
        <v>2.81355734</v>
      </c>
      <c r="I535">
        <v>9.6783300000000006E-3</v>
      </c>
      <c r="J535">
        <v>1</v>
      </c>
      <c r="K535">
        <v>950023</v>
      </c>
      <c r="L535">
        <f t="shared" si="69"/>
        <v>1.2823508884615385E-2</v>
      </c>
      <c r="M535">
        <f t="shared" si="70"/>
        <v>5.1427966923076919E-3</v>
      </c>
      <c r="N535">
        <f t="shared" si="71"/>
        <v>1.0821374384615385E-2</v>
      </c>
      <c r="O535">
        <f t="shared" si="72"/>
        <v>7.9820855384615374E-3</v>
      </c>
      <c r="P535">
        <f t="shared" si="68"/>
        <v>29.50443874194994</v>
      </c>
      <c r="R535">
        <f t="shared" si="73"/>
        <v>-2.0540036790434157E-3</v>
      </c>
    </row>
    <row r="536" spans="1:18" x14ac:dyDescent="0.2">
      <c r="A536" t="s">
        <v>547</v>
      </c>
      <c r="B536">
        <v>5.7939709600000002</v>
      </c>
      <c r="C536">
        <v>0.41866713</v>
      </c>
      <c r="D536">
        <v>5.9523503</v>
      </c>
      <c r="E536">
        <v>0.41484471000000001</v>
      </c>
      <c r="F536">
        <v>3.3385214699999999</v>
      </c>
      <c r="G536">
        <v>1.3329827999999999</v>
      </c>
      <c r="H536">
        <v>2.7775453200000002</v>
      </c>
      <c r="I536">
        <v>9.6783300000000006E-3</v>
      </c>
      <c r="J536">
        <v>1</v>
      </c>
      <c r="K536">
        <v>950023</v>
      </c>
      <c r="L536">
        <f t="shared" si="69"/>
        <v>1.2840467192307692E-2</v>
      </c>
      <c r="M536">
        <f t="shared" si="70"/>
        <v>5.126856923076923E-3</v>
      </c>
      <c r="N536">
        <f t="shared" si="71"/>
        <v>1.0682866615384616E-2</v>
      </c>
      <c r="O536">
        <f t="shared" si="72"/>
        <v>7.9048617692307685E-3</v>
      </c>
      <c r="P536">
        <f t="shared" si="68"/>
        <v>23.691713155412319</v>
      </c>
      <c r="R536">
        <f t="shared" si="73"/>
        <v>-2.2410916366047652E-3</v>
      </c>
    </row>
    <row r="537" spans="1:18" x14ac:dyDescent="0.2">
      <c r="A537" t="s">
        <v>548</v>
      </c>
      <c r="B537">
        <v>5.7446583599999999</v>
      </c>
      <c r="C537">
        <v>0.32360552999999997</v>
      </c>
      <c r="D537">
        <v>5.90270473</v>
      </c>
      <c r="E537">
        <v>0.41484471000000001</v>
      </c>
      <c r="F537">
        <v>3.3345847200000001</v>
      </c>
      <c r="G537">
        <v>1.32469412</v>
      </c>
      <c r="H537">
        <v>2.7303456399999999</v>
      </c>
      <c r="I537">
        <v>9.6783300000000006E-3</v>
      </c>
      <c r="J537">
        <v>1</v>
      </c>
      <c r="K537">
        <v>950023</v>
      </c>
      <c r="L537">
        <f t="shared" si="69"/>
        <v>1.2825325846153847E-2</v>
      </c>
      <c r="M537">
        <f t="shared" si="70"/>
        <v>5.0949773846153843E-3</v>
      </c>
      <c r="N537">
        <f t="shared" si="71"/>
        <v>1.0501329384615385E-2</v>
      </c>
      <c r="O537">
        <f t="shared" si="72"/>
        <v>7.7981533846153842E-3</v>
      </c>
      <c r="P537">
        <f t="shared" si="68"/>
        <v>18.312327008488044</v>
      </c>
      <c r="R537">
        <f t="shared" si="73"/>
        <v>-1.9804449903568109E-3</v>
      </c>
    </row>
    <row r="538" spans="1:18" x14ac:dyDescent="0.2">
      <c r="A538" t="s">
        <v>549</v>
      </c>
      <c r="B538">
        <v>5.6971625399999999</v>
      </c>
      <c r="C538">
        <v>0.23976648</v>
      </c>
      <c r="D538">
        <v>5.8382166700000004</v>
      </c>
      <c r="E538">
        <v>0.41484471000000001</v>
      </c>
      <c r="F538">
        <v>3.3289157999999999</v>
      </c>
      <c r="G538">
        <v>1.31307638</v>
      </c>
      <c r="H538">
        <v>2.67735732</v>
      </c>
      <c r="I538">
        <v>9.6783300000000006E-3</v>
      </c>
      <c r="J538">
        <v>1</v>
      </c>
      <c r="K538">
        <v>950023</v>
      </c>
      <c r="L538">
        <f t="shared" si="69"/>
        <v>1.2803522307692307E-2</v>
      </c>
      <c r="M538">
        <f t="shared" si="70"/>
        <v>5.0502937692307693E-3</v>
      </c>
      <c r="N538">
        <f t="shared" si="71"/>
        <v>1.0297528153846155E-2</v>
      </c>
      <c r="O538">
        <f t="shared" si="72"/>
        <v>7.6739109615384616E-3</v>
      </c>
      <c r="P538">
        <f t="shared" si="68"/>
        <v>13.568007281686777</v>
      </c>
      <c r="R538">
        <f t="shared" si="73"/>
        <v>-1.5235712563292747E-3</v>
      </c>
    </row>
    <row r="539" spans="1:18" x14ac:dyDescent="0.2">
      <c r="A539" t="s">
        <v>550</v>
      </c>
      <c r="B539">
        <v>5.6481094799999996</v>
      </c>
      <c r="C539">
        <v>0.16477343999999999</v>
      </c>
      <c r="D539">
        <v>5.7855002400000002</v>
      </c>
      <c r="E539">
        <v>0.41484471000000001</v>
      </c>
      <c r="F539">
        <v>3.3186802499999999</v>
      </c>
      <c r="G539">
        <v>1.2987410399999999</v>
      </c>
      <c r="H539">
        <v>2.62247656</v>
      </c>
      <c r="I539">
        <v>9.6783300000000006E-3</v>
      </c>
      <c r="J539">
        <v>1</v>
      </c>
      <c r="K539">
        <v>950023</v>
      </c>
      <c r="L539">
        <f t="shared" si="69"/>
        <v>1.2764154807692307E-2</v>
      </c>
      <c r="M539">
        <f t="shared" si="70"/>
        <v>4.9951578461538458E-3</v>
      </c>
      <c r="N539">
        <f t="shared" si="71"/>
        <v>1.0086448307692307E-2</v>
      </c>
      <c r="O539">
        <f t="shared" si="72"/>
        <v>7.5408030769230769E-3</v>
      </c>
      <c r="P539">
        <f t="shared" si="68"/>
        <v>9.3242693213354055</v>
      </c>
      <c r="R539">
        <f t="shared" si="73"/>
        <v>-9.8387427777889475E-4</v>
      </c>
    </row>
    <row r="540" spans="1:18" x14ac:dyDescent="0.2">
      <c r="A540" t="s">
        <v>551</v>
      </c>
      <c r="B540">
        <v>5.5936060799999998</v>
      </c>
      <c r="C540">
        <v>9.9946709999999994E-2</v>
      </c>
      <c r="D540">
        <v>5.7292011399999998</v>
      </c>
      <c r="E540">
        <v>0.73091687000000005</v>
      </c>
      <c r="F540">
        <v>3.3010436099999998</v>
      </c>
      <c r="G540">
        <v>1.2835904199999999</v>
      </c>
      <c r="H540">
        <v>2.5693212600000002</v>
      </c>
      <c r="I540">
        <v>9.6783300000000006E-3</v>
      </c>
      <c r="J540">
        <v>1</v>
      </c>
      <c r="K540">
        <v>950023</v>
      </c>
      <c r="L540">
        <f t="shared" si="69"/>
        <v>1.2696321576923075E-2</v>
      </c>
      <c r="M540">
        <f t="shared" si="70"/>
        <v>4.9368862307692307E-3</v>
      </c>
      <c r="N540">
        <f t="shared" si="71"/>
        <v>9.8820048461538464E-3</v>
      </c>
      <c r="O540">
        <f t="shared" si="72"/>
        <v>7.409445538461539E-3</v>
      </c>
      <c r="P540">
        <f t="shared" si="68"/>
        <v>5.6558268239189919</v>
      </c>
      <c r="R540">
        <f t="shared" si="73"/>
        <v>-3.9960763095778115E-4</v>
      </c>
    </row>
    <row r="541" spans="1:18" x14ac:dyDescent="0.2">
      <c r="A541" t="s">
        <v>552</v>
      </c>
      <c r="B541">
        <v>5.5515606000000002</v>
      </c>
      <c r="C541">
        <v>5.320809E-2</v>
      </c>
      <c r="D541">
        <v>5.6933744400000004</v>
      </c>
      <c r="E541">
        <v>1.0272345199999999</v>
      </c>
      <c r="F541">
        <v>3.2807299799999998</v>
      </c>
      <c r="G541">
        <v>1.2726520800000001</v>
      </c>
      <c r="H541">
        <v>2.5323073599999999</v>
      </c>
      <c r="I541">
        <v>9.8609400000000003E-3</v>
      </c>
      <c r="J541">
        <v>1</v>
      </c>
      <c r="K541">
        <v>950023</v>
      </c>
      <c r="L541">
        <f t="shared" si="69"/>
        <v>1.261819223076923E-2</v>
      </c>
      <c r="M541">
        <f t="shared" si="70"/>
        <v>4.8948156923076924E-3</v>
      </c>
      <c r="N541">
        <f t="shared" si="71"/>
        <v>9.7396436923076913E-3</v>
      </c>
      <c r="O541">
        <f t="shared" si="72"/>
        <v>7.3172296923076927E-3</v>
      </c>
      <c r="P541">
        <f t="shared" si="68"/>
        <v>3.0109619683478916</v>
      </c>
      <c r="R541">
        <f t="shared" si="73"/>
        <v>-7.6432628752885561E-5</v>
      </c>
    </row>
    <row r="542" spans="1:18" x14ac:dyDescent="0.2">
      <c r="A542" t="s">
        <v>553</v>
      </c>
      <c r="B542">
        <v>5.5411789999999996</v>
      </c>
      <c r="C542">
        <v>5.0303430000000003E-2</v>
      </c>
      <c r="D542">
        <v>5.6790437599999999</v>
      </c>
      <c r="E542">
        <v>1.20502511</v>
      </c>
      <c r="F542">
        <v>3.2640381600000001</v>
      </c>
      <c r="G542">
        <v>1.2693230200000001</v>
      </c>
      <c r="H542">
        <v>2.5220659200000002</v>
      </c>
      <c r="I542">
        <v>9.8609400000000003E-3</v>
      </c>
      <c r="J542">
        <v>1</v>
      </c>
      <c r="K542">
        <v>950023</v>
      </c>
      <c r="L542">
        <f t="shared" si="69"/>
        <v>1.2553992923076924E-2</v>
      </c>
      <c r="M542">
        <f t="shared" si="70"/>
        <v>4.882011615384616E-3</v>
      </c>
      <c r="N542">
        <f t="shared" si="71"/>
        <v>9.7002535384615399E-3</v>
      </c>
      <c r="O542">
        <f t="shared" si="72"/>
        <v>7.2911325769230767E-3</v>
      </c>
      <c r="P542">
        <f t="shared" si="68"/>
        <v>2.8465918360807612</v>
      </c>
      <c r="R542">
        <f t="shared" si="73"/>
        <v>1.8648601976896845E-4</v>
      </c>
    </row>
    <row r="543" spans="1:18" x14ac:dyDescent="0.2">
      <c r="A543" t="s">
        <v>554</v>
      </c>
      <c r="B543">
        <v>5.55467508</v>
      </c>
      <c r="C543">
        <v>0.10839662999999999</v>
      </c>
      <c r="D543">
        <v>5.7025870200000002</v>
      </c>
      <c r="E543">
        <v>1.20502511</v>
      </c>
      <c r="F543">
        <v>3.2457716400000001</v>
      </c>
      <c r="G543">
        <v>1.2693230200000001</v>
      </c>
      <c r="H543">
        <v>2.5436619999999999</v>
      </c>
      <c r="I543">
        <v>9.8609400000000003E-3</v>
      </c>
      <c r="J543">
        <v>1</v>
      </c>
      <c r="K543">
        <v>950023</v>
      </c>
      <c r="L543">
        <f t="shared" si="69"/>
        <v>1.2483737076923077E-2</v>
      </c>
      <c r="M543">
        <f t="shared" si="70"/>
        <v>4.882011615384616E-3</v>
      </c>
      <c r="N543">
        <f t="shared" si="71"/>
        <v>9.7833153846153837E-3</v>
      </c>
      <c r="O543">
        <f t="shared" si="72"/>
        <v>7.3326635000000003E-3</v>
      </c>
      <c r="P543">
        <f t="shared" si="68"/>
        <v>6.1339944814233718</v>
      </c>
      <c r="R543">
        <f t="shared" si="73"/>
        <v>7.9796719763340705E-4</v>
      </c>
    </row>
    <row r="544" spans="1:18" x14ac:dyDescent="0.2">
      <c r="A544" t="s">
        <v>555</v>
      </c>
      <c r="B544">
        <v>5.5951633200000002</v>
      </c>
      <c r="C544">
        <v>0.19012319999999999</v>
      </c>
      <c r="D544">
        <v>5.7496735399999999</v>
      </c>
      <c r="E544">
        <v>1.0864980500000001</v>
      </c>
      <c r="F544">
        <v>3.2303395799999999</v>
      </c>
      <c r="G544">
        <v>1.2759811400000001</v>
      </c>
      <c r="H544">
        <v>2.5861305799999998</v>
      </c>
      <c r="I544">
        <v>9.6783300000000006E-3</v>
      </c>
      <c r="J544">
        <v>1</v>
      </c>
      <c r="K544">
        <v>950024</v>
      </c>
      <c r="L544">
        <f t="shared" si="69"/>
        <v>1.2424382999999999E-2</v>
      </c>
      <c r="M544">
        <f t="shared" si="70"/>
        <v>4.9076197692307696E-3</v>
      </c>
      <c r="N544">
        <f t="shared" si="71"/>
        <v>9.9466560769230772E-3</v>
      </c>
      <c r="O544">
        <f t="shared" si="72"/>
        <v>7.4271379230769225E-3</v>
      </c>
      <c r="P544">
        <f t="shared" si="68"/>
        <v>10.758772293848546</v>
      </c>
      <c r="Q544">
        <f t="shared" ref="Q544" si="75">ABS(0.5*(SUMPRODUCT(O544:O562,P545:P563)+O563*P544-(SUMPRODUCT(O545:O563,P544:P562)+O544*P563)))</f>
        <v>5.1709021143029332E-3</v>
      </c>
      <c r="R544">
        <f t="shared" si="73"/>
        <v>1.8161742171047184E-3</v>
      </c>
    </row>
    <row r="545" spans="1:19" x14ac:dyDescent="0.2">
      <c r="A545" t="s">
        <v>556</v>
      </c>
      <c r="B545">
        <v>5.6496667199999999</v>
      </c>
      <c r="C545">
        <v>0.28280825999999998</v>
      </c>
      <c r="D545">
        <v>5.80699626</v>
      </c>
      <c r="E545">
        <v>0.84944392999999996</v>
      </c>
      <c r="F545">
        <v>3.2259304200000001</v>
      </c>
      <c r="G545">
        <v>1.2898409</v>
      </c>
      <c r="H545">
        <v>2.64284812</v>
      </c>
      <c r="I545">
        <v>9.6783300000000006E-3</v>
      </c>
      <c r="J545">
        <v>1</v>
      </c>
      <c r="K545">
        <v>950024</v>
      </c>
      <c r="L545">
        <f t="shared" si="69"/>
        <v>1.2407424692307692E-2</v>
      </c>
      <c r="M545">
        <f t="shared" si="70"/>
        <v>4.9609265384615384E-3</v>
      </c>
      <c r="N545">
        <f t="shared" si="71"/>
        <v>1.0164800461538462E-2</v>
      </c>
      <c r="O545">
        <f t="shared" si="72"/>
        <v>7.5628634999999993E-3</v>
      </c>
      <c r="P545">
        <f t="shared" si="68"/>
        <v>16.003673787099711</v>
      </c>
      <c r="R545">
        <f t="shared" si="73"/>
        <v>2.8911988307395637E-3</v>
      </c>
    </row>
    <row r="546" spans="1:19" x14ac:dyDescent="0.2">
      <c r="A546" t="s">
        <v>557</v>
      </c>
      <c r="B546">
        <v>5.7098800000000001</v>
      </c>
      <c r="C546">
        <v>0.39160097999999999</v>
      </c>
      <c r="D546">
        <v>5.8679016500000003</v>
      </c>
      <c r="E546">
        <v>0.73091687000000005</v>
      </c>
      <c r="F546">
        <v>3.22797753</v>
      </c>
      <c r="G546">
        <v>1.3053991599999999</v>
      </c>
      <c r="H546">
        <v>2.70607788</v>
      </c>
      <c r="I546">
        <v>9.6783300000000006E-3</v>
      </c>
      <c r="J546">
        <v>1</v>
      </c>
      <c r="K546">
        <v>950024</v>
      </c>
      <c r="L546">
        <f t="shared" si="69"/>
        <v>1.2415298192307692E-2</v>
      </c>
      <c r="M546">
        <f t="shared" si="70"/>
        <v>5.0207659999999994E-3</v>
      </c>
      <c r="N546">
        <f t="shared" si="71"/>
        <v>1.0407991846153847E-2</v>
      </c>
      <c r="O546">
        <f t="shared" si="72"/>
        <v>7.7143789230769231E-3</v>
      </c>
      <c r="P546">
        <f t="shared" si="68"/>
        <v>22.160082377468601</v>
      </c>
      <c r="R546">
        <f t="shared" si="73"/>
        <v>3.7841892440898333E-3</v>
      </c>
    </row>
    <row r="547" spans="1:19" x14ac:dyDescent="0.2">
      <c r="A547" t="s">
        <v>558</v>
      </c>
      <c r="B547">
        <v>5.76931466</v>
      </c>
      <c r="C547">
        <v>0.52534736999999998</v>
      </c>
      <c r="D547">
        <v>5.9400668599999999</v>
      </c>
      <c r="E547">
        <v>0.61238981000000003</v>
      </c>
      <c r="F547">
        <v>3.2322292199999998</v>
      </c>
      <c r="G547">
        <v>1.3194627400000001</v>
      </c>
      <c r="H547">
        <v>2.76786048</v>
      </c>
      <c r="I547">
        <v>9.4957199999999992E-3</v>
      </c>
      <c r="J547">
        <v>1</v>
      </c>
      <c r="K547">
        <v>950024</v>
      </c>
      <c r="L547">
        <f t="shared" si="69"/>
        <v>1.2431650846153846E-2</v>
      </c>
      <c r="M547">
        <f t="shared" si="70"/>
        <v>5.0748566923076929E-3</v>
      </c>
      <c r="N547">
        <f t="shared" si="71"/>
        <v>1.0645617230769231E-2</v>
      </c>
      <c r="O547">
        <f t="shared" si="72"/>
        <v>7.8602369615384613E-3</v>
      </c>
      <c r="P547">
        <f t="shared" si="68"/>
        <v>29.728579831405114</v>
      </c>
      <c r="R547">
        <f t="shared" si="73"/>
        <v>4.3992333990288202E-3</v>
      </c>
    </row>
    <row r="548" spans="1:19" x14ac:dyDescent="0.2">
      <c r="A548" t="s">
        <v>559</v>
      </c>
      <c r="B548">
        <v>5.83264242</v>
      </c>
      <c r="C548">
        <v>0.70556832000000003</v>
      </c>
      <c r="D548">
        <v>6.0040431099999996</v>
      </c>
      <c r="E548">
        <v>0.61238981000000003</v>
      </c>
      <c r="F548">
        <v>3.2441969400000001</v>
      </c>
      <c r="G548">
        <v>1.3302651999999999</v>
      </c>
      <c r="H548">
        <v>2.82274124</v>
      </c>
      <c r="I548">
        <v>9.6783300000000006E-3</v>
      </c>
      <c r="J548">
        <v>1</v>
      </c>
      <c r="K548">
        <v>950024</v>
      </c>
      <c r="L548">
        <f t="shared" si="69"/>
        <v>1.2477680538461539E-2</v>
      </c>
      <c r="M548">
        <f t="shared" si="70"/>
        <v>5.1164046153846154E-3</v>
      </c>
      <c r="N548">
        <f t="shared" si="71"/>
        <v>1.0856697076923078E-2</v>
      </c>
      <c r="O548">
        <f t="shared" si="72"/>
        <v>7.9865508461538469E-3</v>
      </c>
      <c r="P548">
        <f t="shared" si="68"/>
        <v>39.926999401615717</v>
      </c>
      <c r="R548">
        <f t="shared" si="73"/>
        <v>2.8297007509383142E-3</v>
      </c>
      <c r="S548">
        <f>ABS(SUMIFS($R:$R,$K:$K,K548))</f>
        <v>5.1260353567884141E-3</v>
      </c>
    </row>
    <row r="549" spans="1:19" x14ac:dyDescent="0.2">
      <c r="A549" t="s">
        <v>560</v>
      </c>
      <c r="B549">
        <v>5.8700161800000004</v>
      </c>
      <c r="C549">
        <v>0.82756403999999995</v>
      </c>
      <c r="D549">
        <v>6.0367989499999997</v>
      </c>
      <c r="E549">
        <v>0.61238981000000003</v>
      </c>
      <c r="F549">
        <v>3.2624634600000002</v>
      </c>
      <c r="G549">
        <v>1.33563246</v>
      </c>
      <c r="H549">
        <v>2.8512948200000001</v>
      </c>
      <c r="I549">
        <v>9.8609400000000003E-3</v>
      </c>
      <c r="J549">
        <v>1</v>
      </c>
      <c r="K549">
        <v>950024</v>
      </c>
      <c r="L549">
        <f t="shared" si="69"/>
        <v>1.2547936384615386E-2</v>
      </c>
      <c r="M549">
        <f t="shared" si="70"/>
        <v>5.1370479230769235E-3</v>
      </c>
      <c r="N549">
        <f t="shared" si="71"/>
        <v>1.0966518538461539E-2</v>
      </c>
      <c r="O549">
        <f t="shared" si="72"/>
        <v>8.05178323076923E-3</v>
      </c>
      <c r="P549">
        <f t="shared" si="68"/>
        <v>46.830544956835197</v>
      </c>
      <c r="R549">
        <f t="shared" si="73"/>
        <v>9.8079806072442002E-4</v>
      </c>
    </row>
    <row r="550" spans="1:19" x14ac:dyDescent="0.2">
      <c r="A550" t="s">
        <v>561</v>
      </c>
      <c r="B550">
        <v>5.8832527199999998</v>
      </c>
      <c r="C550">
        <v>0.85463018999999996</v>
      </c>
      <c r="D550">
        <v>6.0511296300000001</v>
      </c>
      <c r="E550">
        <v>0.61238981000000003</v>
      </c>
      <c r="F550">
        <v>3.2769507</v>
      </c>
      <c r="G550">
        <v>1.3373309600000001</v>
      </c>
      <c r="H550">
        <v>2.8603117400000002</v>
      </c>
      <c r="I550">
        <v>9.6783300000000006E-3</v>
      </c>
      <c r="J550">
        <v>1</v>
      </c>
      <c r="K550">
        <v>950024</v>
      </c>
      <c r="L550">
        <f t="shared" si="69"/>
        <v>1.2603656538461539E-2</v>
      </c>
      <c r="M550">
        <f t="shared" si="70"/>
        <v>5.1435806153846157E-3</v>
      </c>
      <c r="N550">
        <f t="shared" si="71"/>
        <v>1.1001199000000001E-2</v>
      </c>
      <c r="O550">
        <f t="shared" si="72"/>
        <v>8.0723898076923081E-3</v>
      </c>
      <c r="P550">
        <f t="shared" si="68"/>
        <v>48.362175734778916</v>
      </c>
      <c r="R550">
        <f t="shared" si="73"/>
        <v>2.3653818009356523E-4</v>
      </c>
    </row>
    <row r="551" spans="1:19" x14ac:dyDescent="0.2">
      <c r="A551" t="s">
        <v>562</v>
      </c>
      <c r="B551">
        <v>5.8809168600000001</v>
      </c>
      <c r="C551">
        <v>0.85581845999999995</v>
      </c>
      <c r="D551">
        <v>6.0490823899999997</v>
      </c>
      <c r="E551">
        <v>0.61238981000000003</v>
      </c>
      <c r="F551">
        <v>3.2908080599999998</v>
      </c>
      <c r="G551">
        <v>1.3375347799999999</v>
      </c>
      <c r="H551">
        <v>2.8626494600000001</v>
      </c>
      <c r="I551">
        <v>9.6783300000000006E-3</v>
      </c>
      <c r="J551">
        <v>1</v>
      </c>
      <c r="K551">
        <v>950024</v>
      </c>
      <c r="L551">
        <f t="shared" si="69"/>
        <v>1.2656954076923077E-2</v>
      </c>
      <c r="M551">
        <f t="shared" si="70"/>
        <v>5.1443645384615377E-3</v>
      </c>
      <c r="N551">
        <f t="shared" si="71"/>
        <v>1.1010190230769231E-2</v>
      </c>
      <c r="O551">
        <f t="shared" si="72"/>
        <v>8.0772773846153854E-3</v>
      </c>
      <c r="P551">
        <f t="shared" si="68"/>
        <v>48.429418061615465</v>
      </c>
      <c r="R551">
        <f t="shared" si="73"/>
        <v>-1.6723906436058535E-4</v>
      </c>
    </row>
    <row r="552" spans="1:19" x14ac:dyDescent="0.2">
      <c r="A552" t="s">
        <v>563</v>
      </c>
      <c r="B552">
        <v>5.8770237600000002</v>
      </c>
      <c r="C552">
        <v>0.81752975999999999</v>
      </c>
      <c r="D552">
        <v>6.0490823899999997</v>
      </c>
      <c r="E552">
        <v>0.61238981000000003</v>
      </c>
      <c r="F552">
        <v>3.30671253</v>
      </c>
      <c r="G552">
        <v>1.3375347799999999</v>
      </c>
      <c r="H552">
        <v>2.86081268</v>
      </c>
      <c r="I552">
        <v>9.6783300000000006E-3</v>
      </c>
      <c r="J552">
        <v>1</v>
      </c>
      <c r="K552">
        <v>950024</v>
      </c>
      <c r="L552">
        <f t="shared" si="69"/>
        <v>1.2718125115384615E-2</v>
      </c>
      <c r="M552">
        <f t="shared" si="70"/>
        <v>5.1443645384615377E-3</v>
      </c>
      <c r="N552">
        <f t="shared" si="71"/>
        <v>1.1003125692307693E-2</v>
      </c>
      <c r="O552">
        <f t="shared" si="72"/>
        <v>8.0737451153846153E-3</v>
      </c>
      <c r="P552">
        <f t="shared" si="68"/>
        <v>46.262720863548743</v>
      </c>
      <c r="R552">
        <f t="shared" si="73"/>
        <v>-1.0134101422510494E-3</v>
      </c>
    </row>
    <row r="553" spans="1:19" x14ac:dyDescent="0.2">
      <c r="A553" t="s">
        <v>564</v>
      </c>
      <c r="B553">
        <v>5.8627490599999996</v>
      </c>
      <c r="C553">
        <v>0.70345584000000005</v>
      </c>
      <c r="D553">
        <v>6.0367989499999997</v>
      </c>
      <c r="E553">
        <v>0.61238981000000003</v>
      </c>
      <c r="F553">
        <v>3.3207273599999998</v>
      </c>
      <c r="G553">
        <v>1.3375347799999999</v>
      </c>
      <c r="H553">
        <v>2.8485674799999998</v>
      </c>
      <c r="I553">
        <v>9.6783300000000006E-3</v>
      </c>
      <c r="J553">
        <v>1</v>
      </c>
      <c r="K553">
        <v>950024</v>
      </c>
      <c r="L553">
        <f t="shared" si="69"/>
        <v>1.2772028307692307E-2</v>
      </c>
      <c r="M553">
        <f t="shared" si="70"/>
        <v>5.1443645384615377E-3</v>
      </c>
      <c r="N553">
        <f t="shared" si="71"/>
        <v>1.0956028769230769E-2</v>
      </c>
      <c r="O553">
        <f t="shared" si="72"/>
        <v>8.0501966538461533E-3</v>
      </c>
      <c r="P553">
        <f t="shared" si="68"/>
        <v>39.807457487239624</v>
      </c>
      <c r="R553">
        <f t="shared" si="73"/>
        <v>-9.9665592627870754E-4</v>
      </c>
    </row>
    <row r="554" spans="1:19" x14ac:dyDescent="0.2">
      <c r="A554" t="s">
        <v>565</v>
      </c>
      <c r="B554">
        <v>5.8453598800000002</v>
      </c>
      <c r="C554">
        <v>0.61288326000000004</v>
      </c>
      <c r="D554">
        <v>6.0178619800000002</v>
      </c>
      <c r="E554">
        <v>0.61238981000000003</v>
      </c>
      <c r="F554">
        <v>3.32686869</v>
      </c>
      <c r="G554">
        <v>1.3375347799999999</v>
      </c>
      <c r="H554">
        <v>2.8346524799999999</v>
      </c>
      <c r="I554">
        <v>9.6783300000000006E-3</v>
      </c>
      <c r="J554">
        <v>1</v>
      </c>
      <c r="K554">
        <v>950024</v>
      </c>
      <c r="L554">
        <f t="shared" si="69"/>
        <v>1.2795648807692307E-2</v>
      </c>
      <c r="M554">
        <f t="shared" si="70"/>
        <v>5.1443645384615377E-3</v>
      </c>
      <c r="N554">
        <f t="shared" si="71"/>
        <v>1.0902509538461539E-2</v>
      </c>
      <c r="O554">
        <f t="shared" si="72"/>
        <v>8.0234370384615374E-3</v>
      </c>
      <c r="P554">
        <f t="shared" si="68"/>
        <v>34.682097908364554</v>
      </c>
      <c r="R554">
        <f t="shared" si="73"/>
        <v>-1.3424264118239368E-3</v>
      </c>
    </row>
    <row r="555" spans="1:19" x14ac:dyDescent="0.2">
      <c r="A555" t="s">
        <v>566</v>
      </c>
      <c r="B555">
        <v>5.8232989799999997</v>
      </c>
      <c r="C555">
        <v>0.52178256000000001</v>
      </c>
      <c r="D555">
        <v>5.9917596700000004</v>
      </c>
      <c r="E555">
        <v>0.53337177000000002</v>
      </c>
      <c r="F555">
        <v>3.3345847200000001</v>
      </c>
      <c r="G555">
        <v>1.3367195000000001</v>
      </c>
      <c r="H555">
        <v>2.8137243199999999</v>
      </c>
      <c r="I555">
        <v>9.6783300000000006E-3</v>
      </c>
      <c r="J555">
        <v>1</v>
      </c>
      <c r="K555">
        <v>950024</v>
      </c>
      <c r="L555">
        <f t="shared" si="69"/>
        <v>1.2825325846153847E-2</v>
      </c>
      <c r="M555">
        <f t="shared" si="70"/>
        <v>5.1412288461538461E-3</v>
      </c>
      <c r="N555">
        <f t="shared" si="71"/>
        <v>1.0822016615384615E-2</v>
      </c>
      <c r="O555">
        <f t="shared" si="72"/>
        <v>7.9816227307692306E-3</v>
      </c>
      <c r="P555">
        <f t="shared" si="68"/>
        <v>29.526852850895455</v>
      </c>
      <c r="R555">
        <f t="shared" si="73"/>
        <v>-2.0324731786696944E-3</v>
      </c>
    </row>
    <row r="556" spans="1:19" x14ac:dyDescent="0.2">
      <c r="A556" t="s">
        <v>567</v>
      </c>
      <c r="B556">
        <v>5.7913755599999996</v>
      </c>
      <c r="C556">
        <v>0.42104366999999998</v>
      </c>
      <c r="D556">
        <v>5.9508148700000003</v>
      </c>
      <c r="E556">
        <v>0.53337177000000002</v>
      </c>
      <c r="F556">
        <v>3.3404111099999998</v>
      </c>
      <c r="G556">
        <v>1.3327789800000001</v>
      </c>
      <c r="H556">
        <v>2.77804626</v>
      </c>
      <c r="I556">
        <v>9.8609400000000003E-3</v>
      </c>
      <c r="J556">
        <v>1</v>
      </c>
      <c r="K556">
        <v>950024</v>
      </c>
      <c r="L556">
        <f t="shared" si="69"/>
        <v>1.2847735038461539E-2</v>
      </c>
      <c r="M556">
        <f t="shared" si="70"/>
        <v>5.1260730000000001E-3</v>
      </c>
      <c r="N556">
        <f t="shared" si="71"/>
        <v>1.0684793307692307E-2</v>
      </c>
      <c r="O556">
        <f t="shared" si="72"/>
        <v>7.9054331538461545E-3</v>
      </c>
      <c r="P556">
        <f t="shared" si="68"/>
        <v>23.826197809085425</v>
      </c>
      <c r="R556">
        <f t="shared" si="73"/>
        <v>-2.2067106788594051E-3</v>
      </c>
    </row>
    <row r="557" spans="1:19" x14ac:dyDescent="0.2">
      <c r="A557" t="s">
        <v>568</v>
      </c>
      <c r="B557">
        <v>5.7480323799999997</v>
      </c>
      <c r="C557">
        <v>0.32479380000000002</v>
      </c>
      <c r="D557">
        <v>5.90270473</v>
      </c>
      <c r="E557">
        <v>0.47410824000000001</v>
      </c>
      <c r="F557">
        <v>3.3374191799999999</v>
      </c>
      <c r="G557">
        <v>1.3251017599999999</v>
      </c>
      <c r="H557">
        <v>2.7313475199999999</v>
      </c>
      <c r="I557">
        <v>1.004355E-2</v>
      </c>
      <c r="J557">
        <v>1</v>
      </c>
      <c r="K557">
        <v>950024</v>
      </c>
      <c r="L557">
        <f t="shared" si="69"/>
        <v>1.2836227615384615E-2</v>
      </c>
      <c r="M557">
        <f t="shared" si="70"/>
        <v>5.0965452307692302E-3</v>
      </c>
      <c r="N557">
        <f t="shared" si="71"/>
        <v>1.0505182769230769E-2</v>
      </c>
      <c r="O557">
        <f t="shared" si="72"/>
        <v>7.8008639999999994E-3</v>
      </c>
      <c r="P557">
        <f t="shared" si="68"/>
        <v>18.3795693353246</v>
      </c>
      <c r="R557">
        <f t="shared" si="73"/>
        <v>-1.9771336949897383E-3</v>
      </c>
    </row>
    <row r="558" spans="1:19" x14ac:dyDescent="0.2">
      <c r="A558" t="s">
        <v>569</v>
      </c>
      <c r="B558">
        <v>5.6987197800000002</v>
      </c>
      <c r="C558">
        <v>0.24055866000000001</v>
      </c>
      <c r="D558">
        <v>5.8433347700000002</v>
      </c>
      <c r="E558">
        <v>0.47410824000000001</v>
      </c>
      <c r="F558">
        <v>3.3289157999999999</v>
      </c>
      <c r="G558">
        <v>1.31348402</v>
      </c>
      <c r="H558">
        <v>2.6786931599999999</v>
      </c>
      <c r="I558">
        <v>9.6783300000000006E-3</v>
      </c>
      <c r="J558">
        <v>1</v>
      </c>
      <c r="K558">
        <v>950024</v>
      </c>
      <c r="L558">
        <f t="shared" si="69"/>
        <v>1.2803522307692307E-2</v>
      </c>
      <c r="M558">
        <f t="shared" si="70"/>
        <v>5.0518616153846152E-3</v>
      </c>
      <c r="N558">
        <f t="shared" si="71"/>
        <v>1.0302666E-2</v>
      </c>
      <c r="O558">
        <f t="shared" si="72"/>
        <v>7.6772638076923073E-3</v>
      </c>
      <c r="P558">
        <f t="shared" si="68"/>
        <v>13.612835499577812</v>
      </c>
      <c r="R558">
        <f t="shared" si="73"/>
        <v>-1.5381135812195896E-3</v>
      </c>
    </row>
    <row r="559" spans="1:19" x14ac:dyDescent="0.2">
      <c r="A559" t="s">
        <v>570</v>
      </c>
      <c r="B559">
        <v>5.6449949999999998</v>
      </c>
      <c r="C559">
        <v>0.16675388999999999</v>
      </c>
      <c r="D559">
        <v>5.7870356699999999</v>
      </c>
      <c r="E559">
        <v>0.53337177000000002</v>
      </c>
      <c r="F559">
        <v>3.3197825399999998</v>
      </c>
      <c r="G559">
        <v>1.2987410399999999</v>
      </c>
      <c r="H559">
        <v>2.6240350399999999</v>
      </c>
      <c r="I559">
        <v>9.6783300000000006E-3</v>
      </c>
      <c r="J559">
        <v>1</v>
      </c>
      <c r="K559">
        <v>950024</v>
      </c>
      <c r="L559">
        <f t="shared" si="69"/>
        <v>1.2768394384615384E-2</v>
      </c>
      <c r="M559">
        <f t="shared" si="70"/>
        <v>4.9951578461538458E-3</v>
      </c>
      <c r="N559">
        <f t="shared" si="71"/>
        <v>1.009244246153846E-2</v>
      </c>
      <c r="O559">
        <f t="shared" si="72"/>
        <v>7.5438001538461535E-3</v>
      </c>
      <c r="P559">
        <f t="shared" si="68"/>
        <v>9.436339866062994</v>
      </c>
      <c r="R559">
        <f t="shared" si="73"/>
        <v>-9.9540734230530218E-4</v>
      </c>
    </row>
    <row r="560" spans="1:19" x14ac:dyDescent="0.2">
      <c r="A560" t="s">
        <v>571</v>
      </c>
      <c r="B560">
        <v>5.5951633200000002</v>
      </c>
      <c r="C560">
        <v>0.1003428</v>
      </c>
      <c r="D560">
        <v>5.7307365700000004</v>
      </c>
      <c r="E560">
        <v>0.79018040000000001</v>
      </c>
      <c r="F560">
        <v>3.3048228900000001</v>
      </c>
      <c r="G560">
        <v>1.28379424</v>
      </c>
      <c r="H560">
        <v>2.5704901200000001</v>
      </c>
      <c r="I560">
        <v>9.8609400000000003E-3</v>
      </c>
      <c r="J560">
        <v>1</v>
      </c>
      <c r="K560">
        <v>950024</v>
      </c>
      <c r="L560">
        <f t="shared" si="69"/>
        <v>1.2710857269230769E-2</v>
      </c>
      <c r="M560">
        <f t="shared" si="70"/>
        <v>4.9376701538461536E-3</v>
      </c>
      <c r="N560">
        <f t="shared" si="71"/>
        <v>9.8865004615384614E-3</v>
      </c>
      <c r="O560">
        <f t="shared" si="72"/>
        <v>7.4120853076923079E-3</v>
      </c>
      <c r="P560">
        <f t="shared" si="68"/>
        <v>5.6782409328645098</v>
      </c>
      <c r="R560">
        <f t="shared" si="73"/>
        <v>-4.0177666152205925E-4</v>
      </c>
    </row>
    <row r="561" spans="1:19" x14ac:dyDescent="0.2">
      <c r="A561" t="s">
        <v>572</v>
      </c>
      <c r="B561">
        <v>5.5531178399999996</v>
      </c>
      <c r="C561">
        <v>5.2811999999999998E-2</v>
      </c>
      <c r="D561">
        <v>5.6903035800000001</v>
      </c>
      <c r="E561">
        <v>1.0864980500000001</v>
      </c>
      <c r="F561">
        <v>3.2832495000000002</v>
      </c>
      <c r="G561">
        <v>1.2732635400000001</v>
      </c>
      <c r="H561">
        <v>2.5328083000000001</v>
      </c>
      <c r="I561">
        <v>9.8609400000000003E-3</v>
      </c>
      <c r="J561">
        <v>1</v>
      </c>
      <c r="K561">
        <v>950024</v>
      </c>
      <c r="L561">
        <f t="shared" si="69"/>
        <v>1.2627882692307692E-2</v>
      </c>
      <c r="M561">
        <f t="shared" si="70"/>
        <v>4.897167461538462E-3</v>
      </c>
      <c r="N561">
        <f t="shared" si="71"/>
        <v>9.7415703846153844E-3</v>
      </c>
      <c r="O561">
        <f t="shared" si="72"/>
        <v>7.3193689230769236E-3</v>
      </c>
      <c r="P561">
        <f t="shared" si="68"/>
        <v>2.9885478594023738</v>
      </c>
      <c r="R561">
        <f t="shared" si="73"/>
        <v>-7.6585220701941639E-5</v>
      </c>
    </row>
    <row r="562" spans="1:19" x14ac:dyDescent="0.2">
      <c r="A562" t="s">
        <v>573</v>
      </c>
      <c r="B562">
        <v>5.5411789999999996</v>
      </c>
      <c r="C562">
        <v>4.951125E-2</v>
      </c>
      <c r="D562">
        <v>5.6821146200000001</v>
      </c>
      <c r="E562">
        <v>1.1457615800000001</v>
      </c>
      <c r="F562">
        <v>3.2654553900000001</v>
      </c>
      <c r="G562">
        <v>1.2695268399999999</v>
      </c>
      <c r="H562">
        <v>2.5227895</v>
      </c>
      <c r="I562">
        <v>9.6783300000000006E-3</v>
      </c>
      <c r="J562">
        <v>1</v>
      </c>
      <c r="K562">
        <v>950024</v>
      </c>
      <c r="L562">
        <f t="shared" si="69"/>
        <v>1.2559443807692307E-2</v>
      </c>
      <c r="M562">
        <f t="shared" si="70"/>
        <v>4.882795538461538E-3</v>
      </c>
      <c r="N562">
        <f t="shared" si="71"/>
        <v>9.7030365384615392E-3</v>
      </c>
      <c r="O562">
        <f t="shared" si="72"/>
        <v>7.2929160384615386E-3</v>
      </c>
      <c r="P562">
        <f t="shared" si="68"/>
        <v>2.8017636181897254</v>
      </c>
      <c r="R562">
        <f t="shared" si="73"/>
        <v>1.6935439287499028E-4</v>
      </c>
    </row>
    <row r="563" spans="1:19" x14ac:dyDescent="0.2">
      <c r="A563" t="s">
        <v>574</v>
      </c>
      <c r="B563">
        <v>5.5562323200000003</v>
      </c>
      <c r="C563">
        <v>0.10800054000000001</v>
      </c>
      <c r="D563">
        <v>5.7041224499999998</v>
      </c>
      <c r="E563">
        <v>1.1457615800000001</v>
      </c>
      <c r="F563">
        <v>3.24813369</v>
      </c>
      <c r="G563">
        <v>1.2689153799999999</v>
      </c>
      <c r="H563">
        <v>2.5431610600000001</v>
      </c>
      <c r="I563">
        <v>9.6783300000000006E-3</v>
      </c>
      <c r="J563">
        <v>1</v>
      </c>
      <c r="K563">
        <v>950024</v>
      </c>
      <c r="L563">
        <f t="shared" si="69"/>
        <v>1.2492821884615384E-2</v>
      </c>
      <c r="M563">
        <f t="shared" si="70"/>
        <v>4.8804437692307693E-3</v>
      </c>
      <c r="N563">
        <f t="shared" si="71"/>
        <v>9.7813886923076923E-3</v>
      </c>
      <c r="O563">
        <f t="shared" si="72"/>
        <v>7.3309162307692308E-3</v>
      </c>
      <c r="P563">
        <f t="shared" si="68"/>
        <v>6.1115803724778548</v>
      </c>
      <c r="R563">
        <f t="shared" si="73"/>
        <v>7.6678018417619676E-4</v>
      </c>
    </row>
    <row r="564" spans="1:19" x14ac:dyDescent="0.2">
      <c r="A564" t="s">
        <v>575</v>
      </c>
      <c r="B564">
        <v>5.5936060799999998</v>
      </c>
      <c r="C564">
        <v>0.18774666000000001</v>
      </c>
      <c r="D564">
        <v>5.7384137199999996</v>
      </c>
      <c r="E564">
        <v>1.0864980500000001</v>
      </c>
      <c r="F564">
        <v>3.2336464500000002</v>
      </c>
      <c r="G564">
        <v>1.2750979200000001</v>
      </c>
      <c r="H564">
        <v>2.5846277600000001</v>
      </c>
      <c r="I564">
        <v>9.6783300000000006E-3</v>
      </c>
      <c r="J564">
        <v>1</v>
      </c>
      <c r="K564">
        <v>950025</v>
      </c>
      <c r="L564">
        <f t="shared" si="69"/>
        <v>1.2437101730769231E-2</v>
      </c>
      <c r="M564">
        <f t="shared" si="70"/>
        <v>4.90422276923077E-3</v>
      </c>
      <c r="N564">
        <f t="shared" si="71"/>
        <v>9.9408759999999995E-3</v>
      </c>
      <c r="O564">
        <f t="shared" si="72"/>
        <v>7.4225493846153852E-3</v>
      </c>
      <c r="P564">
        <f t="shared" si="68"/>
        <v>10.62428764017544</v>
      </c>
      <c r="Q564">
        <f t="shared" ref="Q564" si="76">ABS(0.5*(SUMPRODUCT(O564:O582,P565:P583)+O583*P564-(SUMPRODUCT(O565:O583,P564:P582)+O564*P583)))</f>
        <v>5.2054181927734255E-3</v>
      </c>
      <c r="R564">
        <f t="shared" si="73"/>
        <v>1.8066837963041607E-3</v>
      </c>
    </row>
    <row r="565" spans="1:19" x14ac:dyDescent="0.2">
      <c r="A565" t="s">
        <v>576</v>
      </c>
      <c r="B565">
        <v>5.6465522400000001</v>
      </c>
      <c r="C565">
        <v>0.28201608</v>
      </c>
      <c r="D565">
        <v>5.7993191099999999</v>
      </c>
      <c r="E565">
        <v>0.84944392999999996</v>
      </c>
      <c r="F565">
        <v>3.2265603</v>
      </c>
      <c r="G565">
        <v>1.2892294399999999</v>
      </c>
      <c r="H565">
        <v>2.6411783199999999</v>
      </c>
      <c r="I565">
        <v>9.8609400000000003E-3</v>
      </c>
      <c r="J565">
        <v>1</v>
      </c>
      <c r="K565">
        <v>950025</v>
      </c>
      <c r="L565">
        <f t="shared" si="69"/>
        <v>1.2409847307692307E-2</v>
      </c>
      <c r="M565">
        <f t="shared" si="70"/>
        <v>4.9585747692307688E-3</v>
      </c>
      <c r="N565">
        <f t="shared" si="71"/>
        <v>1.0158378153846154E-2</v>
      </c>
      <c r="O565">
        <f t="shared" si="72"/>
        <v>7.5584764615384608E-3</v>
      </c>
      <c r="P565">
        <f t="shared" si="68"/>
        <v>15.958845569208677</v>
      </c>
      <c r="R565">
        <f t="shared" si="73"/>
        <v>2.887419681222388E-3</v>
      </c>
    </row>
    <row r="566" spans="1:19" x14ac:dyDescent="0.2">
      <c r="A566" t="s">
        <v>577</v>
      </c>
      <c r="B566">
        <v>5.7083227599999997</v>
      </c>
      <c r="C566">
        <v>0.38882834999999999</v>
      </c>
      <c r="D566">
        <v>5.8679016500000003</v>
      </c>
      <c r="E566">
        <v>0.67165333999999999</v>
      </c>
      <c r="F566">
        <v>3.2298671699999999</v>
      </c>
      <c r="G566">
        <v>1.30499152</v>
      </c>
      <c r="H566">
        <v>2.7045194000000001</v>
      </c>
      <c r="I566">
        <v>9.8609400000000003E-3</v>
      </c>
      <c r="J566">
        <v>1</v>
      </c>
      <c r="K566">
        <v>950025</v>
      </c>
      <c r="L566">
        <f t="shared" si="69"/>
        <v>1.2422566038461537E-2</v>
      </c>
      <c r="M566">
        <f t="shared" si="70"/>
        <v>5.0191981538461536E-3</v>
      </c>
      <c r="N566">
        <f t="shared" si="71"/>
        <v>1.0401997692307693E-2</v>
      </c>
      <c r="O566">
        <f t="shared" si="72"/>
        <v>7.7105979230769235E-3</v>
      </c>
      <c r="P566">
        <f t="shared" si="68"/>
        <v>22.003183614849977</v>
      </c>
      <c r="R566">
        <f t="shared" si="73"/>
        <v>3.7970100096638036E-3</v>
      </c>
    </row>
    <row r="567" spans="1:19" x14ac:dyDescent="0.2">
      <c r="A567" t="s">
        <v>578</v>
      </c>
      <c r="B567">
        <v>5.7700932800000002</v>
      </c>
      <c r="C567">
        <v>0.52297083</v>
      </c>
      <c r="D567">
        <v>5.9369959999999997</v>
      </c>
      <c r="E567">
        <v>0.53337177000000002</v>
      </c>
      <c r="F567">
        <v>3.2350636800000001</v>
      </c>
      <c r="G567">
        <v>1.3188512800000001</v>
      </c>
      <c r="H567">
        <v>2.7671925599999998</v>
      </c>
      <c r="I567">
        <v>9.8609400000000003E-3</v>
      </c>
      <c r="J567">
        <v>1</v>
      </c>
      <c r="K567">
        <v>950025</v>
      </c>
      <c r="L567">
        <f t="shared" si="69"/>
        <v>1.2442552615384616E-2</v>
      </c>
      <c r="M567">
        <f t="shared" si="70"/>
        <v>5.0725049230769233E-3</v>
      </c>
      <c r="N567">
        <f t="shared" si="71"/>
        <v>1.0643048307692306E-2</v>
      </c>
      <c r="O567">
        <f t="shared" si="72"/>
        <v>7.8577766153846151E-3</v>
      </c>
      <c r="P567">
        <f t="shared" si="68"/>
        <v>29.594095177732008</v>
      </c>
      <c r="R567">
        <f t="shared" si="73"/>
        <v>4.448738289572692E-3</v>
      </c>
    </row>
    <row r="568" spans="1:19" x14ac:dyDescent="0.2">
      <c r="A568" t="s">
        <v>579</v>
      </c>
      <c r="B568">
        <v>5.8295279400000002</v>
      </c>
      <c r="C568">
        <v>0.70345584000000005</v>
      </c>
      <c r="D568">
        <v>6.0040431099999996</v>
      </c>
      <c r="E568">
        <v>0.53337177000000002</v>
      </c>
      <c r="F568">
        <v>3.2441969400000001</v>
      </c>
      <c r="G568">
        <v>1.33046902</v>
      </c>
      <c r="H568">
        <v>2.8222402999999998</v>
      </c>
      <c r="I568">
        <v>9.6783300000000006E-3</v>
      </c>
      <c r="J568">
        <v>1</v>
      </c>
      <c r="K568">
        <v>950025</v>
      </c>
      <c r="L568">
        <f t="shared" si="69"/>
        <v>1.2477680538461539E-2</v>
      </c>
      <c r="M568">
        <f t="shared" si="70"/>
        <v>5.1171885384615383E-3</v>
      </c>
      <c r="N568">
        <f t="shared" si="71"/>
        <v>1.0854770384615384E-2</v>
      </c>
      <c r="O568">
        <f t="shared" si="72"/>
        <v>7.9859794615384609E-3</v>
      </c>
      <c r="P568">
        <f t="shared" si="68"/>
        <v>39.807457487239624</v>
      </c>
      <c r="R568">
        <f t="shared" si="73"/>
        <v>2.8160164049483771E-3</v>
      </c>
    </row>
    <row r="569" spans="1:19" x14ac:dyDescent="0.2">
      <c r="A569" t="s">
        <v>580</v>
      </c>
      <c r="B569">
        <v>5.8692375600000002</v>
      </c>
      <c r="C569">
        <v>0.82558359000000003</v>
      </c>
      <c r="D569">
        <v>6.0414052399999996</v>
      </c>
      <c r="E569">
        <v>0.47410824000000001</v>
      </c>
      <c r="F569">
        <v>3.2619910499999998</v>
      </c>
      <c r="G569">
        <v>1.3354286399999999</v>
      </c>
      <c r="H569">
        <v>2.8511278400000002</v>
      </c>
      <c r="I569">
        <v>9.6783300000000006E-3</v>
      </c>
      <c r="J569">
        <v>1</v>
      </c>
      <c r="K569">
        <v>950025</v>
      </c>
      <c r="L569">
        <f t="shared" si="69"/>
        <v>1.2546119423076922E-2</v>
      </c>
      <c r="M569">
        <f t="shared" si="70"/>
        <v>5.1362639999999998E-3</v>
      </c>
      <c r="N569">
        <f t="shared" si="71"/>
        <v>1.0965876307692309E-2</v>
      </c>
      <c r="O569">
        <f t="shared" si="72"/>
        <v>8.0510701538461533E-3</v>
      </c>
      <c r="P569">
        <f t="shared" si="68"/>
        <v>46.718474412107611</v>
      </c>
      <c r="R569">
        <f t="shared" si="73"/>
        <v>9.0611363548508952E-4</v>
      </c>
      <c r="S569">
        <f>ABS(SUMIFS($R:$R,$K:$K,K569))</f>
        <v>5.2216857793319126E-3</v>
      </c>
    </row>
    <row r="570" spans="1:19" x14ac:dyDescent="0.2">
      <c r="A570" t="s">
        <v>581</v>
      </c>
      <c r="B570">
        <v>5.8832527199999998</v>
      </c>
      <c r="C570">
        <v>0.85344191999999997</v>
      </c>
      <c r="D570">
        <v>6.0490823899999997</v>
      </c>
      <c r="E570">
        <v>0.47410824000000001</v>
      </c>
      <c r="F570">
        <v>3.2783679299999999</v>
      </c>
      <c r="G570">
        <v>1.3367195000000001</v>
      </c>
      <c r="H570">
        <v>2.8597551399999999</v>
      </c>
      <c r="I570">
        <v>9.4957199999999992E-3</v>
      </c>
      <c r="J570">
        <v>1</v>
      </c>
      <c r="K570">
        <v>950025</v>
      </c>
      <c r="L570">
        <f t="shared" si="69"/>
        <v>1.2609107423076922E-2</v>
      </c>
      <c r="M570">
        <f t="shared" si="70"/>
        <v>5.1412288461538461E-3</v>
      </c>
      <c r="N570">
        <f t="shared" si="71"/>
        <v>1.0999058230769231E-2</v>
      </c>
      <c r="O570">
        <f t="shared" si="72"/>
        <v>8.0701435384615376E-3</v>
      </c>
      <c r="P570">
        <f t="shared" si="68"/>
        <v>48.294933407942359</v>
      </c>
      <c r="R570">
        <f t="shared" si="73"/>
        <v>2.6038584444073822E-4</v>
      </c>
    </row>
    <row r="571" spans="1:19" x14ac:dyDescent="0.2">
      <c r="A571" t="s">
        <v>582</v>
      </c>
      <c r="B571">
        <v>5.8858481200000003</v>
      </c>
      <c r="C571">
        <v>0.85502628000000003</v>
      </c>
      <c r="D571">
        <v>6.04754696</v>
      </c>
      <c r="E571">
        <v>0.47410824000000001</v>
      </c>
      <c r="F571">
        <v>3.2923827600000002</v>
      </c>
      <c r="G571">
        <v>1.33712714</v>
      </c>
      <c r="H571">
        <v>2.8621485199999999</v>
      </c>
      <c r="I571">
        <v>9.4957199999999992E-3</v>
      </c>
      <c r="J571">
        <v>1</v>
      </c>
      <c r="K571">
        <v>950025</v>
      </c>
      <c r="L571">
        <f t="shared" si="69"/>
        <v>1.2663010615384615E-2</v>
      </c>
      <c r="M571">
        <f t="shared" si="70"/>
        <v>5.1427966923076919E-3</v>
      </c>
      <c r="N571">
        <f t="shared" si="71"/>
        <v>1.1008263538461538E-2</v>
      </c>
      <c r="O571">
        <f t="shared" si="72"/>
        <v>8.0755301153846142E-3</v>
      </c>
      <c r="P571">
        <f t="shared" si="68"/>
        <v>48.384589843724434</v>
      </c>
      <c r="R571">
        <f t="shared" si="73"/>
        <v>-8.7763028067123109E-5</v>
      </c>
    </row>
    <row r="572" spans="1:19" x14ac:dyDescent="0.2">
      <c r="A572" t="s">
        <v>583</v>
      </c>
      <c r="B572">
        <v>5.8793596199999998</v>
      </c>
      <c r="C572">
        <v>0.81634149</v>
      </c>
      <c r="D572">
        <v>6.0429406700000001</v>
      </c>
      <c r="E572">
        <v>0.47410824000000001</v>
      </c>
      <c r="F572">
        <v>3.30624012</v>
      </c>
      <c r="G572">
        <v>1.3373309600000001</v>
      </c>
      <c r="H572">
        <v>2.8609796599999999</v>
      </c>
      <c r="I572">
        <v>9.6783300000000006E-3</v>
      </c>
      <c r="J572">
        <v>1</v>
      </c>
      <c r="K572">
        <v>950025</v>
      </c>
      <c r="L572">
        <f t="shared" si="69"/>
        <v>1.2716308153846154E-2</v>
      </c>
      <c r="M572">
        <f t="shared" si="70"/>
        <v>5.1435806153846157E-3</v>
      </c>
      <c r="N572">
        <f t="shared" si="71"/>
        <v>1.1003767923076923E-2</v>
      </c>
      <c r="O572">
        <f t="shared" si="72"/>
        <v>8.0736742692307691E-3</v>
      </c>
      <c r="P572">
        <f t="shared" si="68"/>
        <v>46.195478536712194</v>
      </c>
      <c r="R572">
        <f t="shared" si="73"/>
        <v>-9.6205365090315271E-4</v>
      </c>
    </row>
    <row r="573" spans="1:19" x14ac:dyDescent="0.2">
      <c r="A573" t="s">
        <v>584</v>
      </c>
      <c r="B573">
        <v>5.8604132</v>
      </c>
      <c r="C573">
        <v>0.70345584000000005</v>
      </c>
      <c r="D573">
        <v>6.0337280900000003</v>
      </c>
      <c r="E573">
        <v>0.41484471000000001</v>
      </c>
      <c r="F573">
        <v>3.3211997700000002</v>
      </c>
      <c r="G573">
        <v>1.3379424200000001</v>
      </c>
      <c r="H573">
        <v>2.8487344600000002</v>
      </c>
      <c r="I573">
        <v>9.6783300000000006E-3</v>
      </c>
      <c r="J573">
        <v>1</v>
      </c>
      <c r="K573">
        <v>950025</v>
      </c>
      <c r="L573">
        <f t="shared" si="69"/>
        <v>1.277384526923077E-2</v>
      </c>
      <c r="M573">
        <f t="shared" si="70"/>
        <v>5.1459323846153853E-3</v>
      </c>
      <c r="N573">
        <f t="shared" si="71"/>
        <v>1.0956671000000001E-2</v>
      </c>
      <c r="O573">
        <f t="shared" si="72"/>
        <v>8.0513016923076924E-3</v>
      </c>
      <c r="P573">
        <f t="shared" si="68"/>
        <v>39.807457487239624</v>
      </c>
      <c r="R573">
        <f t="shared" si="73"/>
        <v>-9.6602400972392317E-4</v>
      </c>
    </row>
    <row r="574" spans="1:19" x14ac:dyDescent="0.2">
      <c r="A574" t="s">
        <v>585</v>
      </c>
      <c r="B574">
        <v>5.8508102199999996</v>
      </c>
      <c r="C574">
        <v>0.61644807000000001</v>
      </c>
      <c r="D574">
        <v>6.0147911199999999</v>
      </c>
      <c r="E574">
        <v>0.41484471000000001</v>
      </c>
      <c r="F574">
        <v>3.3282859199999999</v>
      </c>
      <c r="G574">
        <v>1.3377386</v>
      </c>
      <c r="H574">
        <v>2.83548738</v>
      </c>
      <c r="I574">
        <v>9.6783300000000006E-3</v>
      </c>
      <c r="J574">
        <v>1</v>
      </c>
      <c r="K574">
        <v>950025</v>
      </c>
      <c r="L574">
        <f t="shared" si="69"/>
        <v>1.2801099692307692E-2</v>
      </c>
      <c r="M574">
        <f t="shared" si="70"/>
        <v>5.1451484615384615E-3</v>
      </c>
      <c r="N574">
        <f t="shared" si="71"/>
        <v>1.0905720692307693E-2</v>
      </c>
      <c r="O574">
        <f t="shared" si="72"/>
        <v>8.0254345769230767E-3</v>
      </c>
      <c r="P574">
        <f t="shared" si="68"/>
        <v>34.883824888874209</v>
      </c>
      <c r="R574">
        <f t="shared" si="73"/>
        <v>-1.3919914516349672E-3</v>
      </c>
    </row>
    <row r="575" spans="1:19" x14ac:dyDescent="0.2">
      <c r="A575" t="s">
        <v>586</v>
      </c>
      <c r="B575">
        <v>5.8264134600000004</v>
      </c>
      <c r="C575">
        <v>0.52217864999999997</v>
      </c>
      <c r="D575">
        <v>5.98971243</v>
      </c>
      <c r="E575">
        <v>0.41484471000000001</v>
      </c>
      <c r="F575">
        <v>3.3331674900000001</v>
      </c>
      <c r="G575">
        <v>1.3375347799999999</v>
      </c>
      <c r="H575">
        <v>2.8132233800000002</v>
      </c>
      <c r="I575">
        <v>9.8609400000000003E-3</v>
      </c>
      <c r="J575">
        <v>1</v>
      </c>
      <c r="K575">
        <v>950025</v>
      </c>
      <c r="L575">
        <f t="shared" si="69"/>
        <v>1.2819874961538462E-2</v>
      </c>
      <c r="M575">
        <f t="shared" si="70"/>
        <v>5.1443645384615377E-3</v>
      </c>
      <c r="N575">
        <f t="shared" si="71"/>
        <v>1.0820089923076924E-2</v>
      </c>
      <c r="O575">
        <f t="shared" si="72"/>
        <v>7.9822272307692316E-3</v>
      </c>
      <c r="P575">
        <f t="shared" si="68"/>
        <v>29.549266959840971</v>
      </c>
      <c r="R575">
        <f t="shared" si="73"/>
        <v>-2.030765457192074E-3</v>
      </c>
    </row>
    <row r="576" spans="1:19" x14ac:dyDescent="0.2">
      <c r="A576" t="s">
        <v>587</v>
      </c>
      <c r="B576">
        <v>5.7931923400000001</v>
      </c>
      <c r="C576">
        <v>0.41985539999999999</v>
      </c>
      <c r="D576">
        <v>5.9477440100000001</v>
      </c>
      <c r="E576">
        <v>0.41484471000000001</v>
      </c>
      <c r="F576">
        <v>3.3389938799999999</v>
      </c>
      <c r="G576">
        <v>1.3335942599999999</v>
      </c>
      <c r="H576">
        <v>2.7775453200000002</v>
      </c>
      <c r="I576">
        <v>9.8609400000000003E-3</v>
      </c>
      <c r="J576">
        <v>1</v>
      </c>
      <c r="K576">
        <v>950025</v>
      </c>
      <c r="L576">
        <f t="shared" si="69"/>
        <v>1.2842284153846154E-2</v>
      </c>
      <c r="M576">
        <f t="shared" si="70"/>
        <v>5.1292086923076918E-3</v>
      </c>
      <c r="N576">
        <f t="shared" si="71"/>
        <v>1.0682866615384616E-2</v>
      </c>
      <c r="O576">
        <f t="shared" si="72"/>
        <v>7.9060376538461537E-3</v>
      </c>
      <c r="P576">
        <f t="shared" si="68"/>
        <v>23.758955482248872</v>
      </c>
      <c r="R576">
        <f t="shared" si="73"/>
        <v>-2.2252929911378066E-3</v>
      </c>
    </row>
    <row r="577" spans="1:19" x14ac:dyDescent="0.2">
      <c r="A577" t="s">
        <v>588</v>
      </c>
      <c r="B577">
        <v>5.74543698</v>
      </c>
      <c r="C577">
        <v>0.32439771000000001</v>
      </c>
      <c r="D577">
        <v>5.8929803400000003</v>
      </c>
      <c r="E577">
        <v>0.41484471000000001</v>
      </c>
      <c r="F577">
        <v>3.3385214699999999</v>
      </c>
      <c r="G577">
        <v>1.3255094000000001</v>
      </c>
      <c r="H577">
        <v>2.7306796000000002</v>
      </c>
      <c r="I577">
        <v>9.8609400000000003E-3</v>
      </c>
      <c r="J577">
        <v>1</v>
      </c>
      <c r="K577">
        <v>950025</v>
      </c>
      <c r="L577">
        <f t="shared" si="69"/>
        <v>1.2840467192307692E-2</v>
      </c>
      <c r="M577">
        <f t="shared" si="70"/>
        <v>5.0981130769230769E-3</v>
      </c>
      <c r="N577">
        <f t="shared" si="71"/>
        <v>1.0502613846153848E-2</v>
      </c>
      <c r="O577">
        <f t="shared" si="72"/>
        <v>7.8003634615384614E-3</v>
      </c>
      <c r="P577">
        <f t="shared" si="68"/>
        <v>18.357155226379081</v>
      </c>
      <c r="R577">
        <f t="shared" si="73"/>
        <v>-1.9985455635193579E-3</v>
      </c>
    </row>
    <row r="578" spans="1:19" x14ac:dyDescent="0.2">
      <c r="A578" t="s">
        <v>589</v>
      </c>
      <c r="B578">
        <v>5.6979411600000001</v>
      </c>
      <c r="C578">
        <v>0.24055866000000001</v>
      </c>
      <c r="D578">
        <v>5.8382166700000004</v>
      </c>
      <c r="E578">
        <v>0.41484471000000001</v>
      </c>
      <c r="F578">
        <v>3.3293882099999998</v>
      </c>
      <c r="G578">
        <v>1.31348402</v>
      </c>
      <c r="H578">
        <v>2.6776912799999999</v>
      </c>
      <c r="I578">
        <v>9.6783300000000006E-3</v>
      </c>
      <c r="J578">
        <v>1</v>
      </c>
      <c r="K578">
        <v>950025</v>
      </c>
      <c r="L578">
        <f t="shared" si="69"/>
        <v>1.2805339269230769E-2</v>
      </c>
      <c r="M578">
        <f t="shared" si="70"/>
        <v>5.0518616153846152E-3</v>
      </c>
      <c r="N578">
        <f t="shared" si="71"/>
        <v>1.0298812615384616E-2</v>
      </c>
      <c r="O578">
        <f t="shared" si="72"/>
        <v>7.6753371153846159E-3</v>
      </c>
      <c r="P578">
        <f t="shared" si="68"/>
        <v>13.612835499577812</v>
      </c>
      <c r="R578">
        <f t="shared" si="73"/>
        <v>-1.5393603701964113E-3</v>
      </c>
    </row>
    <row r="579" spans="1:19" x14ac:dyDescent="0.2">
      <c r="A579" t="s">
        <v>590</v>
      </c>
      <c r="B579">
        <v>5.6449949999999998</v>
      </c>
      <c r="C579">
        <v>0.16556562</v>
      </c>
      <c r="D579">
        <v>5.7855002400000002</v>
      </c>
      <c r="E579">
        <v>0.47410824000000001</v>
      </c>
      <c r="F579">
        <v>3.3191526599999999</v>
      </c>
      <c r="G579">
        <v>1.29853722</v>
      </c>
      <c r="H579">
        <v>2.6229775000000002</v>
      </c>
      <c r="I579">
        <v>9.6783300000000006E-3</v>
      </c>
      <c r="J579">
        <v>1</v>
      </c>
      <c r="K579">
        <v>950025</v>
      </c>
      <c r="L579">
        <f t="shared" si="69"/>
        <v>1.2765971769230769E-2</v>
      </c>
      <c r="M579">
        <f t="shared" si="70"/>
        <v>4.9943739230769229E-3</v>
      </c>
      <c r="N579">
        <f t="shared" si="71"/>
        <v>1.0088375E-2</v>
      </c>
      <c r="O579">
        <f t="shared" si="72"/>
        <v>7.541374461538462E-3</v>
      </c>
      <c r="P579">
        <f t="shared" ref="P579:P642" si="77">+C579*4/(PI()*0.15^2)</f>
        <v>9.3690975392264413</v>
      </c>
      <c r="R579">
        <f t="shared" si="73"/>
        <v>-9.8681853995679324E-4</v>
      </c>
    </row>
    <row r="580" spans="1:19" x14ac:dyDescent="0.2">
      <c r="A580" t="s">
        <v>591</v>
      </c>
      <c r="B580">
        <v>5.5943847</v>
      </c>
      <c r="C580">
        <v>9.9946709999999994E-2</v>
      </c>
      <c r="D580">
        <v>5.732272</v>
      </c>
      <c r="E580">
        <v>0.73091687000000005</v>
      </c>
      <c r="F580">
        <v>3.3048228900000001</v>
      </c>
      <c r="G580">
        <v>1.2833866</v>
      </c>
      <c r="H580">
        <v>2.5698221999999999</v>
      </c>
      <c r="I580">
        <v>9.8609400000000003E-3</v>
      </c>
      <c r="J580">
        <v>1</v>
      </c>
      <c r="K580">
        <v>950025</v>
      </c>
      <c r="L580">
        <f t="shared" ref="L580:L643" si="78">+F580/260</f>
        <v>1.2710857269230769E-2</v>
      </c>
      <c r="M580">
        <f t="shared" ref="M580:M643" si="79">+G580/260</f>
        <v>4.9361023076923078E-3</v>
      </c>
      <c r="N580">
        <f t="shared" ref="N580:N643" si="80">+H580/260</f>
        <v>9.8839315384615378E-3</v>
      </c>
      <c r="O580">
        <f t="shared" ref="O580:O643" si="81">(+G580+H580)/520</f>
        <v>7.4100169230769232E-3</v>
      </c>
      <c r="P580">
        <f t="shared" si="77"/>
        <v>5.6558268239189919</v>
      </c>
      <c r="R580">
        <f t="shared" ref="R580:R643" si="82">+(P580+P581)/2*(O581-O580)</f>
        <v>-3.9904345274920143E-4</v>
      </c>
    </row>
    <row r="581" spans="1:19" x14ac:dyDescent="0.2">
      <c r="A581" t="s">
        <v>592</v>
      </c>
      <c r="B581">
        <v>5.5515606000000002</v>
      </c>
      <c r="C581">
        <v>5.2811999999999998E-2</v>
      </c>
      <c r="D581">
        <v>5.6903035800000001</v>
      </c>
      <c r="E581">
        <v>1.0272345199999999</v>
      </c>
      <c r="F581">
        <v>3.2832495000000002</v>
      </c>
      <c r="G581">
        <v>1.27305972</v>
      </c>
      <c r="H581">
        <v>2.53214038</v>
      </c>
      <c r="I581">
        <v>9.8609400000000003E-3</v>
      </c>
      <c r="J581">
        <v>1</v>
      </c>
      <c r="K581">
        <v>950025</v>
      </c>
      <c r="L581">
        <f t="shared" si="78"/>
        <v>1.2627882692307692E-2</v>
      </c>
      <c r="M581">
        <f t="shared" si="79"/>
        <v>4.8963835384615382E-3</v>
      </c>
      <c r="N581">
        <f t="shared" si="80"/>
        <v>9.7390014615384608E-3</v>
      </c>
      <c r="O581">
        <f t="shared" si="81"/>
        <v>7.3176925000000004E-3</v>
      </c>
      <c r="P581">
        <f t="shared" si="77"/>
        <v>2.9885478594023738</v>
      </c>
      <c r="R581">
        <f t="shared" si="82"/>
        <v>-7.9364183855166722E-5</v>
      </c>
    </row>
    <row r="582" spans="1:19" x14ac:dyDescent="0.2">
      <c r="A582" t="s">
        <v>593</v>
      </c>
      <c r="B582">
        <v>5.5411789999999996</v>
      </c>
      <c r="C582">
        <v>5.0303430000000003E-2</v>
      </c>
      <c r="D582">
        <v>5.6790437599999999</v>
      </c>
      <c r="E582">
        <v>1.1457615800000001</v>
      </c>
      <c r="F582">
        <v>3.2624634600000002</v>
      </c>
      <c r="G582">
        <v>1.2693230200000001</v>
      </c>
      <c r="H582">
        <v>2.5217319599999999</v>
      </c>
      <c r="I582">
        <v>9.6783300000000006E-3</v>
      </c>
      <c r="J582">
        <v>1</v>
      </c>
      <c r="K582">
        <v>950025</v>
      </c>
      <c r="L582">
        <f t="shared" si="78"/>
        <v>1.2547936384615386E-2</v>
      </c>
      <c r="M582">
        <f t="shared" si="79"/>
        <v>4.882011615384616E-3</v>
      </c>
      <c r="N582">
        <f t="shared" si="80"/>
        <v>9.6989690769230773E-3</v>
      </c>
      <c r="O582">
        <f t="shared" si="81"/>
        <v>7.2904903461538462E-3</v>
      </c>
      <c r="P582">
        <f t="shared" si="77"/>
        <v>2.8465918360807612</v>
      </c>
      <c r="R582">
        <f t="shared" si="82"/>
        <v>1.785117371429974E-4</v>
      </c>
    </row>
    <row r="583" spans="1:19" x14ac:dyDescent="0.2">
      <c r="A583" t="s">
        <v>594</v>
      </c>
      <c r="B583">
        <v>5.5562323200000003</v>
      </c>
      <c r="C583">
        <v>0.10800054000000001</v>
      </c>
      <c r="D583">
        <v>5.7010515899999996</v>
      </c>
      <c r="E583">
        <v>1.1457615800000001</v>
      </c>
      <c r="F583">
        <v>3.24671646</v>
      </c>
      <c r="G583">
        <v>1.2691192</v>
      </c>
      <c r="H583">
        <v>2.5426601199999999</v>
      </c>
      <c r="I583">
        <v>9.6783300000000006E-3</v>
      </c>
      <c r="J583">
        <v>1</v>
      </c>
      <c r="K583">
        <v>950025</v>
      </c>
      <c r="L583">
        <f t="shared" si="78"/>
        <v>1.2487371000000001E-2</v>
      </c>
      <c r="M583">
        <f t="shared" si="79"/>
        <v>4.8812276923076922E-3</v>
      </c>
      <c r="N583">
        <f t="shared" si="80"/>
        <v>9.7794619999999992E-3</v>
      </c>
      <c r="O583">
        <f t="shared" si="81"/>
        <v>7.3303448461538457E-3</v>
      </c>
      <c r="P583">
        <f t="shared" si="77"/>
        <v>6.1115803724778548</v>
      </c>
      <c r="R583">
        <f t="shared" si="82"/>
        <v>7.8782907948764084E-4</v>
      </c>
    </row>
    <row r="584" spans="1:19" x14ac:dyDescent="0.2">
      <c r="A584" t="s">
        <v>595</v>
      </c>
      <c r="B584">
        <v>5.5943847</v>
      </c>
      <c r="C584">
        <v>0.18814275</v>
      </c>
      <c r="D584">
        <v>5.7399491500000002</v>
      </c>
      <c r="E584">
        <v>0.96797098999999998</v>
      </c>
      <c r="F584">
        <v>3.2341188600000002</v>
      </c>
      <c r="G584">
        <v>1.2757093799999999</v>
      </c>
      <c r="H584">
        <v>2.5849617199999999</v>
      </c>
      <c r="I584">
        <v>9.6783300000000006E-3</v>
      </c>
      <c r="J584">
        <v>1</v>
      </c>
      <c r="K584">
        <v>950026</v>
      </c>
      <c r="L584">
        <f t="shared" si="78"/>
        <v>1.2438918692307692E-2</v>
      </c>
      <c r="M584">
        <f t="shared" si="79"/>
        <v>4.9065745384615379E-3</v>
      </c>
      <c r="N584">
        <f t="shared" si="80"/>
        <v>9.9421604615384605E-3</v>
      </c>
      <c r="O584">
        <f t="shared" si="81"/>
        <v>7.4243675E-3</v>
      </c>
      <c r="P584">
        <f t="shared" si="77"/>
        <v>10.646701749120957</v>
      </c>
      <c r="Q584">
        <f t="shared" ref="Q584" si="83">ABS(0.5*(SUMPRODUCT(O584:O602,P585:P603)+O603*P584-(SUMPRODUCT(O585:O603,P584:P602)+O584*P603)))</f>
        <v>5.2011569366072763E-3</v>
      </c>
      <c r="R584">
        <f t="shared" si="82"/>
        <v>1.8654781354201289E-3</v>
      </c>
    </row>
    <row r="585" spans="1:19" x14ac:dyDescent="0.2">
      <c r="A585" t="s">
        <v>596</v>
      </c>
      <c r="B585">
        <v>5.6481094799999996</v>
      </c>
      <c r="C585">
        <v>0.28571291999999998</v>
      </c>
      <c r="D585">
        <v>5.8008545399999996</v>
      </c>
      <c r="E585">
        <v>0.84944392999999996</v>
      </c>
      <c r="F585">
        <v>3.2249856000000001</v>
      </c>
      <c r="G585">
        <v>1.2898409</v>
      </c>
      <c r="H585">
        <v>2.6431820799999999</v>
      </c>
      <c r="I585">
        <v>9.6783300000000006E-3</v>
      </c>
      <c r="J585">
        <v>1</v>
      </c>
      <c r="K585">
        <v>950026</v>
      </c>
      <c r="L585">
        <f t="shared" si="78"/>
        <v>1.2403790769230769E-2</v>
      </c>
      <c r="M585">
        <f t="shared" si="79"/>
        <v>4.9609265384615384E-3</v>
      </c>
      <c r="N585">
        <f t="shared" si="80"/>
        <v>1.0166084923076923E-2</v>
      </c>
      <c r="O585">
        <f t="shared" si="81"/>
        <v>7.5635057307692297E-3</v>
      </c>
      <c r="P585">
        <f t="shared" si="77"/>
        <v>16.168043919366841</v>
      </c>
      <c r="R585">
        <f t="shared" si="82"/>
        <v>2.964871130653544E-3</v>
      </c>
    </row>
    <row r="586" spans="1:19" x14ac:dyDescent="0.2">
      <c r="A586" t="s">
        <v>597</v>
      </c>
      <c r="B586">
        <v>5.7091013799999999</v>
      </c>
      <c r="C586">
        <v>0.39688217999999997</v>
      </c>
      <c r="D586">
        <v>5.8679016500000003</v>
      </c>
      <c r="E586">
        <v>0.73091687000000005</v>
      </c>
      <c r="F586">
        <v>3.2265603</v>
      </c>
      <c r="G586">
        <v>1.30560298</v>
      </c>
      <c r="H586">
        <v>2.70724674</v>
      </c>
      <c r="I586">
        <v>9.8609400000000003E-3</v>
      </c>
      <c r="J586">
        <v>1</v>
      </c>
      <c r="K586">
        <v>950026</v>
      </c>
      <c r="L586">
        <f t="shared" si="78"/>
        <v>1.2409847307692307E-2</v>
      </c>
      <c r="M586">
        <f t="shared" si="79"/>
        <v>5.0215499230769232E-3</v>
      </c>
      <c r="N586">
        <f t="shared" si="80"/>
        <v>1.0412487461538462E-2</v>
      </c>
      <c r="O586">
        <f t="shared" si="81"/>
        <v>7.7170186923076929E-3</v>
      </c>
      <c r="P586">
        <f t="shared" si="77"/>
        <v>22.458937163408837</v>
      </c>
      <c r="R586">
        <f t="shared" si="82"/>
        <v>3.8877809160351717E-3</v>
      </c>
    </row>
    <row r="587" spans="1:19" x14ac:dyDescent="0.2">
      <c r="A587" t="s">
        <v>598</v>
      </c>
      <c r="B587">
        <v>5.77320776</v>
      </c>
      <c r="C587">
        <v>0.53221293000000003</v>
      </c>
      <c r="D587">
        <v>5.9385314300000003</v>
      </c>
      <c r="E587">
        <v>0.67165333999999999</v>
      </c>
      <c r="F587">
        <v>3.2341188600000002</v>
      </c>
      <c r="G587">
        <v>1.3196665599999999</v>
      </c>
      <c r="H587">
        <v>2.77008688</v>
      </c>
      <c r="I587">
        <v>9.8609400000000003E-3</v>
      </c>
      <c r="J587">
        <v>1</v>
      </c>
      <c r="K587">
        <v>950026</v>
      </c>
      <c r="L587">
        <f t="shared" si="78"/>
        <v>1.2438918692307692E-2</v>
      </c>
      <c r="M587">
        <f t="shared" si="79"/>
        <v>5.075640615384615E-3</v>
      </c>
      <c r="N587">
        <f t="shared" si="80"/>
        <v>1.0654180307692308E-2</v>
      </c>
      <c r="O587">
        <f t="shared" si="81"/>
        <v>7.8649104615384612E-3</v>
      </c>
      <c r="P587">
        <f t="shared" si="77"/>
        <v>30.117091053127425</v>
      </c>
      <c r="R587">
        <f t="shared" si="82"/>
        <v>4.404474988262715E-3</v>
      </c>
    </row>
    <row r="588" spans="1:19" x14ac:dyDescent="0.2">
      <c r="A588" t="s">
        <v>599</v>
      </c>
      <c r="B588">
        <v>5.8303065600000004</v>
      </c>
      <c r="C588">
        <v>0.71282997000000003</v>
      </c>
      <c r="D588">
        <v>6.0040431099999996</v>
      </c>
      <c r="E588">
        <v>0.61238981000000003</v>
      </c>
      <c r="F588">
        <v>3.2457716400000001</v>
      </c>
      <c r="G588">
        <v>1.33046902</v>
      </c>
      <c r="H588">
        <v>2.82429972</v>
      </c>
      <c r="I588">
        <v>9.6783300000000006E-3</v>
      </c>
      <c r="J588">
        <v>1</v>
      </c>
      <c r="K588">
        <v>950026</v>
      </c>
      <c r="L588">
        <f t="shared" si="78"/>
        <v>1.2483737076923077E-2</v>
      </c>
      <c r="M588">
        <f t="shared" si="79"/>
        <v>5.1171885384615383E-3</v>
      </c>
      <c r="N588">
        <f t="shared" si="80"/>
        <v>1.0862691230769231E-2</v>
      </c>
      <c r="O588">
        <f t="shared" si="81"/>
        <v>7.9899398846153841E-3</v>
      </c>
      <c r="P588">
        <f t="shared" si="77"/>
        <v>40.33792473228354</v>
      </c>
      <c r="R588">
        <f t="shared" si="82"/>
        <v>2.6871493942278606E-3</v>
      </c>
    </row>
    <row r="589" spans="1:19" x14ac:dyDescent="0.2">
      <c r="A589" t="s">
        <v>600</v>
      </c>
      <c r="B589">
        <v>5.8692375600000002</v>
      </c>
      <c r="C589">
        <v>0.82109456999999997</v>
      </c>
      <c r="D589">
        <v>6.0383343800000002</v>
      </c>
      <c r="E589">
        <v>0.53337177000000002</v>
      </c>
      <c r="F589">
        <v>3.2605738199999998</v>
      </c>
      <c r="G589">
        <v>1.3358362800000001</v>
      </c>
      <c r="H589">
        <v>2.8511278400000002</v>
      </c>
      <c r="I589">
        <v>9.6783300000000006E-3</v>
      </c>
      <c r="J589">
        <v>1</v>
      </c>
      <c r="K589">
        <v>950026</v>
      </c>
      <c r="L589">
        <f t="shared" si="78"/>
        <v>1.2540668538461537E-2</v>
      </c>
      <c r="M589">
        <f t="shared" si="79"/>
        <v>5.1378318461538465E-3</v>
      </c>
      <c r="N589">
        <f t="shared" si="80"/>
        <v>1.0965876307692309E-2</v>
      </c>
      <c r="O589">
        <f t="shared" si="81"/>
        <v>8.0518540769230779E-3</v>
      </c>
      <c r="P589">
        <f t="shared" si="77"/>
        <v>46.464447844058405</v>
      </c>
      <c r="R589">
        <f t="shared" si="82"/>
        <v>8.198433650905329E-4</v>
      </c>
    </row>
    <row r="590" spans="1:19" x14ac:dyDescent="0.2">
      <c r="A590" t="s">
        <v>601</v>
      </c>
      <c r="B590">
        <v>5.8816954800000003</v>
      </c>
      <c r="C590">
        <v>0.84446387999999994</v>
      </c>
      <c r="D590">
        <v>6.0511296300000001</v>
      </c>
      <c r="E590">
        <v>0.53337177000000002</v>
      </c>
      <c r="F590">
        <v>3.2769507</v>
      </c>
      <c r="G590">
        <v>1.3369233199999999</v>
      </c>
      <c r="H590">
        <v>2.8590872200000002</v>
      </c>
      <c r="I590">
        <v>9.6783300000000006E-3</v>
      </c>
      <c r="J590">
        <v>1</v>
      </c>
      <c r="K590">
        <v>950026</v>
      </c>
      <c r="L590">
        <f t="shared" si="78"/>
        <v>1.2603656538461539E-2</v>
      </c>
      <c r="M590">
        <f t="shared" si="79"/>
        <v>5.142012769230769E-3</v>
      </c>
      <c r="N590">
        <f t="shared" si="80"/>
        <v>1.0996489307692309E-2</v>
      </c>
      <c r="O590">
        <f t="shared" si="81"/>
        <v>8.0692510384615373E-3</v>
      </c>
      <c r="P590">
        <f t="shared" si="77"/>
        <v>47.786880271843955</v>
      </c>
      <c r="R590">
        <f t="shared" si="82"/>
        <v>2.9191636934772225E-4</v>
      </c>
      <c r="S590">
        <f>ABS(SUMIFS($R:$R,$K:$K,K590))</f>
        <v>5.2520476468227309E-3</v>
      </c>
    </row>
    <row r="591" spans="1:19" x14ac:dyDescent="0.2">
      <c r="A591" t="s">
        <v>602</v>
      </c>
      <c r="B591">
        <v>5.8824740999999996</v>
      </c>
      <c r="C591">
        <v>0.84697244999999999</v>
      </c>
      <c r="D591">
        <v>6.0526650599999998</v>
      </c>
      <c r="E591">
        <v>0.53337177000000002</v>
      </c>
      <c r="F591">
        <v>3.2928551700000002</v>
      </c>
      <c r="G591">
        <v>1.3375347799999999</v>
      </c>
      <c r="H591">
        <v>2.8616475800000001</v>
      </c>
      <c r="I591">
        <v>9.6783300000000006E-3</v>
      </c>
      <c r="J591">
        <v>1</v>
      </c>
      <c r="K591">
        <v>950026</v>
      </c>
      <c r="L591">
        <f t="shared" si="78"/>
        <v>1.2664827576923077E-2</v>
      </c>
      <c r="M591">
        <f t="shared" si="79"/>
        <v>5.1443645384615377E-3</v>
      </c>
      <c r="N591">
        <f t="shared" si="80"/>
        <v>1.1006336846153847E-2</v>
      </c>
      <c r="O591">
        <f t="shared" si="81"/>
        <v>8.0753506923076923E-3</v>
      </c>
      <c r="P591">
        <f t="shared" si="77"/>
        <v>47.928836295165567</v>
      </c>
      <c r="R591">
        <f t="shared" si="82"/>
        <v>-7.2560270738372893E-5</v>
      </c>
    </row>
    <row r="592" spans="1:19" x14ac:dyDescent="0.2">
      <c r="A592" t="s">
        <v>603</v>
      </c>
      <c r="B592">
        <v>5.8770237600000002</v>
      </c>
      <c r="C592">
        <v>0.82399922999999997</v>
      </c>
      <c r="D592">
        <v>6.0490823899999997</v>
      </c>
      <c r="E592">
        <v>0.53337177000000002</v>
      </c>
      <c r="F592">
        <v>3.3043504800000001</v>
      </c>
      <c r="G592">
        <v>1.3377386</v>
      </c>
      <c r="H592">
        <v>2.8606457000000001</v>
      </c>
      <c r="I592">
        <v>9.6783300000000006E-3</v>
      </c>
      <c r="J592">
        <v>1</v>
      </c>
      <c r="K592">
        <v>950026</v>
      </c>
      <c r="L592">
        <f t="shared" si="78"/>
        <v>1.2709040307692309E-2</v>
      </c>
      <c r="M592">
        <f t="shared" si="79"/>
        <v>5.1451484615384615E-3</v>
      </c>
      <c r="N592">
        <f t="shared" si="80"/>
        <v>1.1002483461538462E-2</v>
      </c>
      <c r="O592">
        <f t="shared" si="81"/>
        <v>8.0738159615384615E-3</v>
      </c>
      <c r="P592">
        <f t="shared" si="77"/>
        <v>46.628817976325536</v>
      </c>
      <c r="R592">
        <f t="shared" si="82"/>
        <v>-1.1161194840908785E-3</v>
      </c>
    </row>
    <row r="593" spans="1:18" x14ac:dyDescent="0.2">
      <c r="A593" t="s">
        <v>604</v>
      </c>
      <c r="B593">
        <v>5.8627490599999996</v>
      </c>
      <c r="C593">
        <v>0.70517222999999996</v>
      </c>
      <c r="D593">
        <v>6.0291218000000004</v>
      </c>
      <c r="E593">
        <v>0.53337177000000002</v>
      </c>
      <c r="F593">
        <v>3.31679061</v>
      </c>
      <c r="G593">
        <v>1.3377386</v>
      </c>
      <c r="H593">
        <v>2.84723164</v>
      </c>
      <c r="I593">
        <v>9.6783300000000006E-3</v>
      </c>
      <c r="J593">
        <v>1</v>
      </c>
      <c r="K593">
        <v>950026</v>
      </c>
      <c r="L593">
        <f t="shared" si="78"/>
        <v>1.2756886961538462E-2</v>
      </c>
      <c r="M593">
        <f t="shared" si="79"/>
        <v>5.1451484615384615E-3</v>
      </c>
      <c r="N593">
        <f t="shared" si="80"/>
        <v>1.0950890923076924E-2</v>
      </c>
      <c r="O593">
        <f t="shared" si="81"/>
        <v>8.0480196923076921E-3</v>
      </c>
      <c r="P593">
        <f t="shared" si="77"/>
        <v>39.904585292670191</v>
      </c>
      <c r="R593">
        <f t="shared" si="82"/>
        <v>-9.8779018698181838E-4</v>
      </c>
    </row>
    <row r="594" spans="1:18" x14ac:dyDescent="0.2">
      <c r="A594" t="s">
        <v>605</v>
      </c>
      <c r="B594">
        <v>5.8453598800000002</v>
      </c>
      <c r="C594">
        <v>0.60997860000000004</v>
      </c>
      <c r="D594">
        <v>6.0163265499999996</v>
      </c>
      <c r="E594">
        <v>0.53337177000000002</v>
      </c>
      <c r="F594">
        <v>3.32639628</v>
      </c>
      <c r="G594">
        <v>1.3377386</v>
      </c>
      <c r="H594">
        <v>2.8334279599999999</v>
      </c>
      <c r="I594">
        <v>9.6783300000000006E-3</v>
      </c>
      <c r="J594">
        <v>1</v>
      </c>
      <c r="K594">
        <v>950026</v>
      </c>
      <c r="L594">
        <f t="shared" si="78"/>
        <v>1.2793831846153847E-2</v>
      </c>
      <c r="M594">
        <f t="shared" si="79"/>
        <v>5.1451484615384615E-3</v>
      </c>
      <c r="N594">
        <f t="shared" si="80"/>
        <v>1.0897799846153846E-2</v>
      </c>
      <c r="O594">
        <f t="shared" si="81"/>
        <v>8.0214741538461535E-3</v>
      </c>
      <c r="P594">
        <f t="shared" si="77"/>
        <v>34.517727776097423</v>
      </c>
      <c r="R594">
        <f t="shared" si="82"/>
        <v>-1.3314271407389145E-3</v>
      </c>
    </row>
    <row r="595" spans="1:18" x14ac:dyDescent="0.2">
      <c r="A595" t="s">
        <v>606</v>
      </c>
      <c r="B595">
        <v>5.8256348400000002</v>
      </c>
      <c r="C595">
        <v>0.52019820000000005</v>
      </c>
      <c r="D595">
        <v>5.9917596700000004</v>
      </c>
      <c r="E595">
        <v>0.53337177000000002</v>
      </c>
      <c r="F595">
        <v>3.3326950800000001</v>
      </c>
      <c r="G595">
        <v>1.33712714</v>
      </c>
      <c r="H595">
        <v>2.8123884800000001</v>
      </c>
      <c r="I595">
        <v>9.4957199999999992E-3</v>
      </c>
      <c r="J595">
        <v>1</v>
      </c>
      <c r="K595">
        <v>950026</v>
      </c>
      <c r="L595">
        <f t="shared" si="78"/>
        <v>1.2818058E-2</v>
      </c>
      <c r="M595">
        <f t="shared" si="79"/>
        <v>5.1427966923076919E-3</v>
      </c>
      <c r="N595">
        <f t="shared" si="80"/>
        <v>1.081687876923077E-2</v>
      </c>
      <c r="O595">
        <f t="shared" si="81"/>
        <v>7.9798377307692299E-3</v>
      </c>
      <c r="P595">
        <f t="shared" si="77"/>
        <v>29.437196415113387</v>
      </c>
      <c r="R595">
        <f t="shared" si="82"/>
        <v>-1.976914381554477E-3</v>
      </c>
    </row>
    <row r="596" spans="1:18" x14ac:dyDescent="0.2">
      <c r="A596" t="s">
        <v>607</v>
      </c>
      <c r="B596">
        <v>5.7924137199999999</v>
      </c>
      <c r="C596">
        <v>0.42064758000000002</v>
      </c>
      <c r="D596">
        <v>5.9492794399999998</v>
      </c>
      <c r="E596">
        <v>0.53337177000000002</v>
      </c>
      <c r="F596">
        <v>3.33600195</v>
      </c>
      <c r="G596">
        <v>1.33318662</v>
      </c>
      <c r="H596">
        <v>2.7777123000000001</v>
      </c>
      <c r="I596">
        <v>9.8609400000000003E-3</v>
      </c>
      <c r="J596">
        <v>1</v>
      </c>
      <c r="K596">
        <v>950026</v>
      </c>
      <c r="L596">
        <f t="shared" si="78"/>
        <v>1.283077673076923E-2</v>
      </c>
      <c r="M596">
        <f t="shared" si="79"/>
        <v>5.1276408461538459E-3</v>
      </c>
      <c r="N596">
        <f t="shared" si="80"/>
        <v>1.0683508846153846E-2</v>
      </c>
      <c r="O596">
        <f t="shared" si="81"/>
        <v>7.9055748461538469E-3</v>
      </c>
      <c r="P596">
        <f t="shared" si="77"/>
        <v>23.80378370013991</v>
      </c>
      <c r="R596">
        <f t="shared" si="82"/>
        <v>-2.2055900880688884E-3</v>
      </c>
    </row>
    <row r="597" spans="1:18" x14ac:dyDescent="0.2">
      <c r="A597" t="s">
        <v>608</v>
      </c>
      <c r="B597">
        <v>5.7480323799999997</v>
      </c>
      <c r="C597">
        <v>0.32558598</v>
      </c>
      <c r="D597">
        <v>5.8975866300000002</v>
      </c>
      <c r="E597">
        <v>0.53337177000000002</v>
      </c>
      <c r="F597">
        <v>3.33647436</v>
      </c>
      <c r="G597">
        <v>1.3248979400000001</v>
      </c>
      <c r="H597">
        <v>2.7316814800000002</v>
      </c>
      <c r="I597">
        <v>9.8609400000000003E-3</v>
      </c>
      <c r="J597">
        <v>1</v>
      </c>
      <c r="K597">
        <v>950026</v>
      </c>
      <c r="L597">
        <f t="shared" si="78"/>
        <v>1.2832593692307692E-2</v>
      </c>
      <c r="M597">
        <f t="shared" si="79"/>
        <v>5.0957613076923081E-3</v>
      </c>
      <c r="N597">
        <f t="shared" si="80"/>
        <v>1.0506467230769232E-2</v>
      </c>
      <c r="O597">
        <f t="shared" si="81"/>
        <v>7.8011142692307701E-3</v>
      </c>
      <c r="P597">
        <f t="shared" si="77"/>
        <v>18.424397553215634</v>
      </c>
      <c r="R597">
        <f t="shared" si="82"/>
        <v>-1.9787692257949908E-3</v>
      </c>
    </row>
    <row r="598" spans="1:18" x14ac:dyDescent="0.2">
      <c r="A598" t="s">
        <v>609</v>
      </c>
      <c r="B598">
        <v>5.6971625399999999</v>
      </c>
      <c r="C598">
        <v>0.24055866000000001</v>
      </c>
      <c r="D598">
        <v>5.8433347700000002</v>
      </c>
      <c r="E598">
        <v>0.53337177000000002</v>
      </c>
      <c r="F598">
        <v>3.3293882099999998</v>
      </c>
      <c r="G598">
        <v>1.31348402</v>
      </c>
      <c r="H598">
        <v>2.6788601399999998</v>
      </c>
      <c r="I598">
        <v>9.8609400000000003E-3</v>
      </c>
      <c r="J598">
        <v>1</v>
      </c>
      <c r="K598">
        <v>950026</v>
      </c>
      <c r="L598">
        <f t="shared" si="78"/>
        <v>1.2805339269230769E-2</v>
      </c>
      <c r="M598">
        <f t="shared" si="79"/>
        <v>5.0518616153846152E-3</v>
      </c>
      <c r="N598">
        <f t="shared" si="80"/>
        <v>1.0303308230769231E-2</v>
      </c>
      <c r="O598">
        <f t="shared" si="81"/>
        <v>7.6775849230769234E-3</v>
      </c>
      <c r="P598">
        <f t="shared" si="77"/>
        <v>13.612835499577812</v>
      </c>
      <c r="R598">
        <f t="shared" si="82"/>
        <v>-1.5231313951023682E-3</v>
      </c>
    </row>
    <row r="599" spans="1:18" x14ac:dyDescent="0.2">
      <c r="A599" t="s">
        <v>610</v>
      </c>
      <c r="B599">
        <v>5.6481094799999996</v>
      </c>
      <c r="C599">
        <v>0.16516953000000001</v>
      </c>
      <c r="D599">
        <v>5.7885711000000004</v>
      </c>
      <c r="E599">
        <v>0.53337177000000002</v>
      </c>
      <c r="F599">
        <v>3.3163182</v>
      </c>
      <c r="G599">
        <v>1.2991486800000001</v>
      </c>
      <c r="H599">
        <v>2.6242020199999998</v>
      </c>
      <c r="I599">
        <v>9.6783300000000006E-3</v>
      </c>
      <c r="J599">
        <v>1</v>
      </c>
      <c r="K599">
        <v>950026</v>
      </c>
      <c r="L599">
        <f t="shared" si="78"/>
        <v>1.275507E-2</v>
      </c>
      <c r="M599">
        <f t="shared" si="79"/>
        <v>4.9967256923076925E-3</v>
      </c>
      <c r="N599">
        <f t="shared" si="80"/>
        <v>1.0093084692307691E-2</v>
      </c>
      <c r="O599">
        <f t="shared" si="81"/>
        <v>7.5449051923076917E-3</v>
      </c>
      <c r="P599">
        <f t="shared" si="77"/>
        <v>9.3466834302809243</v>
      </c>
      <c r="R599">
        <f t="shared" si="82"/>
        <v>-9.9297962576823579E-4</v>
      </c>
    </row>
    <row r="600" spans="1:18" x14ac:dyDescent="0.2">
      <c r="A600" t="s">
        <v>611</v>
      </c>
      <c r="B600">
        <v>5.5943847</v>
      </c>
      <c r="C600">
        <v>0.1003428</v>
      </c>
      <c r="D600">
        <v>5.7338074299999997</v>
      </c>
      <c r="E600">
        <v>0.61238981000000003</v>
      </c>
      <c r="F600">
        <v>3.3024608400000002</v>
      </c>
      <c r="G600">
        <v>1.28379424</v>
      </c>
      <c r="H600">
        <v>2.57082408</v>
      </c>
      <c r="I600">
        <v>9.6783300000000006E-3</v>
      </c>
      <c r="J600">
        <v>1</v>
      </c>
      <c r="K600">
        <v>950026</v>
      </c>
      <c r="L600">
        <f t="shared" si="78"/>
        <v>1.2701772461538462E-2</v>
      </c>
      <c r="M600">
        <f t="shared" si="79"/>
        <v>4.9376701538461536E-3</v>
      </c>
      <c r="N600">
        <f t="shared" si="80"/>
        <v>9.8877849230769223E-3</v>
      </c>
      <c r="O600">
        <f t="shared" si="81"/>
        <v>7.4127275384615384E-3</v>
      </c>
      <c r="P600">
        <f t="shared" si="77"/>
        <v>5.6782409328645098</v>
      </c>
      <c r="R600">
        <f t="shared" si="82"/>
        <v>-4.0936516155671014E-4</v>
      </c>
    </row>
    <row r="601" spans="1:18" x14ac:dyDescent="0.2">
      <c r="A601" t="s">
        <v>612</v>
      </c>
      <c r="B601">
        <v>5.5523392200000004</v>
      </c>
      <c r="C601">
        <v>5.4396359999999998E-2</v>
      </c>
      <c r="D601">
        <v>5.6918390099999998</v>
      </c>
      <c r="E601">
        <v>1.0272345199999999</v>
      </c>
      <c r="F601">
        <v>3.2851391400000001</v>
      </c>
      <c r="G601">
        <v>1.2728558999999999</v>
      </c>
      <c r="H601">
        <v>2.53314226</v>
      </c>
      <c r="I601">
        <v>9.8609400000000003E-3</v>
      </c>
      <c r="J601">
        <v>1</v>
      </c>
      <c r="K601">
        <v>950026</v>
      </c>
      <c r="L601">
        <f t="shared" si="78"/>
        <v>1.2635150538461539E-2</v>
      </c>
      <c r="M601">
        <f t="shared" si="79"/>
        <v>4.8955996153846153E-3</v>
      </c>
      <c r="N601">
        <f t="shared" si="80"/>
        <v>9.7428548461538454E-3</v>
      </c>
      <c r="O601">
        <f t="shared" si="81"/>
        <v>7.3192272307692303E-3</v>
      </c>
      <c r="P601">
        <f t="shared" si="77"/>
        <v>3.0782042951844448</v>
      </c>
      <c r="R601">
        <f t="shared" si="82"/>
        <v>-7.8843984570900236E-5</v>
      </c>
    </row>
    <row r="602" spans="1:18" x14ac:dyDescent="0.2">
      <c r="A602" t="s">
        <v>613</v>
      </c>
      <c r="B602">
        <v>5.53884314</v>
      </c>
      <c r="C602">
        <v>5.1227639999999998E-2</v>
      </c>
      <c r="D602">
        <v>5.6775083300000002</v>
      </c>
      <c r="E602">
        <v>1.20502511</v>
      </c>
      <c r="F602">
        <v>3.2624634600000002</v>
      </c>
      <c r="G602">
        <v>1.2693230200000001</v>
      </c>
      <c r="H602">
        <v>2.5229564799999999</v>
      </c>
      <c r="I602">
        <v>9.8609400000000003E-3</v>
      </c>
      <c r="J602">
        <v>1</v>
      </c>
      <c r="K602">
        <v>950026</v>
      </c>
      <c r="L602">
        <f t="shared" si="78"/>
        <v>1.2547936384615386E-2</v>
      </c>
      <c r="M602">
        <f t="shared" si="79"/>
        <v>4.882011615384616E-3</v>
      </c>
      <c r="N602">
        <f t="shared" si="80"/>
        <v>9.7036787692307697E-3</v>
      </c>
      <c r="O602">
        <f t="shared" si="81"/>
        <v>7.2928451923076924E-3</v>
      </c>
      <c r="P602">
        <f t="shared" si="77"/>
        <v>2.8988914236203027</v>
      </c>
      <c r="R602">
        <f t="shared" si="82"/>
        <v>1.8840215826394004E-4</v>
      </c>
    </row>
    <row r="603" spans="1:18" x14ac:dyDescent="0.2">
      <c r="A603" t="s">
        <v>614</v>
      </c>
      <c r="B603">
        <v>5.5577895599999998</v>
      </c>
      <c r="C603">
        <v>0.11077317</v>
      </c>
      <c r="D603">
        <v>5.7010515899999996</v>
      </c>
      <c r="E603">
        <v>1.1457615800000001</v>
      </c>
      <c r="F603">
        <v>3.2452992300000001</v>
      </c>
      <c r="G603">
        <v>1.2693230200000001</v>
      </c>
      <c r="H603">
        <v>2.54432992</v>
      </c>
      <c r="I603">
        <v>1.004355E-2</v>
      </c>
      <c r="J603">
        <v>1</v>
      </c>
      <c r="K603">
        <v>950026</v>
      </c>
      <c r="L603">
        <f t="shared" si="78"/>
        <v>1.2481920115384616E-2</v>
      </c>
      <c r="M603">
        <f t="shared" si="79"/>
        <v>4.882011615384616E-3</v>
      </c>
      <c r="N603">
        <f t="shared" si="80"/>
        <v>9.7858843076923073E-3</v>
      </c>
      <c r="O603">
        <f t="shared" si="81"/>
        <v>7.3339479615384612E-3</v>
      </c>
      <c r="P603">
        <f t="shared" si="77"/>
        <v>6.268479135096479</v>
      </c>
      <c r="R603">
        <f t="shared" si="82"/>
        <v>8.1562213448766743E-4</v>
      </c>
    </row>
    <row r="604" spans="1:18" x14ac:dyDescent="0.2">
      <c r="A604" t="s">
        <v>615</v>
      </c>
      <c r="B604">
        <v>5.5974991799999998</v>
      </c>
      <c r="C604">
        <v>0.19104741</v>
      </c>
      <c r="D604">
        <v>5.7414845799999998</v>
      </c>
      <c r="E604">
        <v>0.96797098999999998</v>
      </c>
      <c r="F604">
        <v>3.2331740400000002</v>
      </c>
      <c r="G604">
        <v>1.2761849599999999</v>
      </c>
      <c r="H604">
        <v>2.5871324599999999</v>
      </c>
      <c r="I604">
        <v>1.022616E-2</v>
      </c>
      <c r="J604">
        <v>1</v>
      </c>
      <c r="K604">
        <v>950027</v>
      </c>
      <c r="L604">
        <f t="shared" si="78"/>
        <v>1.2435284769230771E-2</v>
      </c>
      <c r="M604">
        <f t="shared" si="79"/>
        <v>4.9084036923076916E-3</v>
      </c>
      <c r="N604">
        <f t="shared" si="80"/>
        <v>9.9505094615384617E-3</v>
      </c>
      <c r="O604">
        <f t="shared" si="81"/>
        <v>7.4294565769230762E-3</v>
      </c>
      <c r="P604">
        <f t="shared" si="77"/>
        <v>10.811071881388088</v>
      </c>
      <c r="Q604">
        <f t="shared" ref="Q604" si="84">ABS(0.5*(SUMPRODUCT(O604:O622,P605:P623)+O623*P604-(SUMPRODUCT(O605:O623,P604:P622)+O604*P623)))</f>
        <v>5.1653324312217475E-3</v>
      </c>
      <c r="R604">
        <f t="shared" si="82"/>
        <v>1.8070222249236296E-3</v>
      </c>
    </row>
    <row r="605" spans="1:18" x14ac:dyDescent="0.2">
      <c r="A605" t="s">
        <v>616</v>
      </c>
      <c r="B605">
        <v>5.6504453400000001</v>
      </c>
      <c r="C605">
        <v>0.28399653000000002</v>
      </c>
      <c r="D605">
        <v>5.8023899700000001</v>
      </c>
      <c r="E605">
        <v>0.90870746000000002</v>
      </c>
      <c r="F605">
        <v>3.2254580100000001</v>
      </c>
      <c r="G605">
        <v>1.29004472</v>
      </c>
      <c r="H605">
        <v>2.6431820799999999</v>
      </c>
      <c r="I605">
        <v>9.8609400000000003E-3</v>
      </c>
      <c r="J605">
        <v>1</v>
      </c>
      <c r="K605">
        <v>950027</v>
      </c>
      <c r="L605">
        <f t="shared" si="78"/>
        <v>1.2405607730769231E-2</v>
      </c>
      <c r="M605">
        <f t="shared" si="79"/>
        <v>4.9617104615384613E-3</v>
      </c>
      <c r="N605">
        <f t="shared" si="80"/>
        <v>1.0166084923076923E-2</v>
      </c>
      <c r="O605">
        <f t="shared" si="81"/>
        <v>7.5638976923076921E-3</v>
      </c>
      <c r="P605">
        <f t="shared" si="77"/>
        <v>16.070916113936267</v>
      </c>
      <c r="R605">
        <f t="shared" si="82"/>
        <v>2.8703855723691972E-3</v>
      </c>
    </row>
    <row r="606" spans="1:18" x14ac:dyDescent="0.2">
      <c r="A606" t="s">
        <v>617</v>
      </c>
      <c r="B606">
        <v>5.7091013799999999</v>
      </c>
      <c r="C606">
        <v>0.39160097999999999</v>
      </c>
      <c r="D606">
        <v>5.8714843200000004</v>
      </c>
      <c r="E606">
        <v>0.73091687000000005</v>
      </c>
      <c r="F606">
        <v>3.2249856000000001</v>
      </c>
      <c r="G606">
        <v>1.3053991599999999</v>
      </c>
      <c r="H606">
        <v>2.7059109000000001</v>
      </c>
      <c r="I606">
        <v>9.6783300000000006E-3</v>
      </c>
      <c r="J606">
        <v>1</v>
      </c>
      <c r="K606">
        <v>950027</v>
      </c>
      <c r="L606">
        <f t="shared" si="78"/>
        <v>1.2403790769230769E-2</v>
      </c>
      <c r="M606">
        <f t="shared" si="79"/>
        <v>5.0207659999999994E-3</v>
      </c>
      <c r="N606">
        <f t="shared" si="80"/>
        <v>1.0407349615384616E-2</v>
      </c>
      <c r="O606">
        <f t="shared" si="81"/>
        <v>7.714057807692307E-3</v>
      </c>
      <c r="P606">
        <f t="shared" si="77"/>
        <v>22.160082377468601</v>
      </c>
      <c r="R606">
        <f t="shared" si="82"/>
        <v>3.778675075871291E-3</v>
      </c>
    </row>
    <row r="607" spans="1:18" x14ac:dyDescent="0.2">
      <c r="A607" t="s">
        <v>618</v>
      </c>
      <c r="B607">
        <v>5.7685360399999999</v>
      </c>
      <c r="C607">
        <v>0.52534736999999998</v>
      </c>
      <c r="D607">
        <v>5.9400668599999999</v>
      </c>
      <c r="E607">
        <v>0.61238981000000003</v>
      </c>
      <c r="F607">
        <v>3.2336464500000002</v>
      </c>
      <c r="G607">
        <v>1.3188512800000001</v>
      </c>
      <c r="H607">
        <v>2.7681944399999998</v>
      </c>
      <c r="I607">
        <v>9.8609400000000003E-3</v>
      </c>
      <c r="J607">
        <v>1</v>
      </c>
      <c r="K607">
        <v>950027</v>
      </c>
      <c r="L607">
        <f t="shared" si="78"/>
        <v>1.2437101730769231E-2</v>
      </c>
      <c r="M607">
        <f t="shared" si="79"/>
        <v>5.0725049230769233E-3</v>
      </c>
      <c r="N607">
        <f t="shared" si="80"/>
        <v>1.0646901692307692E-2</v>
      </c>
      <c r="O607">
        <f t="shared" si="81"/>
        <v>7.8597033076923083E-3</v>
      </c>
      <c r="P607">
        <f t="shared" si="77"/>
        <v>29.728579831405114</v>
      </c>
      <c r="R607">
        <f t="shared" si="82"/>
        <v>4.4228273158348356E-3</v>
      </c>
    </row>
    <row r="608" spans="1:18" x14ac:dyDescent="0.2">
      <c r="A608" t="s">
        <v>619</v>
      </c>
      <c r="B608">
        <v>5.8318637999999998</v>
      </c>
      <c r="C608">
        <v>0.70385193000000001</v>
      </c>
      <c r="D608">
        <v>6.0071139699999998</v>
      </c>
      <c r="E608">
        <v>0.61238981000000003</v>
      </c>
      <c r="F608">
        <v>3.24624405</v>
      </c>
      <c r="G608">
        <v>1.3302651999999999</v>
      </c>
      <c r="H608">
        <v>2.82290822</v>
      </c>
      <c r="I608">
        <v>9.8609400000000003E-3</v>
      </c>
      <c r="J608">
        <v>1</v>
      </c>
      <c r="K608">
        <v>950027</v>
      </c>
      <c r="L608">
        <f t="shared" si="78"/>
        <v>1.2485554038461539E-2</v>
      </c>
      <c r="M608">
        <f t="shared" si="79"/>
        <v>5.1164046153846154E-3</v>
      </c>
      <c r="N608">
        <f t="shared" si="80"/>
        <v>1.0857339307692308E-2</v>
      </c>
      <c r="O608">
        <f t="shared" si="81"/>
        <v>7.9868719615384613E-3</v>
      </c>
      <c r="P608">
        <f t="shared" si="77"/>
        <v>39.829871596185136</v>
      </c>
      <c r="R608">
        <f t="shared" si="82"/>
        <v>2.8236085602069516E-3</v>
      </c>
    </row>
    <row r="609" spans="1:19" x14ac:dyDescent="0.2">
      <c r="A609" t="s">
        <v>620</v>
      </c>
      <c r="B609">
        <v>5.8681994</v>
      </c>
      <c r="C609">
        <v>0.82597967999999999</v>
      </c>
      <c r="D609">
        <v>6.0383343800000002</v>
      </c>
      <c r="E609">
        <v>0.61238981000000003</v>
      </c>
      <c r="F609">
        <v>3.2591565899999999</v>
      </c>
      <c r="G609">
        <v>1.33563246</v>
      </c>
      <c r="H609">
        <v>2.8514618</v>
      </c>
      <c r="I609">
        <v>9.6783300000000006E-3</v>
      </c>
      <c r="J609">
        <v>1</v>
      </c>
      <c r="K609">
        <v>950027</v>
      </c>
      <c r="L609">
        <f t="shared" si="78"/>
        <v>1.2535217653846154E-2</v>
      </c>
      <c r="M609">
        <f t="shared" si="79"/>
        <v>5.1370479230769235E-3</v>
      </c>
      <c r="N609">
        <f t="shared" si="80"/>
        <v>1.0967160769230769E-2</v>
      </c>
      <c r="O609">
        <f t="shared" si="81"/>
        <v>8.0521043461538461E-3</v>
      </c>
      <c r="P609">
        <f t="shared" si="77"/>
        <v>46.74088852105313</v>
      </c>
      <c r="R609">
        <f t="shared" si="82"/>
        <v>8.5738690015917649E-4</v>
      </c>
    </row>
    <row r="610" spans="1:19" x14ac:dyDescent="0.2">
      <c r="A610" t="s">
        <v>621</v>
      </c>
      <c r="B610">
        <v>5.8824740999999996</v>
      </c>
      <c r="C610">
        <v>0.85383801000000004</v>
      </c>
      <c r="D610">
        <v>6.04754696</v>
      </c>
      <c r="E610">
        <v>0.61238981000000003</v>
      </c>
      <c r="F610">
        <v>3.27647829</v>
      </c>
      <c r="G610">
        <v>1.3367195000000001</v>
      </c>
      <c r="H610">
        <v>2.8597551399999999</v>
      </c>
      <c r="I610">
        <v>9.6783300000000006E-3</v>
      </c>
      <c r="J610">
        <v>1</v>
      </c>
      <c r="K610">
        <v>950027</v>
      </c>
      <c r="L610">
        <f t="shared" si="78"/>
        <v>1.2601839576923077E-2</v>
      </c>
      <c r="M610">
        <f t="shared" si="79"/>
        <v>5.1412288461538461E-3</v>
      </c>
      <c r="N610">
        <f t="shared" si="80"/>
        <v>1.0999058230769231E-2</v>
      </c>
      <c r="O610">
        <f t="shared" si="81"/>
        <v>8.0701435384615376E-3</v>
      </c>
      <c r="P610">
        <f t="shared" si="77"/>
        <v>48.317347516887878</v>
      </c>
      <c r="R610">
        <f t="shared" si="82"/>
        <v>3.4134458093759733E-4</v>
      </c>
    </row>
    <row r="611" spans="1:19" x14ac:dyDescent="0.2">
      <c r="A611" t="s">
        <v>622</v>
      </c>
      <c r="B611">
        <v>5.8858481200000003</v>
      </c>
      <c r="C611">
        <v>0.8542341</v>
      </c>
      <c r="D611">
        <v>6.0490823899999997</v>
      </c>
      <c r="E611">
        <v>0.61238981000000003</v>
      </c>
      <c r="F611">
        <v>3.2933275800000001</v>
      </c>
      <c r="G611">
        <v>1.3373309600000001</v>
      </c>
      <c r="H611">
        <v>2.86281644</v>
      </c>
      <c r="I611">
        <v>9.8609400000000003E-3</v>
      </c>
      <c r="J611">
        <v>1</v>
      </c>
      <c r="K611">
        <v>950027</v>
      </c>
      <c r="L611">
        <f t="shared" si="78"/>
        <v>1.2666644538461539E-2</v>
      </c>
      <c r="M611">
        <f t="shared" si="79"/>
        <v>5.1435806153846157E-3</v>
      </c>
      <c r="N611">
        <f t="shared" si="80"/>
        <v>1.1010832461538462E-2</v>
      </c>
      <c r="O611">
        <f t="shared" si="81"/>
        <v>8.0772065384615392E-3</v>
      </c>
      <c r="P611">
        <f t="shared" si="77"/>
        <v>48.339761625833397</v>
      </c>
      <c r="R611">
        <f t="shared" si="82"/>
        <v>-1.3006178617715942E-4</v>
      </c>
      <c r="S611">
        <f>ABS(SUMIFS($R:$R,$K:$K,K611))</f>
        <v>5.130675122168373E-3</v>
      </c>
    </row>
    <row r="612" spans="1:19" x14ac:dyDescent="0.2">
      <c r="A612" t="s">
        <v>623</v>
      </c>
      <c r="B612">
        <v>5.8816954800000003</v>
      </c>
      <c r="C612">
        <v>0.81832194000000003</v>
      </c>
      <c r="D612">
        <v>6.0490823899999997</v>
      </c>
      <c r="E612">
        <v>0.61238981000000003</v>
      </c>
      <c r="F612">
        <v>3.30624012</v>
      </c>
      <c r="G612">
        <v>1.3377386</v>
      </c>
      <c r="H612">
        <v>2.8609796599999999</v>
      </c>
      <c r="I612">
        <v>9.6783300000000006E-3</v>
      </c>
      <c r="J612">
        <v>1</v>
      </c>
      <c r="K612">
        <v>950027</v>
      </c>
      <c r="L612">
        <f t="shared" si="78"/>
        <v>1.2716308153846154E-2</v>
      </c>
      <c r="M612">
        <f t="shared" si="79"/>
        <v>5.1451484615384615E-3</v>
      </c>
      <c r="N612">
        <f t="shared" si="80"/>
        <v>1.1003767923076923E-2</v>
      </c>
      <c r="O612">
        <f t="shared" si="81"/>
        <v>8.074458192307692E-3</v>
      </c>
      <c r="P612">
        <f t="shared" si="77"/>
        <v>46.307549081439781</v>
      </c>
      <c r="R612">
        <f t="shared" si="82"/>
        <v>-1.0551425350526428E-3</v>
      </c>
    </row>
    <row r="613" spans="1:19" x14ac:dyDescent="0.2">
      <c r="A613" t="s">
        <v>624</v>
      </c>
      <c r="B613">
        <v>5.8650849200000001</v>
      </c>
      <c r="C613">
        <v>0.70305974999999998</v>
      </c>
      <c r="D613">
        <v>6.0337280900000003</v>
      </c>
      <c r="E613">
        <v>0.53337177000000002</v>
      </c>
      <c r="F613">
        <v>3.3163182</v>
      </c>
      <c r="G613">
        <v>1.3377386</v>
      </c>
      <c r="H613">
        <v>2.84823352</v>
      </c>
      <c r="I613">
        <v>1.004355E-2</v>
      </c>
      <c r="J613">
        <v>1</v>
      </c>
      <c r="K613">
        <v>950027</v>
      </c>
      <c r="L613">
        <f t="shared" si="78"/>
        <v>1.275507E-2</v>
      </c>
      <c r="M613">
        <f t="shared" si="79"/>
        <v>5.1451484615384615E-3</v>
      </c>
      <c r="N613">
        <f t="shared" si="80"/>
        <v>1.0954744307692308E-2</v>
      </c>
      <c r="O613">
        <f t="shared" si="81"/>
        <v>8.0499463846153835E-3</v>
      </c>
      <c r="P613">
        <f t="shared" si="77"/>
        <v>39.785043378294098</v>
      </c>
      <c r="R613">
        <f t="shared" si="82"/>
        <v>-1.0319132245336163E-3</v>
      </c>
    </row>
    <row r="614" spans="1:19" x14ac:dyDescent="0.2">
      <c r="A614" t="s">
        <v>625</v>
      </c>
      <c r="B614">
        <v>5.84458126</v>
      </c>
      <c r="C614">
        <v>0.61077077999999996</v>
      </c>
      <c r="D614">
        <v>6.0147911199999999</v>
      </c>
      <c r="E614">
        <v>0.53337177000000002</v>
      </c>
      <c r="F614">
        <v>3.3282859199999999</v>
      </c>
      <c r="G614">
        <v>1.3379424200000001</v>
      </c>
      <c r="H614">
        <v>2.8335949399999998</v>
      </c>
      <c r="I614">
        <v>9.8609400000000003E-3</v>
      </c>
      <c r="J614">
        <v>1</v>
      </c>
      <c r="K614">
        <v>950027</v>
      </c>
      <c r="L614">
        <f t="shared" si="78"/>
        <v>1.2801099692307692E-2</v>
      </c>
      <c r="M614">
        <f t="shared" si="79"/>
        <v>5.1459323846153853E-3</v>
      </c>
      <c r="N614">
        <f t="shared" si="80"/>
        <v>1.0898442076923077E-2</v>
      </c>
      <c r="O614">
        <f t="shared" si="81"/>
        <v>8.0221872307692319E-3</v>
      </c>
      <c r="P614">
        <f t="shared" si="77"/>
        <v>34.562555993988454</v>
      </c>
      <c r="R614">
        <f t="shared" si="82"/>
        <v>-1.2814020565142543E-3</v>
      </c>
    </row>
    <row r="615" spans="1:19" x14ac:dyDescent="0.2">
      <c r="A615" t="s">
        <v>626</v>
      </c>
      <c r="B615">
        <v>5.8240775999999999</v>
      </c>
      <c r="C615">
        <v>0.52257474000000004</v>
      </c>
      <c r="D615">
        <v>5.9866415699999997</v>
      </c>
      <c r="E615">
        <v>0.47410824000000001</v>
      </c>
      <c r="F615">
        <v>3.3336399000000001</v>
      </c>
      <c r="G615">
        <v>1.3375347799999999</v>
      </c>
      <c r="H615">
        <v>2.8132233800000002</v>
      </c>
      <c r="I615">
        <v>9.8609400000000003E-3</v>
      </c>
      <c r="J615">
        <v>1</v>
      </c>
      <c r="K615">
        <v>950027</v>
      </c>
      <c r="L615">
        <f t="shared" si="78"/>
        <v>1.2821691923076924E-2</v>
      </c>
      <c r="M615">
        <f t="shared" si="79"/>
        <v>5.1443645384615377E-3</v>
      </c>
      <c r="N615">
        <f t="shared" si="80"/>
        <v>1.0820089923076924E-2</v>
      </c>
      <c r="O615">
        <f t="shared" si="81"/>
        <v>7.9822272307692316E-3</v>
      </c>
      <c r="P615">
        <f t="shared" si="77"/>
        <v>29.571681068786493</v>
      </c>
      <c r="R615">
        <f t="shared" si="82"/>
        <v>-1.9953527936730229E-3</v>
      </c>
    </row>
    <row r="616" spans="1:19" x14ac:dyDescent="0.2">
      <c r="A616" t="s">
        <v>627</v>
      </c>
      <c r="B616">
        <v>5.79708544</v>
      </c>
      <c r="C616">
        <v>0.42025149000000001</v>
      </c>
      <c r="D616">
        <v>5.9462085800000004</v>
      </c>
      <c r="E616">
        <v>0.47410824000000001</v>
      </c>
      <c r="F616">
        <v>3.33505713</v>
      </c>
      <c r="G616">
        <v>1.3335942599999999</v>
      </c>
      <c r="H616">
        <v>2.7782689</v>
      </c>
      <c r="I616">
        <v>9.8609400000000003E-3</v>
      </c>
      <c r="J616">
        <v>1</v>
      </c>
      <c r="K616">
        <v>950027</v>
      </c>
      <c r="L616">
        <f t="shared" si="78"/>
        <v>1.2827142807692309E-2</v>
      </c>
      <c r="M616">
        <f t="shared" si="79"/>
        <v>5.1292086923076918E-3</v>
      </c>
      <c r="N616">
        <f t="shared" si="80"/>
        <v>1.0685649615384615E-2</v>
      </c>
      <c r="O616">
        <f t="shared" si="81"/>
        <v>7.9074291538461551E-3</v>
      </c>
      <c r="P616">
        <f t="shared" si="77"/>
        <v>23.781369591194391</v>
      </c>
      <c r="R616">
        <f t="shared" si="82"/>
        <v>-2.210784915580711E-3</v>
      </c>
    </row>
    <row r="617" spans="1:19" x14ac:dyDescent="0.2">
      <c r="A617" t="s">
        <v>628</v>
      </c>
      <c r="B617">
        <v>5.7472537600000004</v>
      </c>
      <c r="C617">
        <v>0.32518988999999998</v>
      </c>
      <c r="D617">
        <v>5.8960511999999996</v>
      </c>
      <c r="E617">
        <v>0.47410824000000001</v>
      </c>
      <c r="F617">
        <v>3.33505713</v>
      </c>
      <c r="G617">
        <v>1.3255094000000001</v>
      </c>
      <c r="H617">
        <v>2.7318484600000001</v>
      </c>
      <c r="I617">
        <v>9.8609400000000003E-3</v>
      </c>
      <c r="J617">
        <v>1</v>
      </c>
      <c r="K617">
        <v>950027</v>
      </c>
      <c r="L617">
        <f t="shared" si="78"/>
        <v>1.2827142807692309E-2</v>
      </c>
      <c r="M617">
        <f t="shared" si="79"/>
        <v>5.0981130769230769E-3</v>
      </c>
      <c r="N617">
        <f t="shared" si="80"/>
        <v>1.0507109461538463E-2</v>
      </c>
      <c r="O617">
        <f t="shared" si="81"/>
        <v>7.8026112692307689E-3</v>
      </c>
      <c r="P617">
        <f t="shared" si="77"/>
        <v>18.401983444270115</v>
      </c>
      <c r="R617">
        <f t="shared" si="82"/>
        <v>-2.0115689974664242E-3</v>
      </c>
    </row>
    <row r="618" spans="1:19" x14ac:dyDescent="0.2">
      <c r="A618" t="s">
        <v>629</v>
      </c>
      <c r="B618">
        <v>5.6987197800000002</v>
      </c>
      <c r="C618">
        <v>0.24135084000000001</v>
      </c>
      <c r="D618">
        <v>5.84026391</v>
      </c>
      <c r="E618">
        <v>0.47410824000000001</v>
      </c>
      <c r="F618">
        <v>3.3308054399999998</v>
      </c>
      <c r="G618">
        <v>1.31307638</v>
      </c>
      <c r="H618">
        <v>2.6790271200000002</v>
      </c>
      <c r="I618">
        <v>9.6783300000000006E-3</v>
      </c>
      <c r="J618">
        <v>1</v>
      </c>
      <c r="K618">
        <v>950027</v>
      </c>
      <c r="L618">
        <f t="shared" si="78"/>
        <v>1.2810790153846154E-2</v>
      </c>
      <c r="M618">
        <f t="shared" si="79"/>
        <v>5.0502937692307693E-3</v>
      </c>
      <c r="N618">
        <f t="shared" si="80"/>
        <v>1.0303950461538463E-2</v>
      </c>
      <c r="O618">
        <f t="shared" si="81"/>
        <v>7.6771221153846157E-3</v>
      </c>
      <c r="P618">
        <f t="shared" si="77"/>
        <v>13.65766371746885</v>
      </c>
      <c r="R618">
        <f t="shared" si="82"/>
        <v>-1.5433136368222954E-3</v>
      </c>
    </row>
    <row r="619" spans="1:19" x14ac:dyDescent="0.2">
      <c r="A619" t="s">
        <v>630</v>
      </c>
      <c r="B619">
        <v>5.6481094799999996</v>
      </c>
      <c r="C619">
        <v>0.1663578</v>
      </c>
      <c r="D619">
        <v>5.7870356699999999</v>
      </c>
      <c r="E619">
        <v>0.47410824000000001</v>
      </c>
      <c r="F619">
        <v>3.31726302</v>
      </c>
      <c r="G619">
        <v>1.2983334</v>
      </c>
      <c r="H619">
        <v>2.6242020199999998</v>
      </c>
      <c r="I619">
        <v>9.8609400000000003E-3</v>
      </c>
      <c r="J619">
        <v>1</v>
      </c>
      <c r="K619">
        <v>950027</v>
      </c>
      <c r="L619">
        <f t="shared" si="78"/>
        <v>1.2758703923076924E-2</v>
      </c>
      <c r="M619">
        <f t="shared" si="79"/>
        <v>4.99359E-3</v>
      </c>
      <c r="N619">
        <f t="shared" si="80"/>
        <v>1.0093084692307691E-2</v>
      </c>
      <c r="O619">
        <f t="shared" si="81"/>
        <v>7.5433373461538458E-3</v>
      </c>
      <c r="P619">
        <f t="shared" si="77"/>
        <v>9.413925757117477</v>
      </c>
      <c r="R619">
        <f t="shared" si="82"/>
        <v>-9.9487193734700127E-4</v>
      </c>
    </row>
    <row r="620" spans="1:19" x14ac:dyDescent="0.2">
      <c r="A620" t="s">
        <v>631</v>
      </c>
      <c r="B620">
        <v>5.5967205599999996</v>
      </c>
      <c r="C620">
        <v>0.10073889</v>
      </c>
      <c r="D620">
        <v>5.7368782899999999</v>
      </c>
      <c r="E620">
        <v>0.79018040000000001</v>
      </c>
      <c r="F620">
        <v>3.3004137299999998</v>
      </c>
      <c r="G620">
        <v>1.2835904199999999</v>
      </c>
      <c r="H620">
        <v>2.5704901200000001</v>
      </c>
      <c r="I620">
        <v>9.8609400000000003E-3</v>
      </c>
      <c r="J620">
        <v>1</v>
      </c>
      <c r="K620">
        <v>950027</v>
      </c>
      <c r="L620">
        <f t="shared" si="78"/>
        <v>1.269389896153846E-2</v>
      </c>
      <c r="M620">
        <f t="shared" si="79"/>
        <v>4.9368862307692307E-3</v>
      </c>
      <c r="N620">
        <f t="shared" si="80"/>
        <v>9.8865004615384614E-3</v>
      </c>
      <c r="O620">
        <f t="shared" si="81"/>
        <v>7.4116933461538465E-3</v>
      </c>
      <c r="P620">
        <f t="shared" si="77"/>
        <v>5.7006550418100277</v>
      </c>
      <c r="R620">
        <f t="shared" si="82"/>
        <v>-4.0759399780575169E-4</v>
      </c>
    </row>
    <row r="621" spans="1:19" x14ac:dyDescent="0.2">
      <c r="A621" t="s">
        <v>632</v>
      </c>
      <c r="B621">
        <v>5.5515606000000002</v>
      </c>
      <c r="C621">
        <v>5.4396359999999998E-2</v>
      </c>
      <c r="D621">
        <v>5.6903035800000001</v>
      </c>
      <c r="E621">
        <v>1.1457615800000001</v>
      </c>
      <c r="F621">
        <v>3.2841943200000001</v>
      </c>
      <c r="G621">
        <v>1.2726520800000001</v>
      </c>
      <c r="H621">
        <v>2.53314226</v>
      </c>
      <c r="I621">
        <v>9.6783300000000006E-3</v>
      </c>
      <c r="J621">
        <v>1</v>
      </c>
      <c r="K621">
        <v>950027</v>
      </c>
      <c r="L621">
        <f t="shared" si="78"/>
        <v>1.2631516615384615E-2</v>
      </c>
      <c r="M621">
        <f t="shared" si="79"/>
        <v>4.8948156923076924E-3</v>
      </c>
      <c r="N621">
        <f t="shared" si="80"/>
        <v>9.7428548461538454E-3</v>
      </c>
      <c r="O621">
        <f t="shared" si="81"/>
        <v>7.3188352692307697E-3</v>
      </c>
      <c r="P621">
        <f t="shared" si="77"/>
        <v>3.0782042951844448</v>
      </c>
      <c r="R621">
        <f t="shared" si="82"/>
        <v>-7.8178866003172015E-5</v>
      </c>
    </row>
    <row r="622" spans="1:19" x14ac:dyDescent="0.2">
      <c r="A622" t="s">
        <v>633</v>
      </c>
      <c r="B622">
        <v>5.5419576199999998</v>
      </c>
      <c r="C622">
        <v>4.9907340000000001E-2</v>
      </c>
      <c r="D622">
        <v>5.6821146200000001</v>
      </c>
      <c r="E622">
        <v>1.1457615800000001</v>
      </c>
      <c r="F622">
        <v>3.2624634600000002</v>
      </c>
      <c r="G622">
        <v>1.26973066</v>
      </c>
      <c r="H622">
        <v>2.5222885599999998</v>
      </c>
      <c r="I622">
        <v>9.8609400000000003E-3</v>
      </c>
      <c r="J622">
        <v>1</v>
      </c>
      <c r="K622">
        <v>950027</v>
      </c>
      <c r="L622">
        <f t="shared" si="78"/>
        <v>1.2547936384615386E-2</v>
      </c>
      <c r="M622">
        <f t="shared" si="79"/>
        <v>4.8835794615384618E-3</v>
      </c>
      <c r="N622">
        <f t="shared" si="80"/>
        <v>9.7011098461538461E-3</v>
      </c>
      <c r="O622">
        <f t="shared" si="81"/>
        <v>7.2923446538461535E-3</v>
      </c>
      <c r="P622">
        <f t="shared" si="77"/>
        <v>2.8241777271352433</v>
      </c>
      <c r="R622">
        <f t="shared" si="82"/>
        <v>1.7440090924517347E-4</v>
      </c>
    </row>
    <row r="623" spans="1:19" x14ac:dyDescent="0.2">
      <c r="A623" t="s">
        <v>634</v>
      </c>
      <c r="B623">
        <v>5.5593468000000001</v>
      </c>
      <c r="C623">
        <v>0.10800054000000001</v>
      </c>
      <c r="D623">
        <v>5.7041224499999998</v>
      </c>
      <c r="E623">
        <v>1.1457615800000001</v>
      </c>
      <c r="F623">
        <v>3.2432521200000002</v>
      </c>
      <c r="G623">
        <v>1.2693230200000001</v>
      </c>
      <c r="H623">
        <v>2.5429940800000002</v>
      </c>
      <c r="I623">
        <v>9.8609400000000003E-3</v>
      </c>
      <c r="J623">
        <v>1</v>
      </c>
      <c r="K623">
        <v>950027</v>
      </c>
      <c r="L623">
        <f t="shared" si="78"/>
        <v>1.2474046615384616E-2</v>
      </c>
      <c r="M623">
        <f t="shared" si="79"/>
        <v>4.882011615384616E-3</v>
      </c>
      <c r="N623">
        <f t="shared" si="80"/>
        <v>9.7807464615384618E-3</v>
      </c>
      <c r="O623">
        <f t="shared" si="81"/>
        <v>7.3313790384615394E-3</v>
      </c>
      <c r="P623">
        <f t="shared" si="77"/>
        <v>6.1115803724778548</v>
      </c>
      <c r="R623">
        <f t="shared" si="82"/>
        <v>7.9520872959657136E-4</v>
      </c>
    </row>
    <row r="624" spans="1:19" x14ac:dyDescent="0.2">
      <c r="A624" t="s">
        <v>635</v>
      </c>
      <c r="B624">
        <v>5.5974991799999998</v>
      </c>
      <c r="C624">
        <v>0.19012319999999999</v>
      </c>
      <c r="D624">
        <v>5.7445554400000001</v>
      </c>
      <c r="E624">
        <v>0.90870746000000002</v>
      </c>
      <c r="F624">
        <v>3.2312843999999998</v>
      </c>
      <c r="G624">
        <v>1.2757093799999999</v>
      </c>
      <c r="H624">
        <v>2.5856296400000001</v>
      </c>
      <c r="I624">
        <v>9.8609400000000003E-3</v>
      </c>
      <c r="J624">
        <v>1</v>
      </c>
      <c r="K624">
        <v>950028</v>
      </c>
      <c r="L624">
        <f t="shared" si="78"/>
        <v>1.2428016923076922E-2</v>
      </c>
      <c r="M624">
        <f t="shared" si="79"/>
        <v>4.9065745384615379E-3</v>
      </c>
      <c r="N624">
        <f t="shared" si="80"/>
        <v>9.9447293846153841E-3</v>
      </c>
      <c r="O624">
        <f t="shared" si="81"/>
        <v>7.4256519615384618E-3</v>
      </c>
      <c r="P624">
        <f t="shared" si="77"/>
        <v>10.758772293848546</v>
      </c>
      <c r="Q624">
        <f t="shared" ref="Q624" si="85">ABS(0.5*(SUMPRODUCT(O624:O642,P625:P643)+O643*P624-(SUMPRODUCT(O625:O643,P624:P642)+O624*P643)))</f>
        <v>5.2263347478589406E-3</v>
      </c>
      <c r="R624">
        <f t="shared" si="82"/>
        <v>1.8346750022285839E-3</v>
      </c>
    </row>
    <row r="625" spans="1:19" x14ac:dyDescent="0.2">
      <c r="A625" t="s">
        <v>636</v>
      </c>
      <c r="B625">
        <v>5.6496667199999999</v>
      </c>
      <c r="C625">
        <v>0.28492074000000001</v>
      </c>
      <c r="D625">
        <v>5.8023899700000001</v>
      </c>
      <c r="E625">
        <v>0.90870746000000002</v>
      </c>
      <c r="F625">
        <v>3.2259304200000001</v>
      </c>
      <c r="G625">
        <v>1.2896370800000001</v>
      </c>
      <c r="H625">
        <v>2.6426811400000001</v>
      </c>
      <c r="I625">
        <v>9.6783300000000006E-3</v>
      </c>
      <c r="J625">
        <v>1</v>
      </c>
      <c r="K625">
        <v>950028</v>
      </c>
      <c r="L625">
        <f t="shared" si="78"/>
        <v>1.2407424692307692E-2</v>
      </c>
      <c r="M625">
        <f t="shared" si="79"/>
        <v>4.9601426153846155E-3</v>
      </c>
      <c r="N625">
        <f t="shared" si="80"/>
        <v>1.0164158230769231E-2</v>
      </c>
      <c r="O625">
        <f t="shared" si="81"/>
        <v>7.5621504230769234E-3</v>
      </c>
      <c r="P625">
        <f t="shared" si="77"/>
        <v>16.123215701475807</v>
      </c>
      <c r="R625">
        <f t="shared" si="82"/>
        <v>2.8995622721538295E-3</v>
      </c>
    </row>
    <row r="626" spans="1:19" x14ac:dyDescent="0.2">
      <c r="A626" t="s">
        <v>637</v>
      </c>
      <c r="B626">
        <v>5.7083227599999997</v>
      </c>
      <c r="C626">
        <v>0.39160097999999999</v>
      </c>
      <c r="D626">
        <v>5.8730197500000001</v>
      </c>
      <c r="E626">
        <v>0.73091687000000005</v>
      </c>
      <c r="F626">
        <v>3.2240407800000002</v>
      </c>
      <c r="G626">
        <v>1.3053991599999999</v>
      </c>
      <c r="H626">
        <v>2.7056882600000001</v>
      </c>
      <c r="I626">
        <v>9.6783300000000006E-3</v>
      </c>
      <c r="J626">
        <v>1</v>
      </c>
      <c r="K626">
        <v>950028</v>
      </c>
      <c r="L626">
        <f t="shared" si="78"/>
        <v>1.2400156846153847E-2</v>
      </c>
      <c r="M626">
        <f t="shared" si="79"/>
        <v>5.0207659999999994E-3</v>
      </c>
      <c r="N626">
        <f t="shared" si="80"/>
        <v>1.0406493307692308E-2</v>
      </c>
      <c r="O626">
        <f t="shared" si="81"/>
        <v>7.7136296538461539E-3</v>
      </c>
      <c r="P626">
        <f t="shared" si="77"/>
        <v>22.160082377468601</v>
      </c>
      <c r="R626">
        <f t="shared" si="82"/>
        <v>3.810748356127395E-3</v>
      </c>
    </row>
    <row r="627" spans="1:19" x14ac:dyDescent="0.2">
      <c r="A627" t="s">
        <v>638</v>
      </c>
      <c r="B627">
        <v>5.7716505199999997</v>
      </c>
      <c r="C627">
        <v>0.52706375999999999</v>
      </c>
      <c r="D627">
        <v>5.9385314300000003</v>
      </c>
      <c r="E627">
        <v>0.53337177000000002</v>
      </c>
      <c r="F627">
        <v>3.2312843999999998</v>
      </c>
      <c r="G627">
        <v>1.3194627400000001</v>
      </c>
      <c r="H627">
        <v>2.76786048</v>
      </c>
      <c r="I627">
        <v>9.6783300000000006E-3</v>
      </c>
      <c r="J627">
        <v>1</v>
      </c>
      <c r="K627">
        <v>950028</v>
      </c>
      <c r="L627">
        <f t="shared" si="78"/>
        <v>1.2428016923076922E-2</v>
      </c>
      <c r="M627">
        <f t="shared" si="79"/>
        <v>5.0748566923076929E-3</v>
      </c>
      <c r="N627">
        <f t="shared" si="80"/>
        <v>1.0645617230769231E-2</v>
      </c>
      <c r="O627">
        <f t="shared" si="81"/>
        <v>7.8602369615384613E-3</v>
      </c>
      <c r="P627">
        <f t="shared" si="77"/>
        <v>29.825707636835691</v>
      </c>
      <c r="R627">
        <f t="shared" si="82"/>
        <v>4.4183514064994834E-3</v>
      </c>
    </row>
    <row r="628" spans="1:19" x14ac:dyDescent="0.2">
      <c r="A628" t="s">
        <v>639</v>
      </c>
      <c r="B628">
        <v>5.8295279400000002</v>
      </c>
      <c r="C628">
        <v>0.70675659000000002</v>
      </c>
      <c r="D628">
        <v>6.0071139699999998</v>
      </c>
      <c r="E628">
        <v>0.47410824000000001</v>
      </c>
      <c r="F628">
        <v>3.2457716400000001</v>
      </c>
      <c r="G628">
        <v>1.3300613800000001</v>
      </c>
      <c r="H628">
        <v>2.8230751999999999</v>
      </c>
      <c r="I628">
        <v>9.6783300000000006E-3</v>
      </c>
      <c r="J628">
        <v>1</v>
      </c>
      <c r="K628">
        <v>950028</v>
      </c>
      <c r="L628">
        <f t="shared" si="78"/>
        <v>1.2483737076923077E-2</v>
      </c>
      <c r="M628">
        <f t="shared" si="79"/>
        <v>5.1156206923076925E-3</v>
      </c>
      <c r="N628">
        <f t="shared" si="80"/>
        <v>1.0857981538461538E-2</v>
      </c>
      <c r="O628">
        <f t="shared" si="81"/>
        <v>7.986801115384615E-3</v>
      </c>
      <c r="P628">
        <f t="shared" si="77"/>
        <v>39.994241728452266</v>
      </c>
      <c r="R628">
        <f t="shared" si="82"/>
        <v>2.798222241850589E-3</v>
      </c>
    </row>
    <row r="629" spans="1:19" x14ac:dyDescent="0.2">
      <c r="A629" t="s">
        <v>640</v>
      </c>
      <c r="B629">
        <v>5.8674207799999998</v>
      </c>
      <c r="C629">
        <v>0.82439532000000004</v>
      </c>
      <c r="D629">
        <v>6.0414052399999996</v>
      </c>
      <c r="E629">
        <v>0.47410824000000001</v>
      </c>
      <c r="F629">
        <v>3.2601014099999999</v>
      </c>
      <c r="G629">
        <v>1.3354286399999999</v>
      </c>
      <c r="H629">
        <v>2.8512948200000001</v>
      </c>
      <c r="I629">
        <v>9.6783300000000006E-3</v>
      </c>
      <c r="J629">
        <v>1</v>
      </c>
      <c r="K629">
        <v>950028</v>
      </c>
      <c r="L629">
        <f t="shared" si="78"/>
        <v>1.2538851576923077E-2</v>
      </c>
      <c r="M629">
        <f t="shared" si="79"/>
        <v>5.1362639999999998E-3</v>
      </c>
      <c r="N629">
        <f t="shared" si="80"/>
        <v>1.0966518538461539E-2</v>
      </c>
      <c r="O629">
        <f t="shared" si="81"/>
        <v>8.0513912692307676E-3</v>
      </c>
      <c r="P629">
        <f t="shared" si="77"/>
        <v>46.651232085271062</v>
      </c>
      <c r="R629">
        <f t="shared" si="82"/>
        <v>8.6221970504097645E-4</v>
      </c>
    </row>
    <row r="630" spans="1:19" x14ac:dyDescent="0.2">
      <c r="A630" t="s">
        <v>641</v>
      </c>
      <c r="B630">
        <v>5.8824740999999996</v>
      </c>
      <c r="C630">
        <v>0.85172552999999995</v>
      </c>
      <c r="D630">
        <v>6.04754696</v>
      </c>
      <c r="E630">
        <v>0.47410824000000001</v>
      </c>
      <c r="F630">
        <v>3.2745886500000001</v>
      </c>
      <c r="G630">
        <v>1.3369233199999999</v>
      </c>
      <c r="H630">
        <v>2.8592542000000001</v>
      </c>
      <c r="I630">
        <v>9.8609400000000003E-3</v>
      </c>
      <c r="J630">
        <v>1</v>
      </c>
      <c r="K630">
        <v>950028</v>
      </c>
      <c r="L630">
        <f t="shared" si="78"/>
        <v>1.259457173076923E-2</v>
      </c>
      <c r="M630">
        <f t="shared" si="79"/>
        <v>5.142012769230769E-3</v>
      </c>
      <c r="N630">
        <f t="shared" si="80"/>
        <v>1.099713153846154E-2</v>
      </c>
      <c r="O630">
        <f t="shared" si="81"/>
        <v>8.0695721538461534E-3</v>
      </c>
      <c r="P630">
        <f t="shared" si="77"/>
        <v>48.197805602511785</v>
      </c>
      <c r="R630">
        <f t="shared" si="82"/>
        <v>2.7537543209908444E-4</v>
      </c>
    </row>
    <row r="631" spans="1:19" x14ac:dyDescent="0.2">
      <c r="A631" t="s">
        <v>642</v>
      </c>
      <c r="B631">
        <v>5.8824740999999996</v>
      </c>
      <c r="C631">
        <v>0.85344191999999997</v>
      </c>
      <c r="D631">
        <v>6.0490823899999997</v>
      </c>
      <c r="E631">
        <v>0.47410824000000001</v>
      </c>
      <c r="F631">
        <v>3.2919103500000002</v>
      </c>
      <c r="G631">
        <v>1.3373309600000001</v>
      </c>
      <c r="H631">
        <v>2.86181456</v>
      </c>
      <c r="I631">
        <v>9.8609400000000003E-3</v>
      </c>
      <c r="J631">
        <v>1</v>
      </c>
      <c r="K631">
        <v>950028</v>
      </c>
      <c r="L631">
        <f t="shared" si="78"/>
        <v>1.2661193653846155E-2</v>
      </c>
      <c r="M631">
        <f t="shared" si="79"/>
        <v>5.1435806153846157E-3</v>
      </c>
      <c r="N631">
        <f t="shared" si="80"/>
        <v>1.1006979076923077E-2</v>
      </c>
      <c r="O631">
        <f t="shared" si="81"/>
        <v>8.0752798461538461E-3</v>
      </c>
      <c r="P631">
        <f t="shared" si="77"/>
        <v>48.294933407942359</v>
      </c>
      <c r="R631">
        <f t="shared" si="82"/>
        <v>-1.0287539360498364E-4</v>
      </c>
    </row>
    <row r="632" spans="1:19" x14ac:dyDescent="0.2">
      <c r="A632" t="s">
        <v>643</v>
      </c>
      <c r="B632">
        <v>5.88013824</v>
      </c>
      <c r="C632">
        <v>0.81673757999999996</v>
      </c>
      <c r="D632">
        <v>6.04754696</v>
      </c>
      <c r="E632">
        <v>0.47410824000000001</v>
      </c>
      <c r="F632">
        <v>3.30576771</v>
      </c>
      <c r="G632">
        <v>1.3375347799999999</v>
      </c>
      <c r="H632">
        <v>2.8604787200000001</v>
      </c>
      <c r="I632">
        <v>9.6783300000000006E-3</v>
      </c>
      <c r="J632">
        <v>1</v>
      </c>
      <c r="K632">
        <v>950028</v>
      </c>
      <c r="L632">
        <f t="shared" si="78"/>
        <v>1.2714491192307692E-2</v>
      </c>
      <c r="M632">
        <f t="shared" si="79"/>
        <v>5.1443645384615377E-3</v>
      </c>
      <c r="N632">
        <f t="shared" si="80"/>
        <v>1.1001841230769232E-2</v>
      </c>
      <c r="O632">
        <f t="shared" si="81"/>
        <v>8.0731028846153848E-3</v>
      </c>
      <c r="P632">
        <f t="shared" si="77"/>
        <v>46.217892645657713</v>
      </c>
      <c r="R632">
        <f t="shared" si="82"/>
        <v>-9.8246689587823746E-4</v>
      </c>
      <c r="S632">
        <f>ABS(SUMIFS($R:$R,$K:$K,K632))</f>
        <v>5.2378726594362272E-3</v>
      </c>
    </row>
    <row r="633" spans="1:19" x14ac:dyDescent="0.2">
      <c r="A633" t="s">
        <v>644</v>
      </c>
      <c r="B633">
        <v>5.8658635400000003</v>
      </c>
      <c r="C633">
        <v>0.70385193000000001</v>
      </c>
      <c r="D633">
        <v>6.0291218000000004</v>
      </c>
      <c r="E633">
        <v>0.47410824000000001</v>
      </c>
      <c r="F633">
        <v>3.31537338</v>
      </c>
      <c r="G633">
        <v>1.3377386</v>
      </c>
      <c r="H633">
        <v>2.8484004999999999</v>
      </c>
      <c r="I633">
        <v>9.6783300000000006E-3</v>
      </c>
      <c r="J633">
        <v>1</v>
      </c>
      <c r="K633">
        <v>950028</v>
      </c>
      <c r="L633">
        <f t="shared" si="78"/>
        <v>1.2751436076923077E-2</v>
      </c>
      <c r="M633">
        <f t="shared" si="79"/>
        <v>5.1451484615384615E-3</v>
      </c>
      <c r="N633">
        <f t="shared" si="80"/>
        <v>1.0955386538461538E-2</v>
      </c>
      <c r="O633">
        <f t="shared" si="81"/>
        <v>8.0502674999999996E-3</v>
      </c>
      <c r="P633">
        <f t="shared" si="77"/>
        <v>39.829871596185136</v>
      </c>
      <c r="R633">
        <f t="shared" si="82"/>
        <v>-1.0322243228829524E-3</v>
      </c>
    </row>
    <row r="634" spans="1:19" x14ac:dyDescent="0.2">
      <c r="A634" t="s">
        <v>645</v>
      </c>
      <c r="B634">
        <v>5.8453598800000002</v>
      </c>
      <c r="C634">
        <v>0.61037469</v>
      </c>
      <c r="D634">
        <v>6.0178619800000002</v>
      </c>
      <c r="E634">
        <v>0.47410824000000001</v>
      </c>
      <c r="F634">
        <v>3.32592387</v>
      </c>
      <c r="G634">
        <v>1.3379424200000001</v>
      </c>
      <c r="H634">
        <v>2.8337619200000002</v>
      </c>
      <c r="I634">
        <v>9.6783300000000006E-3</v>
      </c>
      <c r="J634">
        <v>1</v>
      </c>
      <c r="K634">
        <v>950028</v>
      </c>
      <c r="L634">
        <f t="shared" si="78"/>
        <v>1.2792014884615385E-2</v>
      </c>
      <c r="M634">
        <f t="shared" si="79"/>
        <v>5.1459323846153853E-3</v>
      </c>
      <c r="N634">
        <f t="shared" si="80"/>
        <v>1.0899084307692309E-2</v>
      </c>
      <c r="O634">
        <f t="shared" si="81"/>
        <v>8.0225083461538463E-3</v>
      </c>
      <c r="P634">
        <f t="shared" si="77"/>
        <v>34.540141885042935</v>
      </c>
      <c r="R634">
        <f t="shared" si="82"/>
        <v>-1.3122685030979929E-3</v>
      </c>
    </row>
    <row r="635" spans="1:19" x14ac:dyDescent="0.2">
      <c r="A635" t="s">
        <v>646</v>
      </c>
      <c r="B635">
        <v>5.8264134600000004</v>
      </c>
      <c r="C635">
        <v>0.52099037999999998</v>
      </c>
      <c r="D635">
        <v>5.9917596700000004</v>
      </c>
      <c r="E635">
        <v>0.47410824000000001</v>
      </c>
      <c r="F635">
        <v>3.33505713</v>
      </c>
      <c r="G635">
        <v>1.3373309600000001</v>
      </c>
      <c r="H635">
        <v>2.8130563999999998</v>
      </c>
      <c r="I635">
        <v>9.4957199999999992E-3</v>
      </c>
      <c r="J635">
        <v>1</v>
      </c>
      <c r="K635">
        <v>950028</v>
      </c>
      <c r="L635">
        <f t="shared" si="78"/>
        <v>1.2827142807692309E-2</v>
      </c>
      <c r="M635">
        <f t="shared" si="79"/>
        <v>5.1435806153846157E-3</v>
      </c>
      <c r="N635">
        <f t="shared" si="80"/>
        <v>1.0819447692307691E-2</v>
      </c>
      <c r="O635">
        <f t="shared" si="81"/>
        <v>7.9815141538461531E-3</v>
      </c>
      <c r="P635">
        <f t="shared" si="77"/>
        <v>29.482024633004418</v>
      </c>
      <c r="R635">
        <f t="shared" si="82"/>
        <v>-1.9931714136530746E-3</v>
      </c>
    </row>
    <row r="636" spans="1:19" x14ac:dyDescent="0.2">
      <c r="A636" t="s">
        <v>647</v>
      </c>
      <c r="B636">
        <v>5.7905969400000004</v>
      </c>
      <c r="C636">
        <v>0.41945930999999997</v>
      </c>
      <c r="D636">
        <v>5.9477440100000001</v>
      </c>
      <c r="E636">
        <v>0.47410824000000001</v>
      </c>
      <c r="F636">
        <v>3.33647436</v>
      </c>
      <c r="G636">
        <v>1.3333904400000001</v>
      </c>
      <c r="H636">
        <v>2.77804626</v>
      </c>
      <c r="I636">
        <v>9.6783300000000006E-3</v>
      </c>
      <c r="J636">
        <v>1</v>
      </c>
      <c r="K636">
        <v>950028</v>
      </c>
      <c r="L636">
        <f t="shared" si="78"/>
        <v>1.2832593692307692E-2</v>
      </c>
      <c r="M636">
        <f t="shared" si="79"/>
        <v>5.1284247692307697E-3</v>
      </c>
      <c r="N636">
        <f t="shared" si="80"/>
        <v>1.0684793307692307E-2</v>
      </c>
      <c r="O636">
        <f t="shared" si="81"/>
        <v>7.9066090384615397E-3</v>
      </c>
      <c r="P636">
        <f t="shared" si="77"/>
        <v>23.736541373303353</v>
      </c>
      <c r="R636">
        <f t="shared" si="82"/>
        <v>-2.2241086947082855E-3</v>
      </c>
    </row>
    <row r="637" spans="1:19" x14ac:dyDescent="0.2">
      <c r="A637" t="s">
        <v>648</v>
      </c>
      <c r="B637">
        <v>5.7446583599999999</v>
      </c>
      <c r="C637">
        <v>0.32439771000000001</v>
      </c>
      <c r="D637">
        <v>5.8960511999999996</v>
      </c>
      <c r="E637">
        <v>0.47410824000000001</v>
      </c>
      <c r="F637">
        <v>3.3341123100000001</v>
      </c>
      <c r="G637">
        <v>1.32530558</v>
      </c>
      <c r="H637">
        <v>2.73118054</v>
      </c>
      <c r="I637">
        <v>9.6783300000000006E-3</v>
      </c>
      <c r="J637">
        <v>1</v>
      </c>
      <c r="K637">
        <v>950028</v>
      </c>
      <c r="L637">
        <f t="shared" si="78"/>
        <v>1.2823508884615385E-2</v>
      </c>
      <c r="M637">
        <f t="shared" si="79"/>
        <v>5.097329153846154E-3</v>
      </c>
      <c r="N637">
        <f t="shared" si="80"/>
        <v>1.0504540538461539E-2</v>
      </c>
      <c r="O637">
        <f t="shared" si="81"/>
        <v>7.8009348461538456E-3</v>
      </c>
      <c r="P637">
        <f t="shared" si="77"/>
        <v>18.357155226379081</v>
      </c>
      <c r="R637">
        <f t="shared" si="82"/>
        <v>-1.9743633068136667E-3</v>
      </c>
    </row>
    <row r="638" spans="1:19" x14ac:dyDescent="0.2">
      <c r="A638" t="s">
        <v>649</v>
      </c>
      <c r="B638">
        <v>5.6987197800000002</v>
      </c>
      <c r="C638">
        <v>0.24016256999999999</v>
      </c>
      <c r="D638">
        <v>5.8417993399999997</v>
      </c>
      <c r="E638">
        <v>0.47410824000000001</v>
      </c>
      <c r="F638">
        <v>3.3298606199999998</v>
      </c>
      <c r="G638">
        <v>1.3136878400000001</v>
      </c>
      <c r="H638">
        <v>2.67852618</v>
      </c>
      <c r="I638">
        <v>9.4957199999999992E-3</v>
      </c>
      <c r="J638">
        <v>1</v>
      </c>
      <c r="K638">
        <v>950028</v>
      </c>
      <c r="L638">
        <f t="shared" si="78"/>
        <v>1.280715623076923E-2</v>
      </c>
      <c r="M638">
        <f t="shared" si="79"/>
        <v>5.052645538461539E-3</v>
      </c>
      <c r="N638">
        <f t="shared" si="80"/>
        <v>1.030202376923077E-2</v>
      </c>
      <c r="O638">
        <f t="shared" si="81"/>
        <v>7.6773346538461535E-3</v>
      </c>
      <c r="P638">
        <f t="shared" si="77"/>
        <v>13.590421390632295</v>
      </c>
      <c r="R638">
        <f t="shared" si="82"/>
        <v>-1.5306137026923484E-3</v>
      </c>
    </row>
    <row r="639" spans="1:19" x14ac:dyDescent="0.2">
      <c r="A639" t="s">
        <v>650</v>
      </c>
      <c r="B639">
        <v>5.6457736199999999</v>
      </c>
      <c r="C639">
        <v>0.1663578</v>
      </c>
      <c r="D639">
        <v>5.7855002400000002</v>
      </c>
      <c r="E639">
        <v>0.47410824000000001</v>
      </c>
      <c r="F639">
        <v>3.3191526599999999</v>
      </c>
      <c r="G639">
        <v>1.2991486800000001</v>
      </c>
      <c r="H639">
        <v>2.6238680599999999</v>
      </c>
      <c r="I639">
        <v>1.004355E-2</v>
      </c>
      <c r="J639">
        <v>1</v>
      </c>
      <c r="K639">
        <v>950028</v>
      </c>
      <c r="L639">
        <f t="shared" si="78"/>
        <v>1.2765971769230769E-2</v>
      </c>
      <c r="M639">
        <f t="shared" si="79"/>
        <v>4.9967256923076925E-3</v>
      </c>
      <c r="N639">
        <f t="shared" si="80"/>
        <v>1.009180023076923E-2</v>
      </c>
      <c r="O639">
        <f t="shared" si="81"/>
        <v>7.5442629615384612E-3</v>
      </c>
      <c r="P639">
        <f t="shared" si="77"/>
        <v>9.413925757117477</v>
      </c>
      <c r="R639">
        <f t="shared" si="82"/>
        <v>-1.0003813667057028E-3</v>
      </c>
    </row>
    <row r="640" spans="1:19" x14ac:dyDescent="0.2">
      <c r="A640" t="s">
        <v>651</v>
      </c>
      <c r="B640">
        <v>5.5943847</v>
      </c>
      <c r="C640">
        <v>0.1003428</v>
      </c>
      <c r="D640">
        <v>5.732272</v>
      </c>
      <c r="E640">
        <v>0.79018040000000001</v>
      </c>
      <c r="F640">
        <v>3.3015160200000002</v>
      </c>
      <c r="G640">
        <v>1.2835904199999999</v>
      </c>
      <c r="H640">
        <v>2.5704901200000001</v>
      </c>
      <c r="I640">
        <v>1.004355E-2</v>
      </c>
      <c r="J640">
        <v>1</v>
      </c>
      <c r="K640">
        <v>950028</v>
      </c>
      <c r="L640">
        <f t="shared" si="78"/>
        <v>1.2698138538461539E-2</v>
      </c>
      <c r="M640">
        <f t="shared" si="79"/>
        <v>4.9368862307692307E-3</v>
      </c>
      <c r="N640">
        <f t="shared" si="80"/>
        <v>9.8865004615384614E-3</v>
      </c>
      <c r="O640">
        <f t="shared" si="81"/>
        <v>7.4116933461538465E-3</v>
      </c>
      <c r="P640">
        <f t="shared" si="77"/>
        <v>5.6782409328645098</v>
      </c>
      <c r="R640">
        <f t="shared" si="82"/>
        <v>-3.975729285794533E-4</v>
      </c>
    </row>
    <row r="641" spans="1:19" x14ac:dyDescent="0.2">
      <c r="A641" t="s">
        <v>652</v>
      </c>
      <c r="B641">
        <v>5.55467508</v>
      </c>
      <c r="C641">
        <v>5.4000270000000003E-2</v>
      </c>
      <c r="D641">
        <v>5.6933744400000004</v>
      </c>
      <c r="E641">
        <v>1.0864980500000001</v>
      </c>
      <c r="F641">
        <v>3.2837219100000001</v>
      </c>
      <c r="G641">
        <v>1.2732635400000001</v>
      </c>
      <c r="H641">
        <v>2.5334762199999998</v>
      </c>
      <c r="I641">
        <v>1.004355E-2</v>
      </c>
      <c r="J641">
        <v>1</v>
      </c>
      <c r="K641">
        <v>950028</v>
      </c>
      <c r="L641">
        <f t="shared" si="78"/>
        <v>1.2629699653846154E-2</v>
      </c>
      <c r="M641">
        <f t="shared" si="79"/>
        <v>4.897167461538462E-3</v>
      </c>
      <c r="N641">
        <f t="shared" si="80"/>
        <v>9.7441393076923063E-3</v>
      </c>
      <c r="O641">
        <f t="shared" si="81"/>
        <v>7.3206533846153846E-3</v>
      </c>
      <c r="P641">
        <f t="shared" si="77"/>
        <v>3.0557901862389274</v>
      </c>
      <c r="R641">
        <f t="shared" si="82"/>
        <v>-7.5420901421698955E-5</v>
      </c>
    </row>
    <row r="642" spans="1:19" x14ac:dyDescent="0.2">
      <c r="A642" t="s">
        <v>653</v>
      </c>
      <c r="B642">
        <v>5.5411789999999996</v>
      </c>
      <c r="C642">
        <v>5.2811999999999998E-2</v>
      </c>
      <c r="D642">
        <v>5.6805791899999996</v>
      </c>
      <c r="E642">
        <v>1.1457615800000001</v>
      </c>
      <c r="F642">
        <v>3.2649829800000001</v>
      </c>
      <c r="G642">
        <v>1.2701382999999999</v>
      </c>
      <c r="H642">
        <v>2.5236244000000001</v>
      </c>
      <c r="I642">
        <v>1.004355E-2</v>
      </c>
      <c r="J642">
        <v>1</v>
      </c>
      <c r="K642">
        <v>950028</v>
      </c>
      <c r="L642">
        <f t="shared" si="78"/>
        <v>1.2557626846153847E-2</v>
      </c>
      <c r="M642">
        <f t="shared" si="79"/>
        <v>4.8851473076923077E-3</v>
      </c>
      <c r="N642">
        <f t="shared" si="80"/>
        <v>9.7062476923076933E-3</v>
      </c>
      <c r="O642">
        <f t="shared" si="81"/>
        <v>7.2956975000000009E-3</v>
      </c>
      <c r="P642">
        <f t="shared" si="77"/>
        <v>2.9885478594023738</v>
      </c>
      <c r="R642">
        <f t="shared" si="82"/>
        <v>1.7450565856603673E-4</v>
      </c>
    </row>
    <row r="643" spans="1:19" x14ac:dyDescent="0.2">
      <c r="A643" t="s">
        <v>654</v>
      </c>
      <c r="B643">
        <v>5.5609040399999996</v>
      </c>
      <c r="C643">
        <v>0.10918881</v>
      </c>
      <c r="D643">
        <v>5.7041224499999998</v>
      </c>
      <c r="E643">
        <v>1.1457615800000001</v>
      </c>
      <c r="F643">
        <v>3.2437245300000002</v>
      </c>
      <c r="G643">
        <v>1.26973066</v>
      </c>
      <c r="H643">
        <v>2.5438289799999998</v>
      </c>
      <c r="I643">
        <v>1.004355E-2</v>
      </c>
      <c r="J643">
        <v>1</v>
      </c>
      <c r="K643">
        <v>950028</v>
      </c>
      <c r="L643">
        <f t="shared" si="78"/>
        <v>1.2475863576923077E-2</v>
      </c>
      <c r="M643">
        <f t="shared" si="79"/>
        <v>4.8835794615384618E-3</v>
      </c>
      <c r="N643">
        <f t="shared" si="80"/>
        <v>9.7839576153846142E-3</v>
      </c>
      <c r="O643">
        <f t="shared" si="81"/>
        <v>7.3337685384615384E-3</v>
      </c>
      <c r="P643">
        <f t="shared" ref="P643:P706" si="86">+C643*4/(PI()*0.15^2)</f>
        <v>6.1788226993144075</v>
      </c>
      <c r="R643">
        <f t="shared" si="82"/>
        <v>7.8968001490864513E-4</v>
      </c>
    </row>
    <row r="644" spans="1:19" x14ac:dyDescent="0.2">
      <c r="A644" t="s">
        <v>655</v>
      </c>
      <c r="B644">
        <v>5.5990564200000001</v>
      </c>
      <c r="C644">
        <v>0.18972711</v>
      </c>
      <c r="D644">
        <v>5.7414845799999998</v>
      </c>
      <c r="E644">
        <v>1.0864980500000001</v>
      </c>
      <c r="F644">
        <v>3.2312843999999998</v>
      </c>
      <c r="G644">
        <v>1.2759811400000001</v>
      </c>
      <c r="H644">
        <v>2.5861305799999998</v>
      </c>
      <c r="I644">
        <v>1.004355E-2</v>
      </c>
      <c r="J644">
        <v>1</v>
      </c>
      <c r="K644">
        <v>950029</v>
      </c>
      <c r="L644">
        <f t="shared" ref="L644:L707" si="87">+F644/260</f>
        <v>1.2428016923076922E-2</v>
      </c>
      <c r="M644">
        <f t="shared" ref="M644:M707" si="88">+G644/260</f>
        <v>4.9076197692307696E-3</v>
      </c>
      <c r="N644">
        <f t="shared" ref="N644:N707" si="89">+H644/260</f>
        <v>9.9466560769230772E-3</v>
      </c>
      <c r="O644">
        <f t="shared" ref="O644:O707" si="90">(+G644+H644)/520</f>
        <v>7.4271379230769225E-3</v>
      </c>
      <c r="P644">
        <f t="shared" si="86"/>
        <v>10.736358184903029</v>
      </c>
      <c r="Q644">
        <f t="shared" ref="Q644" si="91">ABS(0.5*(SUMPRODUCT(O644:O662,P645:P663)+O663*P644-(SUMPRODUCT(O645:O663,P644:P662)+O644*P663)))</f>
        <v>5.1502796942541895E-3</v>
      </c>
      <c r="R644">
        <f t="shared" ref="R644:R707" si="92">+(P644+P645)/2*(O645-O644)</f>
        <v>1.7950267527319093E-3</v>
      </c>
    </row>
    <row r="645" spans="1:19" x14ac:dyDescent="0.2">
      <c r="A645" t="s">
        <v>656</v>
      </c>
      <c r="B645">
        <v>5.6527811999999997</v>
      </c>
      <c r="C645">
        <v>0.28241217000000002</v>
      </c>
      <c r="D645">
        <v>5.7977836800000002</v>
      </c>
      <c r="E645">
        <v>0.90870746000000002</v>
      </c>
      <c r="F645">
        <v>3.2254580100000001</v>
      </c>
      <c r="G645">
        <v>1.2896370800000001</v>
      </c>
      <c r="H645">
        <v>2.6423471799999998</v>
      </c>
      <c r="I645">
        <v>1.004355E-2</v>
      </c>
      <c r="J645">
        <v>1</v>
      </c>
      <c r="K645">
        <v>950029</v>
      </c>
      <c r="L645">
        <f t="shared" si="87"/>
        <v>1.2405607730769231E-2</v>
      </c>
      <c r="M645">
        <f t="shared" si="88"/>
        <v>4.9601426153846155E-3</v>
      </c>
      <c r="N645">
        <f t="shared" si="89"/>
        <v>1.0162873769230769E-2</v>
      </c>
      <c r="O645">
        <f t="shared" si="90"/>
        <v>7.5615081923076921E-3</v>
      </c>
      <c r="P645">
        <f t="shared" si="86"/>
        <v>15.981259678154196</v>
      </c>
      <c r="R645">
        <f t="shared" si="92"/>
        <v>2.8653784008063217E-3</v>
      </c>
    </row>
    <row r="646" spans="1:19" x14ac:dyDescent="0.2">
      <c r="A646" t="s">
        <v>657</v>
      </c>
      <c r="B646">
        <v>5.7098800000000001</v>
      </c>
      <c r="C646">
        <v>0.39041271</v>
      </c>
      <c r="D646">
        <v>5.8648307900000001</v>
      </c>
      <c r="E646">
        <v>0.73091687000000005</v>
      </c>
      <c r="F646">
        <v>3.22750512</v>
      </c>
      <c r="G646">
        <v>1.3053991599999999</v>
      </c>
      <c r="H646">
        <v>2.70485336</v>
      </c>
      <c r="I646">
        <v>9.6783300000000006E-3</v>
      </c>
      <c r="J646">
        <v>1</v>
      </c>
      <c r="K646">
        <v>950029</v>
      </c>
      <c r="L646">
        <f t="shared" si="87"/>
        <v>1.2413481230769231E-2</v>
      </c>
      <c r="M646">
        <f t="shared" si="88"/>
        <v>5.0207659999999994E-3</v>
      </c>
      <c r="N646">
        <f t="shared" si="89"/>
        <v>1.0403282153846154E-2</v>
      </c>
      <c r="O646">
        <f t="shared" si="90"/>
        <v>7.7120240769230769E-3</v>
      </c>
      <c r="P646">
        <f t="shared" si="86"/>
        <v>22.092840050632049</v>
      </c>
      <c r="R646">
        <f t="shared" si="92"/>
        <v>3.8170450781892153E-3</v>
      </c>
    </row>
    <row r="647" spans="1:19" x14ac:dyDescent="0.2">
      <c r="A647" t="s">
        <v>658</v>
      </c>
      <c r="B647">
        <v>5.7739863800000002</v>
      </c>
      <c r="C647">
        <v>0.52376301000000003</v>
      </c>
      <c r="D647">
        <v>5.9339251400000004</v>
      </c>
      <c r="E647">
        <v>0.53337177000000002</v>
      </c>
      <c r="F647">
        <v>3.2317568099999998</v>
      </c>
      <c r="G647">
        <v>1.3194627400000001</v>
      </c>
      <c r="H647">
        <v>2.7675265200000001</v>
      </c>
      <c r="I647">
        <v>9.4957199999999992E-3</v>
      </c>
      <c r="J647">
        <v>1</v>
      </c>
      <c r="K647">
        <v>950029</v>
      </c>
      <c r="L647">
        <f t="shared" si="87"/>
        <v>1.2429833884615384E-2</v>
      </c>
      <c r="M647">
        <f t="shared" si="88"/>
        <v>5.0748566923076929E-3</v>
      </c>
      <c r="N647">
        <f t="shared" si="89"/>
        <v>1.0644332769230769E-2</v>
      </c>
      <c r="O647">
        <f t="shared" si="90"/>
        <v>7.8595947307692308E-3</v>
      </c>
      <c r="P647">
        <f t="shared" si="86"/>
        <v>29.638923395623046</v>
      </c>
      <c r="R647">
        <f t="shared" si="92"/>
        <v>4.3724109157512736E-3</v>
      </c>
    </row>
    <row r="648" spans="1:19" x14ac:dyDescent="0.2">
      <c r="A648" t="s">
        <v>659</v>
      </c>
      <c r="B648">
        <v>5.83264242</v>
      </c>
      <c r="C648">
        <v>0.70345584000000005</v>
      </c>
      <c r="D648">
        <v>5.9994368199999997</v>
      </c>
      <c r="E648">
        <v>0.53337177000000002</v>
      </c>
      <c r="F648">
        <v>3.2457716400000001</v>
      </c>
      <c r="G648">
        <v>1.3300613800000001</v>
      </c>
      <c r="H648">
        <v>2.8224072800000002</v>
      </c>
      <c r="I648">
        <v>9.4957199999999992E-3</v>
      </c>
      <c r="J648">
        <v>1</v>
      </c>
      <c r="K648">
        <v>950029</v>
      </c>
      <c r="L648">
        <f t="shared" si="87"/>
        <v>1.2483737076923077E-2</v>
      </c>
      <c r="M648">
        <f t="shared" si="88"/>
        <v>5.1156206923076925E-3</v>
      </c>
      <c r="N648">
        <f t="shared" si="89"/>
        <v>1.0855412615384617E-2</v>
      </c>
      <c r="O648">
        <f t="shared" si="90"/>
        <v>7.9855166538461541E-3</v>
      </c>
      <c r="P648">
        <f t="shared" si="86"/>
        <v>39.807457487239624</v>
      </c>
      <c r="R648">
        <f t="shared" si="92"/>
        <v>2.8345695150911341E-3</v>
      </c>
    </row>
    <row r="649" spans="1:19" x14ac:dyDescent="0.2">
      <c r="A649" t="s">
        <v>660</v>
      </c>
      <c r="B649">
        <v>5.8666421599999996</v>
      </c>
      <c r="C649">
        <v>0.82479141</v>
      </c>
      <c r="D649">
        <v>6.0429406700000001</v>
      </c>
      <c r="E649">
        <v>0.53337177000000002</v>
      </c>
      <c r="F649">
        <v>3.2619910499999998</v>
      </c>
      <c r="G649">
        <v>1.3354286399999999</v>
      </c>
      <c r="H649">
        <v>2.8511278400000002</v>
      </c>
      <c r="I649">
        <v>9.6783300000000006E-3</v>
      </c>
      <c r="J649">
        <v>1</v>
      </c>
      <c r="K649">
        <v>950029</v>
      </c>
      <c r="L649">
        <f t="shared" si="87"/>
        <v>1.2546119423076922E-2</v>
      </c>
      <c r="M649">
        <f t="shared" si="88"/>
        <v>5.1362639999999998E-3</v>
      </c>
      <c r="N649">
        <f t="shared" si="89"/>
        <v>1.0965876307692309E-2</v>
      </c>
      <c r="O649">
        <f t="shared" si="90"/>
        <v>8.0510701538461533E-3</v>
      </c>
      <c r="P649">
        <f t="shared" si="86"/>
        <v>46.673646194216573</v>
      </c>
      <c r="R649">
        <f t="shared" si="92"/>
        <v>9.0883565142781684E-4</v>
      </c>
    </row>
    <row r="650" spans="1:19" x14ac:dyDescent="0.2">
      <c r="A650" t="s">
        <v>661</v>
      </c>
      <c r="B650">
        <v>5.8809168600000001</v>
      </c>
      <c r="C650">
        <v>0.85304583</v>
      </c>
      <c r="D650">
        <v>6.0490823899999997</v>
      </c>
      <c r="E650">
        <v>0.53337177000000002</v>
      </c>
      <c r="F650">
        <v>3.2745886500000001</v>
      </c>
      <c r="G650">
        <v>1.3369233199999999</v>
      </c>
      <c r="H650">
        <v>2.8595881599999999</v>
      </c>
      <c r="I650">
        <v>9.6783300000000006E-3</v>
      </c>
      <c r="J650">
        <v>1</v>
      </c>
      <c r="K650">
        <v>950029</v>
      </c>
      <c r="L650">
        <f t="shared" si="87"/>
        <v>1.259457173076923E-2</v>
      </c>
      <c r="M650">
        <f t="shared" si="88"/>
        <v>5.142012769230769E-3</v>
      </c>
      <c r="N650">
        <f t="shared" si="89"/>
        <v>1.0998416E-2</v>
      </c>
      <c r="O650">
        <f t="shared" si="90"/>
        <v>8.0702143846153838E-3</v>
      </c>
      <c r="P650">
        <f t="shared" si="86"/>
        <v>48.272519298996841</v>
      </c>
      <c r="R650">
        <f t="shared" si="92"/>
        <v>2.2575874745109288E-4</v>
      </c>
    </row>
    <row r="651" spans="1:19" x14ac:dyDescent="0.2">
      <c r="A651" t="s">
        <v>662</v>
      </c>
      <c r="B651">
        <v>5.8850695000000002</v>
      </c>
      <c r="C651">
        <v>0.8542341</v>
      </c>
      <c r="D651">
        <v>6.0526650599999998</v>
      </c>
      <c r="E651">
        <v>0.53337177000000002</v>
      </c>
      <c r="F651">
        <v>3.2903356499999998</v>
      </c>
      <c r="G651">
        <v>1.33712714</v>
      </c>
      <c r="H651">
        <v>2.86181456</v>
      </c>
      <c r="I651">
        <v>9.6783300000000006E-3</v>
      </c>
      <c r="J651">
        <v>1</v>
      </c>
      <c r="K651">
        <v>950029</v>
      </c>
      <c r="L651">
        <f t="shared" si="87"/>
        <v>1.2655137115384615E-2</v>
      </c>
      <c r="M651">
        <f t="shared" si="88"/>
        <v>5.1427966923076919E-3</v>
      </c>
      <c r="N651">
        <f t="shared" si="89"/>
        <v>1.1006979076923077E-2</v>
      </c>
      <c r="O651">
        <f t="shared" si="90"/>
        <v>8.0748878846153838E-3</v>
      </c>
      <c r="P651">
        <f t="shared" si="86"/>
        <v>48.339761625833397</v>
      </c>
      <c r="R651">
        <f t="shared" si="92"/>
        <v>-7.2663469606363621E-5</v>
      </c>
    </row>
    <row r="652" spans="1:19" x14ac:dyDescent="0.2">
      <c r="A652" t="s">
        <v>663</v>
      </c>
      <c r="B652">
        <v>5.8785809999999996</v>
      </c>
      <c r="C652">
        <v>0.81911411999999995</v>
      </c>
      <c r="D652">
        <v>6.0511296300000001</v>
      </c>
      <c r="E652">
        <v>0.53337177000000002</v>
      </c>
      <c r="F652">
        <v>3.30576771</v>
      </c>
      <c r="G652">
        <v>1.3373309600000001</v>
      </c>
      <c r="H652">
        <v>2.86081268</v>
      </c>
      <c r="I652">
        <v>9.6783300000000006E-3</v>
      </c>
      <c r="J652">
        <v>1</v>
      </c>
      <c r="K652">
        <v>950029</v>
      </c>
      <c r="L652">
        <f t="shared" si="87"/>
        <v>1.2714491192307692E-2</v>
      </c>
      <c r="M652">
        <f t="shared" si="88"/>
        <v>5.1435806153846157E-3</v>
      </c>
      <c r="N652">
        <f t="shared" si="89"/>
        <v>1.1003125692307693E-2</v>
      </c>
      <c r="O652">
        <f t="shared" si="90"/>
        <v>8.073353153846153E-3</v>
      </c>
      <c r="P652">
        <f t="shared" si="86"/>
        <v>46.352377299330819</v>
      </c>
      <c r="R652">
        <f t="shared" si="92"/>
        <v>-1.0092360880312413E-3</v>
      </c>
    </row>
    <row r="653" spans="1:19" x14ac:dyDescent="0.2">
      <c r="A653" t="s">
        <v>664</v>
      </c>
      <c r="B653">
        <v>5.8635276799999998</v>
      </c>
      <c r="C653">
        <v>0.70477614</v>
      </c>
      <c r="D653">
        <v>6.03526352</v>
      </c>
      <c r="E653">
        <v>0.53337177000000002</v>
      </c>
      <c r="F653">
        <v>3.31679061</v>
      </c>
      <c r="G653">
        <v>1.3377386</v>
      </c>
      <c r="H653">
        <v>2.84823352</v>
      </c>
      <c r="I653">
        <v>9.6783300000000006E-3</v>
      </c>
      <c r="J653">
        <v>1</v>
      </c>
      <c r="K653">
        <v>950029</v>
      </c>
      <c r="L653">
        <f t="shared" si="87"/>
        <v>1.2756886961538462E-2</v>
      </c>
      <c r="M653">
        <f t="shared" si="88"/>
        <v>5.1451484615384615E-3</v>
      </c>
      <c r="N653">
        <f t="shared" si="89"/>
        <v>1.0954744307692308E-2</v>
      </c>
      <c r="O653">
        <f t="shared" si="90"/>
        <v>8.0499463846153835E-3</v>
      </c>
      <c r="P653">
        <f t="shared" si="86"/>
        <v>39.88217118372468</v>
      </c>
      <c r="R653">
        <f t="shared" si="92"/>
        <v>-1.0206780331701534E-3</v>
      </c>
      <c r="S653">
        <f>ABS(SUMIFS($R:$R,$K:$K,K653))</f>
        <v>5.1222608538884183E-3</v>
      </c>
    </row>
    <row r="654" spans="1:19" x14ac:dyDescent="0.2">
      <c r="A654" t="s">
        <v>665</v>
      </c>
      <c r="B654">
        <v>5.8492529800000002</v>
      </c>
      <c r="C654">
        <v>0.61169499000000005</v>
      </c>
      <c r="D654">
        <v>6.0178619800000002</v>
      </c>
      <c r="E654">
        <v>0.53337177000000002</v>
      </c>
      <c r="F654">
        <v>3.3235618200000001</v>
      </c>
      <c r="G654">
        <v>1.3377386</v>
      </c>
      <c r="H654">
        <v>2.8339845600000002</v>
      </c>
      <c r="I654">
        <v>9.6783300000000006E-3</v>
      </c>
      <c r="J654">
        <v>1</v>
      </c>
      <c r="K654">
        <v>950029</v>
      </c>
      <c r="L654">
        <f t="shared" si="87"/>
        <v>1.2782930076923077E-2</v>
      </c>
      <c r="M654">
        <f t="shared" si="88"/>
        <v>5.1451484615384615E-3</v>
      </c>
      <c r="N654">
        <f t="shared" si="89"/>
        <v>1.0899940615384617E-2</v>
      </c>
      <c r="O654">
        <f t="shared" si="90"/>
        <v>8.0225445384615388E-3</v>
      </c>
      <c r="P654">
        <f t="shared" si="86"/>
        <v>34.614855581527998</v>
      </c>
      <c r="R654">
        <f t="shared" si="92"/>
        <v>-1.3400833357038061E-3</v>
      </c>
    </row>
    <row r="655" spans="1:19" x14ac:dyDescent="0.2">
      <c r="A655" t="s">
        <v>666</v>
      </c>
      <c r="B655">
        <v>5.8264134600000004</v>
      </c>
      <c r="C655">
        <v>0.52099037999999998</v>
      </c>
      <c r="D655">
        <v>5.9881770000000003</v>
      </c>
      <c r="E655">
        <v>0.41484471000000001</v>
      </c>
      <c r="F655">
        <v>3.3336399000000001</v>
      </c>
      <c r="G655">
        <v>1.3369233199999999</v>
      </c>
      <c r="H655">
        <v>2.8130563999999998</v>
      </c>
      <c r="I655">
        <v>9.6783300000000006E-3</v>
      </c>
      <c r="J655">
        <v>1</v>
      </c>
      <c r="K655">
        <v>950029</v>
      </c>
      <c r="L655">
        <f t="shared" si="87"/>
        <v>1.2821691923076924E-2</v>
      </c>
      <c r="M655">
        <f t="shared" si="88"/>
        <v>5.142012769230769E-3</v>
      </c>
      <c r="N655">
        <f t="shared" si="89"/>
        <v>1.0819447692307691E-2</v>
      </c>
      <c r="O655">
        <f t="shared" si="90"/>
        <v>7.9807302307692285E-3</v>
      </c>
      <c r="P655">
        <f t="shared" si="86"/>
        <v>29.482024633004418</v>
      </c>
      <c r="R655">
        <f t="shared" si="92"/>
        <v>-1.9904475765639973E-3</v>
      </c>
    </row>
    <row r="656" spans="1:19" x14ac:dyDescent="0.2">
      <c r="A656" t="s">
        <v>667</v>
      </c>
      <c r="B656">
        <v>5.7913755599999996</v>
      </c>
      <c r="C656">
        <v>0.41906322000000001</v>
      </c>
      <c r="D656">
        <v>5.9446731499999999</v>
      </c>
      <c r="E656">
        <v>0.41484471000000001</v>
      </c>
      <c r="F656">
        <v>3.3394662899999998</v>
      </c>
      <c r="G656">
        <v>1.33318662</v>
      </c>
      <c r="H656">
        <v>2.7778792800000001</v>
      </c>
      <c r="I656">
        <v>9.6783300000000006E-3</v>
      </c>
      <c r="J656">
        <v>1</v>
      </c>
      <c r="K656">
        <v>950029</v>
      </c>
      <c r="L656">
        <f t="shared" si="87"/>
        <v>1.2844101115384615E-2</v>
      </c>
      <c r="M656">
        <f t="shared" si="88"/>
        <v>5.1276408461538459E-3</v>
      </c>
      <c r="N656">
        <f t="shared" si="89"/>
        <v>1.0684151076923077E-2</v>
      </c>
      <c r="O656">
        <f t="shared" si="90"/>
        <v>7.9058959615384613E-3</v>
      </c>
      <c r="P656">
        <f t="shared" si="86"/>
        <v>23.714127264357838</v>
      </c>
      <c r="R656">
        <f t="shared" si="92"/>
        <v>-2.2111395248878836E-3</v>
      </c>
    </row>
    <row r="657" spans="1:18" x14ac:dyDescent="0.2">
      <c r="A657" t="s">
        <v>668</v>
      </c>
      <c r="B657">
        <v>5.7480323799999997</v>
      </c>
      <c r="C657">
        <v>0.32320944000000001</v>
      </c>
      <c r="D657">
        <v>5.8960511999999996</v>
      </c>
      <c r="E657">
        <v>0.41484471000000001</v>
      </c>
      <c r="F657">
        <v>3.3341123100000001</v>
      </c>
      <c r="G657">
        <v>1.32530558</v>
      </c>
      <c r="H657">
        <v>2.7310135600000001</v>
      </c>
      <c r="I657">
        <v>9.4957199999999992E-3</v>
      </c>
      <c r="J657">
        <v>1</v>
      </c>
      <c r="K657">
        <v>950029</v>
      </c>
      <c r="L657">
        <f t="shared" si="87"/>
        <v>1.2823508884615385E-2</v>
      </c>
      <c r="M657">
        <f t="shared" si="88"/>
        <v>5.097329153846154E-3</v>
      </c>
      <c r="N657">
        <f t="shared" si="89"/>
        <v>1.0503898307692308E-2</v>
      </c>
      <c r="O657">
        <f t="shared" si="90"/>
        <v>7.8006137307692312E-3</v>
      </c>
      <c r="P657">
        <f t="shared" si="86"/>
        <v>18.289912899542529</v>
      </c>
      <c r="R657">
        <f t="shared" si="92"/>
        <v>-2.0043074205730281E-3</v>
      </c>
    </row>
    <row r="658" spans="1:18" x14ac:dyDescent="0.2">
      <c r="A658" t="s">
        <v>669</v>
      </c>
      <c r="B658">
        <v>5.6971625399999999</v>
      </c>
      <c r="C658">
        <v>0.24016256999999999</v>
      </c>
      <c r="D658">
        <v>5.8417993399999997</v>
      </c>
      <c r="E658">
        <v>0.41484471000000001</v>
      </c>
      <c r="F658">
        <v>3.3278135099999999</v>
      </c>
      <c r="G658">
        <v>1.31307638</v>
      </c>
      <c r="H658">
        <v>2.6778582599999998</v>
      </c>
      <c r="I658">
        <v>9.6783300000000006E-3</v>
      </c>
      <c r="J658">
        <v>1</v>
      </c>
      <c r="K658">
        <v>950029</v>
      </c>
      <c r="L658">
        <f t="shared" si="87"/>
        <v>1.279928273076923E-2</v>
      </c>
      <c r="M658">
        <f t="shared" si="88"/>
        <v>5.0502937692307693E-3</v>
      </c>
      <c r="N658">
        <f t="shared" si="89"/>
        <v>1.0299454846153846E-2</v>
      </c>
      <c r="O658">
        <f t="shared" si="90"/>
        <v>7.6748743076923073E-3</v>
      </c>
      <c r="P658">
        <f t="shared" si="86"/>
        <v>13.590421390632295</v>
      </c>
      <c r="R658">
        <f t="shared" si="92"/>
        <v>-1.5280464982701798E-3</v>
      </c>
    </row>
    <row r="659" spans="1:18" x14ac:dyDescent="0.2">
      <c r="A659" t="s">
        <v>670</v>
      </c>
      <c r="B659">
        <v>5.6465522400000001</v>
      </c>
      <c r="C659">
        <v>0.16556562</v>
      </c>
      <c r="D659">
        <v>5.7808939500000003</v>
      </c>
      <c r="E659">
        <v>0.41484471000000001</v>
      </c>
      <c r="F659">
        <v>3.3182078399999999</v>
      </c>
      <c r="G659">
        <v>1.2987410399999999</v>
      </c>
      <c r="H659">
        <v>2.6229775000000002</v>
      </c>
      <c r="I659">
        <v>9.8609400000000003E-3</v>
      </c>
      <c r="J659">
        <v>1</v>
      </c>
      <c r="K659">
        <v>950029</v>
      </c>
      <c r="L659">
        <f t="shared" si="87"/>
        <v>1.2762337846153845E-2</v>
      </c>
      <c r="M659">
        <f t="shared" si="88"/>
        <v>4.9951578461538458E-3</v>
      </c>
      <c r="N659">
        <f t="shared" si="89"/>
        <v>1.0088375E-2</v>
      </c>
      <c r="O659">
        <f t="shared" si="90"/>
        <v>7.5417664230769234E-3</v>
      </c>
      <c r="P659">
        <f t="shared" si="86"/>
        <v>9.3690975392264413</v>
      </c>
      <c r="R659">
        <f t="shared" si="92"/>
        <v>-9.9607159189527591E-4</v>
      </c>
    </row>
    <row r="660" spans="1:18" x14ac:dyDescent="0.2">
      <c r="A660" t="s">
        <v>671</v>
      </c>
      <c r="B660">
        <v>5.5910106800000001</v>
      </c>
      <c r="C660">
        <v>0.1003428</v>
      </c>
      <c r="D660">
        <v>5.7276657100000001</v>
      </c>
      <c r="E660">
        <v>0.79018040000000001</v>
      </c>
      <c r="F660">
        <v>3.3015160200000002</v>
      </c>
      <c r="G660">
        <v>1.2833866</v>
      </c>
      <c r="H660">
        <v>2.5694882400000001</v>
      </c>
      <c r="I660">
        <v>9.8609400000000003E-3</v>
      </c>
      <c r="J660">
        <v>1</v>
      </c>
      <c r="K660">
        <v>950029</v>
      </c>
      <c r="L660">
        <f t="shared" si="87"/>
        <v>1.2698138538461539E-2</v>
      </c>
      <c r="M660">
        <f t="shared" si="88"/>
        <v>4.9361023076923078E-3</v>
      </c>
      <c r="N660">
        <f t="shared" si="89"/>
        <v>9.8826470769230769E-3</v>
      </c>
      <c r="O660">
        <f t="shared" si="90"/>
        <v>7.4093746923076928E-3</v>
      </c>
      <c r="P660">
        <f t="shared" si="86"/>
        <v>5.6782409328645098</v>
      </c>
      <c r="R660">
        <f t="shared" si="92"/>
        <v>-3.9935007301813129E-4</v>
      </c>
    </row>
    <row r="661" spans="1:18" x14ac:dyDescent="0.2">
      <c r="A661" t="s">
        <v>672</v>
      </c>
      <c r="B661">
        <v>5.5476675000000002</v>
      </c>
      <c r="C661">
        <v>5.3604180000000001E-2</v>
      </c>
      <c r="D661">
        <v>5.6887681499999996</v>
      </c>
      <c r="E661">
        <v>1.0272345199999999</v>
      </c>
      <c r="F661">
        <v>3.2816747999999998</v>
      </c>
      <c r="G661">
        <v>1.27305972</v>
      </c>
      <c r="H661">
        <v>2.53214038</v>
      </c>
      <c r="I661">
        <v>9.8609400000000003E-3</v>
      </c>
      <c r="J661">
        <v>1</v>
      </c>
      <c r="K661">
        <v>950029</v>
      </c>
      <c r="L661">
        <f t="shared" si="87"/>
        <v>1.2621826153846154E-2</v>
      </c>
      <c r="M661">
        <f t="shared" si="88"/>
        <v>4.8963835384615382E-3</v>
      </c>
      <c r="N661">
        <f t="shared" si="89"/>
        <v>9.7390014615384608E-3</v>
      </c>
      <c r="O661">
        <f t="shared" si="90"/>
        <v>7.3176925000000004E-3</v>
      </c>
      <c r="P661">
        <f t="shared" si="86"/>
        <v>3.0333760772934095</v>
      </c>
      <c r="R661">
        <f t="shared" si="92"/>
        <v>-7.6166190515685871E-5</v>
      </c>
    </row>
    <row r="662" spans="1:18" x14ac:dyDescent="0.2">
      <c r="A662" t="s">
        <v>673</v>
      </c>
      <c r="B662">
        <v>5.5380645199999998</v>
      </c>
      <c r="C662">
        <v>5.0831550000000003E-2</v>
      </c>
      <c r="D662">
        <v>5.6759728999999997</v>
      </c>
      <c r="E662">
        <v>1.20502511</v>
      </c>
      <c r="F662">
        <v>3.2645105700000001</v>
      </c>
      <c r="G662">
        <v>1.26973066</v>
      </c>
      <c r="H662">
        <v>2.5220659200000002</v>
      </c>
      <c r="I662">
        <v>1.004355E-2</v>
      </c>
      <c r="J662">
        <v>1</v>
      </c>
      <c r="K662">
        <v>950029</v>
      </c>
      <c r="L662">
        <f t="shared" si="87"/>
        <v>1.2555809884615386E-2</v>
      </c>
      <c r="M662">
        <f t="shared" si="88"/>
        <v>4.8835794615384618E-3</v>
      </c>
      <c r="N662">
        <f t="shared" si="89"/>
        <v>9.7002535384615399E-3</v>
      </c>
      <c r="O662">
        <f t="shared" si="90"/>
        <v>7.2919165000000005E-3</v>
      </c>
      <c r="P662">
        <f t="shared" si="86"/>
        <v>2.8764773146747848</v>
      </c>
      <c r="R662">
        <f t="shared" si="92"/>
        <v>1.7821396944134104E-4</v>
      </c>
    </row>
    <row r="663" spans="1:18" x14ac:dyDescent="0.2">
      <c r="A663" t="s">
        <v>674</v>
      </c>
      <c r="B663">
        <v>5.55856818</v>
      </c>
      <c r="C663">
        <v>0.10720836</v>
      </c>
      <c r="D663">
        <v>5.7010515899999996</v>
      </c>
      <c r="E663">
        <v>1.1457615800000001</v>
      </c>
      <c r="F663">
        <v>3.2457716400000001</v>
      </c>
      <c r="G663">
        <v>1.2695268399999999</v>
      </c>
      <c r="H663">
        <v>2.5429940800000002</v>
      </c>
      <c r="I663">
        <v>9.8609400000000003E-3</v>
      </c>
      <c r="J663">
        <v>1</v>
      </c>
      <c r="K663">
        <v>950029</v>
      </c>
      <c r="L663">
        <f t="shared" si="87"/>
        <v>1.2483737076923077E-2</v>
      </c>
      <c r="M663">
        <f t="shared" si="88"/>
        <v>4.882795538461538E-3</v>
      </c>
      <c r="N663">
        <f t="shared" si="89"/>
        <v>9.7807464615384618E-3</v>
      </c>
      <c r="O663">
        <f t="shared" si="90"/>
        <v>7.3317709999999999E-3</v>
      </c>
      <c r="P663">
        <f t="shared" si="86"/>
        <v>6.066752154586819</v>
      </c>
      <c r="R663">
        <f t="shared" si="92"/>
        <v>7.7321162523405734E-4</v>
      </c>
    </row>
    <row r="664" spans="1:18" x14ac:dyDescent="0.2">
      <c r="A664" t="s">
        <v>675</v>
      </c>
      <c r="B664">
        <v>5.5967205599999996</v>
      </c>
      <c r="C664">
        <v>0.18814275</v>
      </c>
      <c r="D664">
        <v>5.7430200100000004</v>
      </c>
      <c r="E664">
        <v>1.0272345199999999</v>
      </c>
      <c r="F664">
        <v>3.2308119899999999</v>
      </c>
      <c r="G664">
        <v>1.27550556</v>
      </c>
      <c r="H664">
        <v>2.5851286999999998</v>
      </c>
      <c r="I664">
        <v>9.8609400000000003E-3</v>
      </c>
      <c r="J664">
        <v>1</v>
      </c>
      <c r="K664">
        <v>950030</v>
      </c>
      <c r="L664">
        <f t="shared" si="87"/>
        <v>1.2426199961538461E-2</v>
      </c>
      <c r="M664">
        <f t="shared" si="88"/>
        <v>4.9057906153846158E-3</v>
      </c>
      <c r="N664">
        <f t="shared" si="89"/>
        <v>9.9428026923076909E-3</v>
      </c>
      <c r="O664">
        <f t="shared" si="90"/>
        <v>7.4242966538461538E-3</v>
      </c>
      <c r="P664">
        <f t="shared" si="86"/>
        <v>10.646701749120957</v>
      </c>
      <c r="Q664">
        <f t="shared" ref="Q664" si="93">ABS(0.5*(SUMPRODUCT(O664:O682,P665:P683)+O683*P664-(SUMPRODUCT(O665:O683,P664:P682)+O664*P683)))</f>
        <v>5.1657408185852294E-3</v>
      </c>
      <c r="R664">
        <f t="shared" si="92"/>
        <v>1.8112538227703832E-3</v>
      </c>
    </row>
    <row r="665" spans="1:18" x14ac:dyDescent="0.2">
      <c r="A665" t="s">
        <v>676</v>
      </c>
      <c r="B665">
        <v>5.6488880999999997</v>
      </c>
      <c r="C665">
        <v>0.28280825999999998</v>
      </c>
      <c r="D665">
        <v>5.79471282</v>
      </c>
      <c r="E665">
        <v>0.79018040000000001</v>
      </c>
      <c r="F665">
        <v>3.2259304200000001</v>
      </c>
      <c r="G665">
        <v>1.2896370800000001</v>
      </c>
      <c r="H665">
        <v>2.6416792600000001</v>
      </c>
      <c r="I665">
        <v>9.6783300000000006E-3</v>
      </c>
      <c r="J665">
        <v>1</v>
      </c>
      <c r="K665">
        <v>950030</v>
      </c>
      <c r="L665">
        <f t="shared" si="87"/>
        <v>1.2407424692307692E-2</v>
      </c>
      <c r="M665">
        <f t="shared" si="88"/>
        <v>4.9601426153846155E-3</v>
      </c>
      <c r="N665">
        <f t="shared" si="89"/>
        <v>1.0160304846153847E-2</v>
      </c>
      <c r="O665">
        <f t="shared" si="90"/>
        <v>7.5602237307692312E-3</v>
      </c>
      <c r="P665">
        <f t="shared" si="86"/>
        <v>16.003673787099711</v>
      </c>
      <c r="R665">
        <f t="shared" si="92"/>
        <v>2.9136662743446617E-3</v>
      </c>
    </row>
    <row r="666" spans="1:18" x14ac:dyDescent="0.2">
      <c r="A666" t="s">
        <v>677</v>
      </c>
      <c r="B666">
        <v>5.7083227599999997</v>
      </c>
      <c r="C666">
        <v>0.39160097999999999</v>
      </c>
      <c r="D666">
        <v>5.8617599299999998</v>
      </c>
      <c r="E666">
        <v>0.61238981000000003</v>
      </c>
      <c r="F666">
        <v>3.22797753</v>
      </c>
      <c r="G666">
        <v>1.30519534</v>
      </c>
      <c r="H666">
        <v>2.7055212800000001</v>
      </c>
      <c r="I666">
        <v>9.4957199999999992E-3</v>
      </c>
      <c r="J666">
        <v>1</v>
      </c>
      <c r="K666">
        <v>950030</v>
      </c>
      <c r="L666">
        <f t="shared" si="87"/>
        <v>1.2415298192307692E-2</v>
      </c>
      <c r="M666">
        <f t="shared" si="88"/>
        <v>5.0199820769230774E-3</v>
      </c>
      <c r="N666">
        <f t="shared" si="89"/>
        <v>1.0405851076923078E-2</v>
      </c>
      <c r="O666">
        <f t="shared" si="90"/>
        <v>7.7129165769230772E-3</v>
      </c>
      <c r="P666">
        <f t="shared" si="86"/>
        <v>22.160082377468601</v>
      </c>
      <c r="R666">
        <f t="shared" si="92"/>
        <v>3.8463400938651758E-3</v>
      </c>
    </row>
    <row r="667" spans="1:18" x14ac:dyDescent="0.2">
      <c r="A667" t="s">
        <v>678</v>
      </c>
      <c r="B667">
        <v>5.7708719000000004</v>
      </c>
      <c r="C667">
        <v>0.52627157999999996</v>
      </c>
      <c r="D667">
        <v>5.93546057</v>
      </c>
      <c r="E667">
        <v>0.53337177000000002</v>
      </c>
      <c r="F667">
        <v>3.2322292199999998</v>
      </c>
      <c r="G667">
        <v>1.31987038</v>
      </c>
      <c r="H667">
        <v>2.76786048</v>
      </c>
      <c r="I667">
        <v>9.6783300000000006E-3</v>
      </c>
      <c r="J667">
        <v>1</v>
      </c>
      <c r="K667">
        <v>950030</v>
      </c>
      <c r="L667">
        <f t="shared" si="87"/>
        <v>1.2431650846153846E-2</v>
      </c>
      <c r="M667">
        <f t="shared" si="88"/>
        <v>5.0764245384615388E-3</v>
      </c>
      <c r="N667">
        <f t="shared" si="89"/>
        <v>1.0645617230769231E-2</v>
      </c>
      <c r="O667">
        <f t="shared" si="90"/>
        <v>7.8610208846153842E-3</v>
      </c>
      <c r="P667">
        <f t="shared" si="86"/>
        <v>29.780879418944654</v>
      </c>
      <c r="R667">
        <f t="shared" si="92"/>
        <v>4.4039520876473209E-3</v>
      </c>
    </row>
    <row r="668" spans="1:18" x14ac:dyDescent="0.2">
      <c r="A668" t="s">
        <v>679</v>
      </c>
      <c r="B668">
        <v>5.8310851799999996</v>
      </c>
      <c r="C668">
        <v>0.70596440999999999</v>
      </c>
      <c r="D668">
        <v>6.0009722500000002</v>
      </c>
      <c r="E668">
        <v>0.41484471000000001</v>
      </c>
      <c r="F668">
        <v>3.2446693500000001</v>
      </c>
      <c r="G668">
        <v>1.3306728400000001</v>
      </c>
      <c r="H668">
        <v>2.82274124</v>
      </c>
      <c r="I668">
        <v>9.6783300000000006E-3</v>
      </c>
      <c r="J668">
        <v>1</v>
      </c>
      <c r="K668">
        <v>950030</v>
      </c>
      <c r="L668">
        <f t="shared" si="87"/>
        <v>1.2479497500000001E-2</v>
      </c>
      <c r="M668">
        <f t="shared" si="88"/>
        <v>5.1179724615384621E-3</v>
      </c>
      <c r="N668">
        <f t="shared" si="89"/>
        <v>1.0856697076923078E-2</v>
      </c>
      <c r="O668">
        <f t="shared" si="90"/>
        <v>7.9873347692307698E-3</v>
      </c>
      <c r="P668">
        <f t="shared" si="86"/>
        <v>39.949413510561229</v>
      </c>
      <c r="R668">
        <f t="shared" si="92"/>
        <v>2.7790829773274416E-3</v>
      </c>
    </row>
    <row r="669" spans="1:18" x14ac:dyDescent="0.2">
      <c r="A669" t="s">
        <v>680</v>
      </c>
      <c r="B669">
        <v>5.8674207799999998</v>
      </c>
      <c r="C669">
        <v>0.82399922999999997</v>
      </c>
      <c r="D669">
        <v>6.0367989499999997</v>
      </c>
      <c r="E669">
        <v>0.41484471000000001</v>
      </c>
      <c r="F669">
        <v>3.2624634600000002</v>
      </c>
      <c r="G669">
        <v>1.3358362800000001</v>
      </c>
      <c r="H669">
        <v>2.8509608599999998</v>
      </c>
      <c r="I669">
        <v>9.6783300000000006E-3</v>
      </c>
      <c r="J669">
        <v>1</v>
      </c>
      <c r="K669">
        <v>950030</v>
      </c>
      <c r="L669">
        <f t="shared" si="87"/>
        <v>1.2547936384615386E-2</v>
      </c>
      <c r="M669">
        <f t="shared" si="88"/>
        <v>5.1378318461538465E-3</v>
      </c>
      <c r="N669">
        <f t="shared" si="89"/>
        <v>1.0965234076923076E-2</v>
      </c>
      <c r="O669">
        <f t="shared" si="90"/>
        <v>8.0515329615384601E-3</v>
      </c>
      <c r="P669">
        <f t="shared" si="86"/>
        <v>46.628817976325536</v>
      </c>
      <c r="R669">
        <f t="shared" si="92"/>
        <v>8.3651588120484577E-4</v>
      </c>
    </row>
    <row r="670" spans="1:18" x14ac:dyDescent="0.2">
      <c r="A670" t="s">
        <v>681</v>
      </c>
      <c r="B670">
        <v>5.8809168600000001</v>
      </c>
      <c r="C670">
        <v>0.85132943999999999</v>
      </c>
      <c r="D670">
        <v>6.04754696</v>
      </c>
      <c r="E670">
        <v>0.41484471000000001</v>
      </c>
      <c r="F670">
        <v>3.27789552</v>
      </c>
      <c r="G670">
        <v>1.3367195000000001</v>
      </c>
      <c r="H670">
        <v>2.8592542000000001</v>
      </c>
      <c r="I670">
        <v>9.8609400000000003E-3</v>
      </c>
      <c r="J670">
        <v>1</v>
      </c>
      <c r="K670">
        <v>950030</v>
      </c>
      <c r="L670">
        <f t="shared" si="87"/>
        <v>1.2607290461538462E-2</v>
      </c>
      <c r="M670">
        <f t="shared" si="88"/>
        <v>5.1412288461538461E-3</v>
      </c>
      <c r="N670">
        <f t="shared" si="89"/>
        <v>1.099713153846154E-2</v>
      </c>
      <c r="O670">
        <f t="shared" si="90"/>
        <v>8.0691801923076911E-3</v>
      </c>
      <c r="P670">
        <f t="shared" si="86"/>
        <v>48.175391493566266</v>
      </c>
      <c r="R670">
        <f t="shared" si="92"/>
        <v>2.7195736238259526E-4</v>
      </c>
    </row>
    <row r="671" spans="1:18" x14ac:dyDescent="0.2">
      <c r="A671" t="s">
        <v>682</v>
      </c>
      <c r="B671">
        <v>5.8832527199999998</v>
      </c>
      <c r="C671">
        <v>0.85383801000000004</v>
      </c>
      <c r="D671">
        <v>6.0542004900000004</v>
      </c>
      <c r="E671">
        <v>0.41484471000000001</v>
      </c>
      <c r="F671">
        <v>3.2903356499999998</v>
      </c>
      <c r="G671">
        <v>1.3369233199999999</v>
      </c>
      <c r="H671">
        <v>2.8619815399999999</v>
      </c>
      <c r="I671">
        <v>9.8609400000000003E-3</v>
      </c>
      <c r="J671">
        <v>1</v>
      </c>
      <c r="K671">
        <v>950030</v>
      </c>
      <c r="L671">
        <f t="shared" si="87"/>
        <v>1.2655137115384615E-2</v>
      </c>
      <c r="M671">
        <f t="shared" si="88"/>
        <v>5.142012769230769E-3</v>
      </c>
      <c r="N671">
        <f t="shared" si="89"/>
        <v>1.1007621307692308E-2</v>
      </c>
      <c r="O671">
        <f t="shared" si="90"/>
        <v>8.0748170384615375E-3</v>
      </c>
      <c r="P671">
        <f t="shared" si="86"/>
        <v>48.317347516887878</v>
      </c>
      <c r="R671">
        <f t="shared" si="92"/>
        <v>-5.4173935790433849E-5</v>
      </c>
    </row>
    <row r="672" spans="1:18" x14ac:dyDescent="0.2">
      <c r="A672" t="s">
        <v>683</v>
      </c>
      <c r="B672">
        <v>5.8793596199999998</v>
      </c>
      <c r="C672">
        <v>0.82162268999999999</v>
      </c>
      <c r="D672">
        <v>6.0511296300000001</v>
      </c>
      <c r="E672">
        <v>0.35558118</v>
      </c>
      <c r="F672">
        <v>3.30624012</v>
      </c>
      <c r="G672">
        <v>1.3373309600000001</v>
      </c>
      <c r="H672">
        <v>2.8609796599999999</v>
      </c>
      <c r="I672">
        <v>9.6783300000000006E-3</v>
      </c>
      <c r="J672">
        <v>1</v>
      </c>
      <c r="K672">
        <v>950030</v>
      </c>
      <c r="L672">
        <f t="shared" si="87"/>
        <v>1.2716308153846154E-2</v>
      </c>
      <c r="M672">
        <f t="shared" si="88"/>
        <v>5.1435806153846157E-3</v>
      </c>
      <c r="N672">
        <f t="shared" si="89"/>
        <v>1.1003767923076923E-2</v>
      </c>
      <c r="O672">
        <f t="shared" si="90"/>
        <v>8.0736742692307691E-3</v>
      </c>
      <c r="P672">
        <f t="shared" si="86"/>
        <v>46.49433332265243</v>
      </c>
      <c r="R672">
        <f t="shared" si="92"/>
        <v>-1.0430455621490869E-3</v>
      </c>
    </row>
    <row r="673" spans="1:19" x14ac:dyDescent="0.2">
      <c r="A673" t="s">
        <v>684</v>
      </c>
      <c r="B673">
        <v>5.8658635400000003</v>
      </c>
      <c r="C673">
        <v>0.70675659000000002</v>
      </c>
      <c r="D673">
        <v>6.0306572300000001</v>
      </c>
      <c r="E673">
        <v>0.35558118</v>
      </c>
      <c r="F673">
        <v>3.3182078399999999</v>
      </c>
      <c r="G673">
        <v>1.3375347799999999</v>
      </c>
      <c r="H673">
        <v>2.84823352</v>
      </c>
      <c r="I673">
        <v>9.8609400000000003E-3</v>
      </c>
      <c r="J673">
        <v>1</v>
      </c>
      <c r="K673">
        <v>950030</v>
      </c>
      <c r="L673">
        <f t="shared" si="87"/>
        <v>1.2762337846153845E-2</v>
      </c>
      <c r="M673">
        <f t="shared" si="88"/>
        <v>5.1443645384615377E-3</v>
      </c>
      <c r="N673">
        <f t="shared" si="89"/>
        <v>1.0954744307692308E-2</v>
      </c>
      <c r="O673">
        <f t="shared" si="90"/>
        <v>8.0495544230769212E-3</v>
      </c>
      <c r="P673">
        <f t="shared" si="86"/>
        <v>39.994241728452266</v>
      </c>
      <c r="R673">
        <f t="shared" si="92"/>
        <v>-1.080746518401253E-3</v>
      </c>
    </row>
    <row r="674" spans="1:19" x14ac:dyDescent="0.2">
      <c r="A674" t="s">
        <v>685</v>
      </c>
      <c r="B674">
        <v>5.8430240199999997</v>
      </c>
      <c r="C674">
        <v>0.60839423999999998</v>
      </c>
      <c r="D674">
        <v>6.0117202599999997</v>
      </c>
      <c r="E674">
        <v>0.35558118</v>
      </c>
      <c r="F674">
        <v>3.32686869</v>
      </c>
      <c r="G674">
        <v>1.3377386</v>
      </c>
      <c r="H674">
        <v>2.8329270200000001</v>
      </c>
      <c r="I674">
        <v>9.8609400000000003E-3</v>
      </c>
      <c r="J674">
        <v>1</v>
      </c>
      <c r="K674">
        <v>950030</v>
      </c>
      <c r="L674">
        <f t="shared" si="87"/>
        <v>1.2795648807692307E-2</v>
      </c>
      <c r="M674">
        <f t="shared" si="88"/>
        <v>5.1451484615384615E-3</v>
      </c>
      <c r="N674">
        <f t="shared" si="89"/>
        <v>1.0895873153846155E-2</v>
      </c>
      <c r="O674">
        <f t="shared" si="90"/>
        <v>8.0205108076923087E-3</v>
      </c>
      <c r="P674">
        <f t="shared" si="86"/>
        <v>34.428071340315348</v>
      </c>
      <c r="R674">
        <f t="shared" si="92"/>
        <v>-1.2680362940365008E-3</v>
      </c>
      <c r="S674">
        <f>ABS(SUMIFS($R:$R,$K:$K,K674))</f>
        <v>5.1782560986766814E-3</v>
      </c>
    </row>
    <row r="675" spans="1:19" x14ac:dyDescent="0.2">
      <c r="A675" t="s">
        <v>686</v>
      </c>
      <c r="B675">
        <v>5.8222608200000003</v>
      </c>
      <c r="C675">
        <v>0.52019820000000005</v>
      </c>
      <c r="D675">
        <v>5.9866415699999997</v>
      </c>
      <c r="E675">
        <v>0.35558118</v>
      </c>
      <c r="F675">
        <v>3.3341123100000001</v>
      </c>
      <c r="G675">
        <v>1.33712714</v>
      </c>
      <c r="H675">
        <v>2.8128894199999999</v>
      </c>
      <c r="I675">
        <v>9.8609400000000003E-3</v>
      </c>
      <c r="J675">
        <v>1</v>
      </c>
      <c r="K675">
        <v>950030</v>
      </c>
      <c r="L675">
        <f t="shared" si="87"/>
        <v>1.2823508884615385E-2</v>
      </c>
      <c r="M675">
        <f t="shared" si="88"/>
        <v>5.1427966923076919E-3</v>
      </c>
      <c r="N675">
        <f t="shared" si="89"/>
        <v>1.0818805461538461E-2</v>
      </c>
      <c r="O675">
        <f t="shared" si="90"/>
        <v>7.9808010769230765E-3</v>
      </c>
      <c r="P675">
        <f t="shared" si="86"/>
        <v>29.437196415113387</v>
      </c>
      <c r="R675">
        <f t="shared" si="92"/>
        <v>-1.934469879724218E-3</v>
      </c>
    </row>
    <row r="676" spans="1:19" x14ac:dyDescent="0.2">
      <c r="A676" t="s">
        <v>687</v>
      </c>
      <c r="B676">
        <v>5.7931923400000001</v>
      </c>
      <c r="C676">
        <v>0.41985539999999999</v>
      </c>
      <c r="D676">
        <v>5.9477440100000001</v>
      </c>
      <c r="E676">
        <v>0.35558118</v>
      </c>
      <c r="F676">
        <v>3.3394662899999998</v>
      </c>
      <c r="G676">
        <v>1.3335942599999999</v>
      </c>
      <c r="H676">
        <v>2.7786028599999999</v>
      </c>
      <c r="I676">
        <v>1.004355E-2</v>
      </c>
      <c r="J676">
        <v>1</v>
      </c>
      <c r="K676">
        <v>950030</v>
      </c>
      <c r="L676">
        <f t="shared" si="87"/>
        <v>1.2844101115384615E-2</v>
      </c>
      <c r="M676">
        <f t="shared" si="88"/>
        <v>5.1292086923076918E-3</v>
      </c>
      <c r="N676">
        <f t="shared" si="89"/>
        <v>1.0686934076923076E-2</v>
      </c>
      <c r="O676">
        <f t="shared" si="90"/>
        <v>7.9080713846153838E-3</v>
      </c>
      <c r="P676">
        <f t="shared" si="86"/>
        <v>23.758955482248872</v>
      </c>
      <c r="R676">
        <f t="shared" si="92"/>
        <v>-2.2405605157585504E-3</v>
      </c>
    </row>
    <row r="677" spans="1:19" x14ac:dyDescent="0.2">
      <c r="A677" t="s">
        <v>688</v>
      </c>
      <c r="B677">
        <v>5.7446583599999999</v>
      </c>
      <c r="C677">
        <v>0.32598207000000001</v>
      </c>
      <c r="D677">
        <v>5.8991220599999998</v>
      </c>
      <c r="E677">
        <v>0.35558118</v>
      </c>
      <c r="F677">
        <v>3.33647436</v>
      </c>
      <c r="G677">
        <v>1.32530558</v>
      </c>
      <c r="H677">
        <v>2.7316814800000002</v>
      </c>
      <c r="I677">
        <v>9.8609400000000003E-3</v>
      </c>
      <c r="J677">
        <v>1</v>
      </c>
      <c r="K677">
        <v>950030</v>
      </c>
      <c r="L677">
        <f t="shared" si="87"/>
        <v>1.2832593692307692E-2</v>
      </c>
      <c r="M677">
        <f t="shared" si="88"/>
        <v>5.097329153846154E-3</v>
      </c>
      <c r="N677">
        <f t="shared" si="89"/>
        <v>1.0506467230769232E-2</v>
      </c>
      <c r="O677">
        <f t="shared" si="90"/>
        <v>7.8018981923076922E-3</v>
      </c>
      <c r="P677">
        <f t="shared" si="86"/>
        <v>18.446811662161153</v>
      </c>
      <c r="R677">
        <f t="shared" si="92"/>
        <v>-1.9832910110641603E-3</v>
      </c>
    </row>
    <row r="678" spans="1:19" x14ac:dyDescent="0.2">
      <c r="A678" t="s">
        <v>689</v>
      </c>
      <c r="B678">
        <v>5.6963839199999997</v>
      </c>
      <c r="C678">
        <v>0.24293519999999999</v>
      </c>
      <c r="D678">
        <v>5.84026391</v>
      </c>
      <c r="E678">
        <v>0.35558118</v>
      </c>
      <c r="F678">
        <v>3.3282859199999999</v>
      </c>
      <c r="G678">
        <v>1.3138916599999999</v>
      </c>
      <c r="H678">
        <v>2.6790271200000002</v>
      </c>
      <c r="I678">
        <v>1.004355E-2</v>
      </c>
      <c r="J678">
        <v>1</v>
      </c>
      <c r="K678">
        <v>950030</v>
      </c>
      <c r="L678">
        <f t="shared" si="87"/>
        <v>1.2801099692307692E-2</v>
      </c>
      <c r="M678">
        <f t="shared" si="88"/>
        <v>5.053429461538461E-3</v>
      </c>
      <c r="N678">
        <f t="shared" si="89"/>
        <v>1.0303950461538463E-2</v>
      </c>
      <c r="O678">
        <f t="shared" si="90"/>
        <v>7.6786899615384615E-3</v>
      </c>
      <c r="P678">
        <f t="shared" si="86"/>
        <v>13.74732015325092</v>
      </c>
      <c r="R678">
        <f t="shared" si="92"/>
        <v>-1.5543087469291898E-3</v>
      </c>
    </row>
    <row r="679" spans="1:19" x14ac:dyDescent="0.2">
      <c r="A679" t="s">
        <v>690</v>
      </c>
      <c r="B679">
        <v>5.6481094799999996</v>
      </c>
      <c r="C679">
        <v>0.1676781</v>
      </c>
      <c r="D679">
        <v>5.7855002400000002</v>
      </c>
      <c r="E679">
        <v>0.41484471000000001</v>
      </c>
      <c r="F679">
        <v>3.3191526599999999</v>
      </c>
      <c r="G679">
        <v>1.2991486800000001</v>
      </c>
      <c r="H679">
        <v>2.6242020199999998</v>
      </c>
      <c r="I679">
        <v>9.6783300000000006E-3</v>
      </c>
      <c r="J679">
        <v>1</v>
      </c>
      <c r="K679">
        <v>950030</v>
      </c>
      <c r="L679">
        <f t="shared" si="87"/>
        <v>1.2765971769230769E-2</v>
      </c>
      <c r="M679">
        <f t="shared" si="88"/>
        <v>4.9967256923076925E-3</v>
      </c>
      <c r="N679">
        <f t="shared" si="89"/>
        <v>1.0093084692307691E-2</v>
      </c>
      <c r="O679">
        <f t="shared" si="90"/>
        <v>7.5449051923076917E-3</v>
      </c>
      <c r="P679">
        <f t="shared" si="86"/>
        <v>9.488639453602536</v>
      </c>
      <c r="R679">
        <f t="shared" si="92"/>
        <v>-1.0107361758359605E-3</v>
      </c>
    </row>
    <row r="680" spans="1:19" x14ac:dyDescent="0.2">
      <c r="A680" t="s">
        <v>691</v>
      </c>
      <c r="B680">
        <v>5.5917893000000003</v>
      </c>
      <c r="C680">
        <v>0.10192716</v>
      </c>
      <c r="D680">
        <v>5.7276657100000001</v>
      </c>
      <c r="E680">
        <v>0.61238981000000003</v>
      </c>
      <c r="F680">
        <v>3.3034056600000001</v>
      </c>
      <c r="G680">
        <v>1.28379424</v>
      </c>
      <c r="H680">
        <v>2.5706571</v>
      </c>
      <c r="I680">
        <v>9.6783300000000006E-3</v>
      </c>
      <c r="J680">
        <v>1</v>
      </c>
      <c r="K680">
        <v>950030</v>
      </c>
      <c r="L680">
        <f t="shared" si="87"/>
        <v>1.2705406384615385E-2</v>
      </c>
      <c r="M680">
        <f t="shared" si="88"/>
        <v>4.9376701538461536E-3</v>
      </c>
      <c r="N680">
        <f t="shared" si="89"/>
        <v>9.8871426923076919E-3</v>
      </c>
      <c r="O680">
        <f t="shared" si="90"/>
        <v>7.4124064230769223E-3</v>
      </c>
      <c r="P680">
        <f t="shared" si="86"/>
        <v>5.7678973686465813</v>
      </c>
      <c r="R680">
        <f t="shared" si="92"/>
        <v>-4.1182253799447471E-4</v>
      </c>
    </row>
    <row r="681" spans="1:19" x14ac:dyDescent="0.2">
      <c r="A681" t="s">
        <v>692</v>
      </c>
      <c r="B681">
        <v>5.55078198</v>
      </c>
      <c r="C681">
        <v>5.320809E-2</v>
      </c>
      <c r="D681">
        <v>5.68672091</v>
      </c>
      <c r="E681">
        <v>1.0272345199999999</v>
      </c>
      <c r="F681">
        <v>3.2832495000000002</v>
      </c>
      <c r="G681">
        <v>1.2728558999999999</v>
      </c>
      <c r="H681">
        <v>2.5328083000000001</v>
      </c>
      <c r="I681">
        <v>9.6783300000000006E-3</v>
      </c>
      <c r="J681">
        <v>1</v>
      </c>
      <c r="K681">
        <v>950030</v>
      </c>
      <c r="L681">
        <f t="shared" si="87"/>
        <v>1.2627882692307692E-2</v>
      </c>
      <c r="M681">
        <f t="shared" si="88"/>
        <v>4.8955996153846153E-3</v>
      </c>
      <c r="N681">
        <f t="shared" si="89"/>
        <v>9.7415703846153844E-3</v>
      </c>
      <c r="O681">
        <f t="shared" si="90"/>
        <v>7.3185849999999998E-3</v>
      </c>
      <c r="P681">
        <f t="shared" si="86"/>
        <v>3.0109619683478916</v>
      </c>
      <c r="R681">
        <f t="shared" si="92"/>
        <v>-7.8000087621895984E-5</v>
      </c>
    </row>
    <row r="682" spans="1:19" x14ac:dyDescent="0.2">
      <c r="A682" t="s">
        <v>693</v>
      </c>
      <c r="B682">
        <v>5.5404003800000003</v>
      </c>
      <c r="C682">
        <v>5.0303430000000003E-2</v>
      </c>
      <c r="D682">
        <v>5.6790437599999999</v>
      </c>
      <c r="E682">
        <v>1.0864980500000001</v>
      </c>
      <c r="F682">
        <v>3.2640381600000001</v>
      </c>
      <c r="G682">
        <v>1.2695268399999999</v>
      </c>
      <c r="H682">
        <v>2.5222885599999998</v>
      </c>
      <c r="I682">
        <v>9.4957199999999992E-3</v>
      </c>
      <c r="J682">
        <v>1</v>
      </c>
      <c r="K682">
        <v>950030</v>
      </c>
      <c r="L682">
        <f t="shared" si="87"/>
        <v>1.2553992923076924E-2</v>
      </c>
      <c r="M682">
        <f t="shared" si="88"/>
        <v>4.882795538461538E-3</v>
      </c>
      <c r="N682">
        <f t="shared" si="89"/>
        <v>9.7011098461538461E-3</v>
      </c>
      <c r="O682">
        <f t="shared" si="90"/>
        <v>7.2919526923076921E-3</v>
      </c>
      <c r="P682">
        <f t="shared" si="86"/>
        <v>2.8465918360807612</v>
      </c>
      <c r="R682">
        <f t="shared" si="92"/>
        <v>1.7282228872462089E-4</v>
      </c>
    </row>
    <row r="683" spans="1:19" x14ac:dyDescent="0.2">
      <c r="A683" t="s">
        <v>694</v>
      </c>
      <c r="B683">
        <v>5.5609040399999996</v>
      </c>
      <c r="C683">
        <v>0.10879272</v>
      </c>
      <c r="D683">
        <v>5.6979807300000003</v>
      </c>
      <c r="E683">
        <v>1.0864980500000001</v>
      </c>
      <c r="F683">
        <v>3.24813369</v>
      </c>
      <c r="G683">
        <v>1.2691192</v>
      </c>
      <c r="H683">
        <v>2.5426601199999999</v>
      </c>
      <c r="I683">
        <v>9.6783300000000006E-3</v>
      </c>
      <c r="J683">
        <v>1</v>
      </c>
      <c r="K683">
        <v>950030</v>
      </c>
      <c r="L683">
        <f t="shared" si="87"/>
        <v>1.2492821884615384E-2</v>
      </c>
      <c r="M683">
        <f t="shared" si="88"/>
        <v>4.8812276923076922E-3</v>
      </c>
      <c r="N683">
        <f t="shared" si="89"/>
        <v>9.7794619999999992E-3</v>
      </c>
      <c r="O683">
        <f t="shared" si="90"/>
        <v>7.3303448461538457E-3</v>
      </c>
      <c r="P683">
        <f t="shared" si="86"/>
        <v>6.1564085903688897</v>
      </c>
      <c r="R683">
        <f t="shared" si="92"/>
        <v>8.0185657571535916E-4</v>
      </c>
    </row>
    <row r="684" spans="1:19" x14ac:dyDescent="0.2">
      <c r="A684" t="s">
        <v>695</v>
      </c>
      <c r="B684">
        <v>5.5967205599999996</v>
      </c>
      <c r="C684">
        <v>0.18893493</v>
      </c>
      <c r="D684">
        <v>5.7384137199999996</v>
      </c>
      <c r="E684">
        <v>0.96797098999999998</v>
      </c>
      <c r="F684">
        <v>3.2331740400000002</v>
      </c>
      <c r="G684">
        <v>1.2759811400000001</v>
      </c>
      <c r="H684">
        <v>2.5852956800000002</v>
      </c>
      <c r="I684">
        <v>9.6783300000000006E-3</v>
      </c>
      <c r="J684">
        <v>1</v>
      </c>
      <c r="K684">
        <v>950031</v>
      </c>
      <c r="L684">
        <f t="shared" si="87"/>
        <v>1.2435284769230771E-2</v>
      </c>
      <c r="M684">
        <f t="shared" si="88"/>
        <v>4.9076197692307696E-3</v>
      </c>
      <c r="N684">
        <f t="shared" si="89"/>
        <v>9.9434449230769231E-3</v>
      </c>
      <c r="O684">
        <f t="shared" si="90"/>
        <v>7.4255323461538472E-3</v>
      </c>
      <c r="P684">
        <f t="shared" si="86"/>
        <v>10.691529967011993</v>
      </c>
      <c r="Q684">
        <f t="shared" ref="Q684" si="94">ABS(0.5*(SUMPRODUCT(O684:O702,P685:P703)+O703*P684-(SUMPRODUCT(O685:O703,P684:P702)+O684*P703)))</f>
        <v>5.2071034077567635E-3</v>
      </c>
      <c r="R684">
        <f t="shared" si="92"/>
        <v>1.7802647550622074E-3</v>
      </c>
    </row>
    <row r="685" spans="1:19" x14ac:dyDescent="0.2">
      <c r="A685" t="s">
        <v>696</v>
      </c>
      <c r="B685">
        <v>5.6473308600000003</v>
      </c>
      <c r="C685">
        <v>0.28320434999999999</v>
      </c>
      <c r="D685">
        <v>5.7977836800000002</v>
      </c>
      <c r="E685">
        <v>0.84944392999999996</v>
      </c>
      <c r="F685">
        <v>3.2245131900000001</v>
      </c>
      <c r="G685">
        <v>1.2892294399999999</v>
      </c>
      <c r="H685">
        <v>2.6413452999999998</v>
      </c>
      <c r="I685">
        <v>9.8609400000000003E-3</v>
      </c>
      <c r="J685">
        <v>1</v>
      </c>
      <c r="K685">
        <v>950031</v>
      </c>
      <c r="L685">
        <f t="shared" si="87"/>
        <v>1.2401973807692309E-2</v>
      </c>
      <c r="M685">
        <f t="shared" si="88"/>
        <v>4.9585747692307688E-3</v>
      </c>
      <c r="N685">
        <f t="shared" si="89"/>
        <v>1.0159020384615384E-2</v>
      </c>
      <c r="O685">
        <f t="shared" si="90"/>
        <v>7.5587975769230769E-3</v>
      </c>
      <c r="P685">
        <f t="shared" si="86"/>
        <v>16.02608789604523</v>
      </c>
      <c r="R685">
        <f t="shared" si="92"/>
        <v>2.9088906673953806E-3</v>
      </c>
    </row>
    <row r="686" spans="1:19" x14ac:dyDescent="0.2">
      <c r="A686" t="s">
        <v>697</v>
      </c>
      <c r="B686">
        <v>5.7075441400000004</v>
      </c>
      <c r="C686">
        <v>0.39120489000000003</v>
      </c>
      <c r="D686">
        <v>5.8648307900000001</v>
      </c>
      <c r="E686">
        <v>0.73091687000000005</v>
      </c>
      <c r="F686">
        <v>3.22750512</v>
      </c>
      <c r="G686">
        <v>1.30499152</v>
      </c>
      <c r="H686">
        <v>2.70485336</v>
      </c>
      <c r="I686">
        <v>1.004355E-2</v>
      </c>
      <c r="J686">
        <v>1</v>
      </c>
      <c r="K686">
        <v>950031</v>
      </c>
      <c r="L686">
        <f t="shared" si="87"/>
        <v>1.2413481230769231E-2</v>
      </c>
      <c r="M686">
        <f t="shared" si="88"/>
        <v>5.0191981538461536E-3</v>
      </c>
      <c r="N686">
        <f t="shared" si="89"/>
        <v>1.0403282153846154E-2</v>
      </c>
      <c r="O686">
        <f t="shared" si="90"/>
        <v>7.711240153846154E-3</v>
      </c>
      <c r="P686">
        <f t="shared" si="86"/>
        <v>22.137668268523086</v>
      </c>
      <c r="R686">
        <f t="shared" si="92"/>
        <v>3.8120396128285129E-3</v>
      </c>
    </row>
    <row r="687" spans="1:19" x14ac:dyDescent="0.2">
      <c r="A687" t="s">
        <v>698</v>
      </c>
      <c r="B687">
        <v>5.76931466</v>
      </c>
      <c r="C687">
        <v>0.52376301000000003</v>
      </c>
      <c r="D687">
        <v>5.9308542800000001</v>
      </c>
      <c r="E687">
        <v>0.61238981000000003</v>
      </c>
      <c r="F687">
        <v>3.2345912700000001</v>
      </c>
      <c r="G687">
        <v>1.3190550999999999</v>
      </c>
      <c r="H687">
        <v>2.7673595400000002</v>
      </c>
      <c r="I687">
        <v>1.004355E-2</v>
      </c>
      <c r="J687">
        <v>1</v>
      </c>
      <c r="K687">
        <v>950031</v>
      </c>
      <c r="L687">
        <f t="shared" si="87"/>
        <v>1.2440735653846154E-2</v>
      </c>
      <c r="M687">
        <f t="shared" si="88"/>
        <v>5.0732888461538462E-3</v>
      </c>
      <c r="N687">
        <f t="shared" si="89"/>
        <v>1.0643690538461538E-2</v>
      </c>
      <c r="O687">
        <f t="shared" si="90"/>
        <v>7.8584896923076918E-3</v>
      </c>
      <c r="P687">
        <f t="shared" si="86"/>
        <v>29.638923395623046</v>
      </c>
      <c r="R687">
        <f t="shared" si="92"/>
        <v>4.4136285728513403E-3</v>
      </c>
    </row>
    <row r="688" spans="1:19" x14ac:dyDescent="0.2">
      <c r="A688" t="s">
        <v>699</v>
      </c>
      <c r="B688">
        <v>5.8295279400000002</v>
      </c>
      <c r="C688">
        <v>0.70424801999999997</v>
      </c>
      <c r="D688">
        <v>5.9994368199999997</v>
      </c>
      <c r="E688">
        <v>0.61238981000000003</v>
      </c>
      <c r="F688">
        <v>3.2437245300000002</v>
      </c>
      <c r="G688">
        <v>1.3300613800000001</v>
      </c>
      <c r="H688">
        <v>2.8224072800000002</v>
      </c>
      <c r="I688">
        <v>9.8609400000000003E-3</v>
      </c>
      <c r="J688">
        <v>1</v>
      </c>
      <c r="K688">
        <v>950031</v>
      </c>
      <c r="L688">
        <f t="shared" si="87"/>
        <v>1.2475863576923077E-2</v>
      </c>
      <c r="M688">
        <f t="shared" si="88"/>
        <v>5.1156206923076925E-3</v>
      </c>
      <c r="N688">
        <f t="shared" si="89"/>
        <v>1.0855412615384617E-2</v>
      </c>
      <c r="O688">
        <f t="shared" si="90"/>
        <v>7.9855166538461541E-3</v>
      </c>
      <c r="P688">
        <f t="shared" si="86"/>
        <v>39.852285705130654</v>
      </c>
      <c r="R688">
        <f t="shared" si="92"/>
        <v>2.8398393087454943E-3</v>
      </c>
    </row>
    <row r="689" spans="1:19" x14ac:dyDescent="0.2">
      <c r="A689" t="s">
        <v>700</v>
      </c>
      <c r="B689">
        <v>5.8692375600000002</v>
      </c>
      <c r="C689">
        <v>0.82518749999999996</v>
      </c>
      <c r="D689">
        <v>6.0383343800000002</v>
      </c>
      <c r="E689">
        <v>0.61238981000000003</v>
      </c>
      <c r="F689">
        <v>3.2605738199999998</v>
      </c>
      <c r="G689">
        <v>1.33563246</v>
      </c>
      <c r="H689">
        <v>2.8509608599999998</v>
      </c>
      <c r="I689">
        <v>9.6783300000000006E-3</v>
      </c>
      <c r="J689">
        <v>1</v>
      </c>
      <c r="K689">
        <v>950031</v>
      </c>
      <c r="L689">
        <f t="shared" si="87"/>
        <v>1.2540668538461537E-2</v>
      </c>
      <c r="M689">
        <f t="shared" si="88"/>
        <v>5.1370479230769235E-3</v>
      </c>
      <c r="N689">
        <f t="shared" si="89"/>
        <v>1.0965234076923076E-2</v>
      </c>
      <c r="O689">
        <f t="shared" si="90"/>
        <v>8.0511409999999995E-3</v>
      </c>
      <c r="P689">
        <f t="shared" si="86"/>
        <v>46.696060303162092</v>
      </c>
      <c r="R689">
        <f t="shared" si="92"/>
        <v>9.5456866310300007E-4</v>
      </c>
    </row>
    <row r="690" spans="1:19" x14ac:dyDescent="0.2">
      <c r="A690" t="s">
        <v>701</v>
      </c>
      <c r="B690">
        <v>5.8816954800000003</v>
      </c>
      <c r="C690">
        <v>0.85264974000000004</v>
      </c>
      <c r="D690">
        <v>6.0511296300000001</v>
      </c>
      <c r="E690">
        <v>0.53337177000000002</v>
      </c>
      <c r="F690">
        <v>3.27742311</v>
      </c>
      <c r="G690">
        <v>1.33712714</v>
      </c>
      <c r="H690">
        <v>2.8599221199999998</v>
      </c>
      <c r="I690">
        <v>9.4957199999999992E-3</v>
      </c>
      <c r="J690">
        <v>1</v>
      </c>
      <c r="K690">
        <v>950031</v>
      </c>
      <c r="L690">
        <f t="shared" si="87"/>
        <v>1.26054735E-2</v>
      </c>
      <c r="M690">
        <f t="shared" si="88"/>
        <v>5.1427966923076919E-3</v>
      </c>
      <c r="N690">
        <f t="shared" si="89"/>
        <v>1.0999700461538461E-2</v>
      </c>
      <c r="O690">
        <f t="shared" si="90"/>
        <v>8.0712485769230766E-3</v>
      </c>
      <c r="P690">
        <f t="shared" si="86"/>
        <v>48.250105190051329</v>
      </c>
      <c r="R690">
        <f t="shared" si="92"/>
        <v>3.0688260394702365E-4</v>
      </c>
    </row>
    <row r="691" spans="1:19" x14ac:dyDescent="0.2">
      <c r="A691" t="s">
        <v>702</v>
      </c>
      <c r="B691">
        <v>5.8809168600000001</v>
      </c>
      <c r="C691">
        <v>0.85542236999999999</v>
      </c>
      <c r="D691">
        <v>6.0490823899999997</v>
      </c>
      <c r="E691">
        <v>0.53337177000000002</v>
      </c>
      <c r="F691">
        <v>3.2908080599999998</v>
      </c>
      <c r="G691">
        <v>1.3375347799999999</v>
      </c>
      <c r="H691">
        <v>2.86281644</v>
      </c>
      <c r="I691">
        <v>9.3131099999999994E-3</v>
      </c>
      <c r="J691">
        <v>1</v>
      </c>
      <c r="K691">
        <v>950031</v>
      </c>
      <c r="L691">
        <f t="shared" si="87"/>
        <v>1.2656954076923077E-2</v>
      </c>
      <c r="M691">
        <f t="shared" si="88"/>
        <v>5.1443645384615377E-3</v>
      </c>
      <c r="N691">
        <f t="shared" si="89"/>
        <v>1.1010832461538462E-2</v>
      </c>
      <c r="O691">
        <f t="shared" si="90"/>
        <v>8.0775984999999998E-3</v>
      </c>
      <c r="P691">
        <f t="shared" si="86"/>
        <v>48.407003952669953</v>
      </c>
      <c r="R691">
        <f t="shared" si="92"/>
        <v>-1.4536133883539084E-4</v>
      </c>
    </row>
    <row r="692" spans="1:19" x14ac:dyDescent="0.2">
      <c r="A692" t="s">
        <v>703</v>
      </c>
      <c r="B692">
        <v>5.8778023800000003</v>
      </c>
      <c r="C692">
        <v>0.81832194000000003</v>
      </c>
      <c r="D692">
        <v>6.0444760999999998</v>
      </c>
      <c r="E692">
        <v>0.53337177000000002</v>
      </c>
      <c r="F692">
        <v>3.3038780700000001</v>
      </c>
      <c r="G692">
        <v>1.3379424200000001</v>
      </c>
      <c r="H692">
        <v>2.86081268</v>
      </c>
      <c r="I692">
        <v>9.4957199999999992E-3</v>
      </c>
      <c r="J692">
        <v>1</v>
      </c>
      <c r="K692">
        <v>950031</v>
      </c>
      <c r="L692">
        <f t="shared" si="87"/>
        <v>1.2707223346153847E-2</v>
      </c>
      <c r="M692">
        <f t="shared" si="88"/>
        <v>5.1459323846153853E-3</v>
      </c>
      <c r="N692">
        <f t="shared" si="89"/>
        <v>1.1003125692307693E-2</v>
      </c>
      <c r="O692">
        <f t="shared" si="90"/>
        <v>8.0745290384615382E-3</v>
      </c>
      <c r="P692">
        <f t="shared" si="86"/>
        <v>46.307549081439781</v>
      </c>
      <c r="R692">
        <f t="shared" si="92"/>
        <v>-1.0559666505446685E-3</v>
      </c>
    </row>
    <row r="693" spans="1:19" x14ac:dyDescent="0.2">
      <c r="A693" t="s">
        <v>704</v>
      </c>
      <c r="B693">
        <v>5.8611918200000002</v>
      </c>
      <c r="C693">
        <v>0.70424801999999997</v>
      </c>
      <c r="D693">
        <v>6.0291218000000004</v>
      </c>
      <c r="E693">
        <v>0.53337177000000002</v>
      </c>
      <c r="F693">
        <v>3.3182078399999999</v>
      </c>
      <c r="G693">
        <v>1.3379424200000001</v>
      </c>
      <c r="H693">
        <v>2.84806654</v>
      </c>
      <c r="I693">
        <v>9.8609400000000003E-3</v>
      </c>
      <c r="J693">
        <v>1</v>
      </c>
      <c r="K693">
        <v>950031</v>
      </c>
      <c r="L693">
        <f t="shared" si="87"/>
        <v>1.2762337846153845E-2</v>
      </c>
      <c r="M693">
        <f t="shared" si="88"/>
        <v>5.1459323846153853E-3</v>
      </c>
      <c r="N693">
        <f t="shared" si="89"/>
        <v>1.0954102076923078E-2</v>
      </c>
      <c r="O693">
        <f t="shared" si="90"/>
        <v>8.0500172307692314E-3</v>
      </c>
      <c r="P693">
        <f t="shared" si="86"/>
        <v>39.852285705130654</v>
      </c>
      <c r="R693">
        <f t="shared" si="92"/>
        <v>-9.8558494829237048E-4</v>
      </c>
    </row>
    <row r="694" spans="1:19" x14ac:dyDescent="0.2">
      <c r="A694" t="s">
        <v>705</v>
      </c>
      <c r="B694">
        <v>5.8430240199999997</v>
      </c>
      <c r="C694">
        <v>0.61327935</v>
      </c>
      <c r="D694">
        <v>6.01018483</v>
      </c>
      <c r="E694">
        <v>0.47410824000000001</v>
      </c>
      <c r="F694">
        <v>3.3273410999999999</v>
      </c>
      <c r="G694">
        <v>1.3379424200000001</v>
      </c>
      <c r="H694">
        <v>2.8343185200000001</v>
      </c>
      <c r="I694">
        <v>9.8609400000000003E-3</v>
      </c>
      <c r="J694">
        <v>1</v>
      </c>
      <c r="K694">
        <v>950031</v>
      </c>
      <c r="L694">
        <f t="shared" si="87"/>
        <v>1.2797465769230769E-2</v>
      </c>
      <c r="M694">
        <f t="shared" si="88"/>
        <v>5.1459323846153853E-3</v>
      </c>
      <c r="N694">
        <f t="shared" si="89"/>
        <v>1.0901225076923078E-2</v>
      </c>
      <c r="O694">
        <f t="shared" si="90"/>
        <v>8.0235787307692315E-3</v>
      </c>
      <c r="P694">
        <f t="shared" si="86"/>
        <v>34.704512017310066</v>
      </c>
      <c r="R694">
        <f t="shared" si="92"/>
        <v>-1.3836633756616487E-3</v>
      </c>
    </row>
    <row r="695" spans="1:19" x14ac:dyDescent="0.2">
      <c r="A695" t="s">
        <v>706</v>
      </c>
      <c r="B695">
        <v>5.8214822000000002</v>
      </c>
      <c r="C695">
        <v>0.52138647000000005</v>
      </c>
      <c r="D695">
        <v>5.9866415699999997</v>
      </c>
      <c r="E695">
        <v>0.47410824000000001</v>
      </c>
      <c r="F695">
        <v>3.3322226700000002</v>
      </c>
      <c r="G695">
        <v>1.33712714</v>
      </c>
      <c r="H695">
        <v>2.8127224399999999</v>
      </c>
      <c r="I695">
        <v>9.6783300000000006E-3</v>
      </c>
      <c r="J695">
        <v>1</v>
      </c>
      <c r="K695">
        <v>950031</v>
      </c>
      <c r="L695">
        <f t="shared" si="87"/>
        <v>1.2816241038461539E-2</v>
      </c>
      <c r="M695">
        <f t="shared" si="88"/>
        <v>5.1427966923076919E-3</v>
      </c>
      <c r="N695">
        <f t="shared" si="89"/>
        <v>1.0818163230769231E-2</v>
      </c>
      <c r="O695">
        <f t="shared" si="90"/>
        <v>7.9804799615384604E-3</v>
      </c>
      <c r="P695">
        <f t="shared" si="86"/>
        <v>29.50443874194994</v>
      </c>
      <c r="R695">
        <f t="shared" si="92"/>
        <v>-2.0275258701629964E-3</v>
      </c>
      <c r="S695">
        <f>ABS(SUMIFS($R:$R,$K:$K,K695))</f>
        <v>5.2173593466717802E-3</v>
      </c>
    </row>
    <row r="696" spans="1:19" x14ac:dyDescent="0.2">
      <c r="A696" t="s">
        <v>707</v>
      </c>
      <c r="B696">
        <v>5.7913755599999996</v>
      </c>
      <c r="C696">
        <v>0.41827103999999998</v>
      </c>
      <c r="D696">
        <v>5.9446731499999999</v>
      </c>
      <c r="E696">
        <v>0.47410824000000001</v>
      </c>
      <c r="F696">
        <v>3.3374191799999999</v>
      </c>
      <c r="G696">
        <v>1.3329827999999999</v>
      </c>
      <c r="H696">
        <v>2.7772113599999999</v>
      </c>
      <c r="I696">
        <v>9.4957199999999992E-3</v>
      </c>
      <c r="J696">
        <v>1</v>
      </c>
      <c r="K696">
        <v>950031</v>
      </c>
      <c r="L696">
        <f t="shared" si="87"/>
        <v>1.2836227615384615E-2</v>
      </c>
      <c r="M696">
        <f t="shared" si="88"/>
        <v>5.126856923076923E-3</v>
      </c>
      <c r="N696">
        <f t="shared" si="89"/>
        <v>1.0681582153846153E-2</v>
      </c>
      <c r="O696">
        <f t="shared" si="90"/>
        <v>7.904219538461538E-3</v>
      </c>
      <c r="P696">
        <f t="shared" si="86"/>
        <v>23.669299046466801</v>
      </c>
      <c r="R696">
        <f t="shared" si="92"/>
        <v>-2.2454367374876751E-3</v>
      </c>
    </row>
    <row r="697" spans="1:19" x14ac:dyDescent="0.2">
      <c r="A697" t="s">
        <v>708</v>
      </c>
      <c r="B697">
        <v>5.7472537600000004</v>
      </c>
      <c r="C697">
        <v>0.32320944000000001</v>
      </c>
      <c r="D697">
        <v>5.8945157699999999</v>
      </c>
      <c r="E697">
        <v>0.47410824000000001</v>
      </c>
      <c r="F697">
        <v>3.3374191799999999</v>
      </c>
      <c r="G697">
        <v>1.32469412</v>
      </c>
      <c r="H697">
        <v>2.7298447000000001</v>
      </c>
      <c r="I697">
        <v>9.6783300000000006E-3</v>
      </c>
      <c r="J697">
        <v>1</v>
      </c>
      <c r="K697">
        <v>950031</v>
      </c>
      <c r="L697">
        <f t="shared" si="87"/>
        <v>1.2836227615384615E-2</v>
      </c>
      <c r="M697">
        <f t="shared" si="88"/>
        <v>5.0949773846153843E-3</v>
      </c>
      <c r="N697">
        <f t="shared" si="89"/>
        <v>1.0499402692307694E-2</v>
      </c>
      <c r="O697">
        <f t="shared" si="90"/>
        <v>7.7971900384615394E-3</v>
      </c>
      <c r="P697">
        <f t="shared" si="86"/>
        <v>18.289912899542529</v>
      </c>
      <c r="R697">
        <f t="shared" si="92"/>
        <v>-1.9461053827630834E-3</v>
      </c>
    </row>
    <row r="698" spans="1:19" x14ac:dyDescent="0.2">
      <c r="A698" t="s">
        <v>709</v>
      </c>
      <c r="B698">
        <v>5.6948266800000003</v>
      </c>
      <c r="C698">
        <v>0.23976648</v>
      </c>
      <c r="D698">
        <v>5.8366812399999999</v>
      </c>
      <c r="E698">
        <v>0.47410824000000001</v>
      </c>
      <c r="F698">
        <v>3.3289157999999999</v>
      </c>
      <c r="G698">
        <v>1.31348402</v>
      </c>
      <c r="H698">
        <v>2.6775243</v>
      </c>
      <c r="I698">
        <v>9.6783300000000006E-3</v>
      </c>
      <c r="J698">
        <v>1</v>
      </c>
      <c r="K698">
        <v>950031</v>
      </c>
      <c r="L698">
        <f t="shared" si="87"/>
        <v>1.2803522307692307E-2</v>
      </c>
      <c r="M698">
        <f t="shared" si="88"/>
        <v>5.0518616153846152E-3</v>
      </c>
      <c r="N698">
        <f t="shared" si="89"/>
        <v>1.0298170384615385E-2</v>
      </c>
      <c r="O698">
        <f t="shared" si="90"/>
        <v>7.6750159999999998E-3</v>
      </c>
      <c r="P698">
        <f t="shared" si="86"/>
        <v>13.568007281686777</v>
      </c>
      <c r="R698">
        <f t="shared" si="92"/>
        <v>-1.5378415091386473E-3</v>
      </c>
    </row>
    <row r="699" spans="1:19" x14ac:dyDescent="0.2">
      <c r="A699" t="s">
        <v>710</v>
      </c>
      <c r="B699">
        <v>5.6442163799999996</v>
      </c>
      <c r="C699">
        <v>0.16477343999999999</v>
      </c>
      <c r="D699">
        <v>5.78242938</v>
      </c>
      <c r="E699">
        <v>0.47410824000000001</v>
      </c>
      <c r="F699">
        <v>3.3182078399999999</v>
      </c>
      <c r="G699">
        <v>1.2983334</v>
      </c>
      <c r="H699">
        <v>2.6228105199999998</v>
      </c>
      <c r="I699">
        <v>9.6783300000000006E-3</v>
      </c>
      <c r="J699">
        <v>1</v>
      </c>
      <c r="K699">
        <v>950031</v>
      </c>
      <c r="L699">
        <f t="shared" si="87"/>
        <v>1.2762337846153845E-2</v>
      </c>
      <c r="M699">
        <f t="shared" si="88"/>
        <v>4.99359E-3</v>
      </c>
      <c r="N699">
        <f t="shared" si="89"/>
        <v>1.0087732769230768E-2</v>
      </c>
      <c r="O699">
        <f t="shared" si="90"/>
        <v>7.5406613846153835E-3</v>
      </c>
      <c r="P699">
        <f t="shared" si="86"/>
        <v>9.3242693213354055</v>
      </c>
      <c r="R699">
        <f t="shared" si="92"/>
        <v>-9.8812393205824313E-4</v>
      </c>
    </row>
    <row r="700" spans="1:19" x14ac:dyDescent="0.2">
      <c r="A700" t="s">
        <v>711</v>
      </c>
      <c r="B700">
        <v>5.5910106800000001</v>
      </c>
      <c r="C700">
        <v>9.9154530000000005E-2</v>
      </c>
      <c r="D700">
        <v>5.7292011399999998</v>
      </c>
      <c r="E700">
        <v>0.73091687000000005</v>
      </c>
      <c r="F700">
        <v>3.3038780700000001</v>
      </c>
      <c r="G700">
        <v>1.28318278</v>
      </c>
      <c r="H700">
        <v>2.5691542799999998</v>
      </c>
      <c r="I700">
        <v>9.8609400000000003E-3</v>
      </c>
      <c r="J700">
        <v>1</v>
      </c>
      <c r="K700">
        <v>950031</v>
      </c>
      <c r="L700">
        <f t="shared" si="87"/>
        <v>1.2707223346153847E-2</v>
      </c>
      <c r="M700">
        <f t="shared" si="88"/>
        <v>4.9353183846153848E-3</v>
      </c>
      <c r="N700">
        <f t="shared" si="89"/>
        <v>9.8813626153846142E-3</v>
      </c>
      <c r="O700">
        <f t="shared" si="90"/>
        <v>7.4083405E-3</v>
      </c>
      <c r="P700">
        <f t="shared" si="86"/>
        <v>5.6109986060279571</v>
      </c>
      <c r="R700">
        <f t="shared" si="92"/>
        <v>-3.8932800679501874E-4</v>
      </c>
    </row>
    <row r="701" spans="1:19" x14ac:dyDescent="0.2">
      <c r="A701" t="s">
        <v>712</v>
      </c>
      <c r="B701">
        <v>5.55078198</v>
      </c>
      <c r="C701">
        <v>5.3604180000000001E-2</v>
      </c>
      <c r="D701">
        <v>5.68672091</v>
      </c>
      <c r="E701">
        <v>1.0272345199999999</v>
      </c>
      <c r="F701">
        <v>3.2832495000000002</v>
      </c>
      <c r="G701">
        <v>1.2728558999999999</v>
      </c>
      <c r="H701">
        <v>2.5326413200000002</v>
      </c>
      <c r="I701">
        <v>9.8609400000000003E-3</v>
      </c>
      <c r="J701">
        <v>1</v>
      </c>
      <c r="K701">
        <v>950031</v>
      </c>
      <c r="L701">
        <f t="shared" si="87"/>
        <v>1.2627882692307692E-2</v>
      </c>
      <c r="M701">
        <f t="shared" si="88"/>
        <v>4.8955996153846153E-3</v>
      </c>
      <c r="N701">
        <f t="shared" si="89"/>
        <v>9.740928153846154E-3</v>
      </c>
      <c r="O701">
        <f t="shared" si="90"/>
        <v>7.3182638846153855E-3</v>
      </c>
      <c r="P701">
        <f t="shared" si="86"/>
        <v>3.0333760772934095</v>
      </c>
      <c r="R701">
        <f t="shared" si="92"/>
        <v>-8.097504908295549E-5</v>
      </c>
    </row>
    <row r="702" spans="1:19" x14ac:dyDescent="0.2">
      <c r="A702" t="s">
        <v>713</v>
      </c>
      <c r="B702">
        <v>5.5404003800000003</v>
      </c>
      <c r="C702">
        <v>5.2019820000000001E-2</v>
      </c>
      <c r="D702">
        <v>5.6775083300000002</v>
      </c>
      <c r="E702">
        <v>1.26428864</v>
      </c>
      <c r="F702">
        <v>3.2605738199999998</v>
      </c>
      <c r="G702">
        <v>1.2691192</v>
      </c>
      <c r="H702">
        <v>2.5222885599999998</v>
      </c>
      <c r="I702">
        <v>9.8609400000000003E-3</v>
      </c>
      <c r="J702">
        <v>1</v>
      </c>
      <c r="K702">
        <v>950031</v>
      </c>
      <c r="L702">
        <f t="shared" si="87"/>
        <v>1.2540668538461537E-2</v>
      </c>
      <c r="M702">
        <f t="shared" si="88"/>
        <v>4.8812276923076922E-3</v>
      </c>
      <c r="N702">
        <f t="shared" si="89"/>
        <v>9.7011098461538461E-3</v>
      </c>
      <c r="O702">
        <f t="shared" si="90"/>
        <v>7.2911687692307691E-3</v>
      </c>
      <c r="P702">
        <f t="shared" si="86"/>
        <v>2.9437196415113385</v>
      </c>
      <c r="R702">
        <f t="shared" si="92"/>
        <v>1.8647322418636065E-4</v>
      </c>
    </row>
    <row r="703" spans="1:19" x14ac:dyDescent="0.2">
      <c r="A703" t="s">
        <v>714</v>
      </c>
      <c r="B703">
        <v>5.5601254200000003</v>
      </c>
      <c r="C703">
        <v>0.1095849</v>
      </c>
      <c r="D703">
        <v>5.7010515899999996</v>
      </c>
      <c r="E703">
        <v>1.20502511</v>
      </c>
      <c r="F703">
        <v>3.2446693500000001</v>
      </c>
      <c r="G703">
        <v>1.2691192</v>
      </c>
      <c r="H703">
        <v>2.5434950199999999</v>
      </c>
      <c r="I703">
        <v>9.6783300000000006E-3</v>
      </c>
      <c r="J703">
        <v>1</v>
      </c>
      <c r="K703">
        <v>950031</v>
      </c>
      <c r="L703">
        <f t="shared" si="87"/>
        <v>1.2479497500000001E-2</v>
      </c>
      <c r="M703">
        <f t="shared" si="88"/>
        <v>4.8812276923076922E-3</v>
      </c>
      <c r="N703">
        <f t="shared" si="89"/>
        <v>9.7826731538461532E-3</v>
      </c>
      <c r="O703">
        <f t="shared" si="90"/>
        <v>7.3319504230769227E-3</v>
      </c>
      <c r="P703">
        <f t="shared" si="86"/>
        <v>6.2012368082599254</v>
      </c>
      <c r="R703">
        <f t="shared" si="92"/>
        <v>8.00684739375161E-4</v>
      </c>
    </row>
    <row r="704" spans="1:19" x14ac:dyDescent="0.2">
      <c r="A704" t="s">
        <v>715</v>
      </c>
      <c r="B704">
        <v>5.5959419400000003</v>
      </c>
      <c r="C704">
        <v>0.18972711</v>
      </c>
      <c r="D704">
        <v>5.7414845799999998</v>
      </c>
      <c r="E704">
        <v>1.20502511</v>
      </c>
      <c r="F704">
        <v>3.2322292199999998</v>
      </c>
      <c r="G704">
        <v>1.2759811400000001</v>
      </c>
      <c r="H704">
        <v>2.58579662</v>
      </c>
      <c r="I704">
        <v>9.8609400000000003E-3</v>
      </c>
      <c r="J704">
        <v>1</v>
      </c>
      <c r="K704">
        <v>950032</v>
      </c>
      <c r="L704">
        <f t="shared" si="87"/>
        <v>1.2431650846153846E-2</v>
      </c>
      <c r="M704">
        <f t="shared" si="88"/>
        <v>4.9076197692307696E-3</v>
      </c>
      <c r="N704">
        <f t="shared" si="89"/>
        <v>9.9453716153846145E-3</v>
      </c>
      <c r="O704">
        <f t="shared" si="90"/>
        <v>7.426495692307692E-3</v>
      </c>
      <c r="P704">
        <f t="shared" si="86"/>
        <v>10.736358184903029</v>
      </c>
      <c r="Q704">
        <f t="shared" ref="Q704" si="95">ABS(0.5*(SUMPRODUCT(O704:O722,P705:P723)+O723*P704-(SUMPRODUCT(O705:O723,P704:P722)+O704*P723)))</f>
        <v>5.2093099704593193E-3</v>
      </c>
      <c r="R704">
        <f t="shared" si="92"/>
        <v>1.8038449528531345E-3</v>
      </c>
    </row>
    <row r="705" spans="1:19" x14ac:dyDescent="0.2">
      <c r="A705" t="s">
        <v>716</v>
      </c>
      <c r="B705">
        <v>5.6496667199999999</v>
      </c>
      <c r="C705">
        <v>0.28360044000000001</v>
      </c>
      <c r="D705">
        <v>5.7993191099999999</v>
      </c>
      <c r="E705">
        <v>0.96797098999999998</v>
      </c>
      <c r="F705">
        <v>3.2230959600000002</v>
      </c>
      <c r="G705">
        <v>1.2896370800000001</v>
      </c>
      <c r="H705">
        <v>2.6421801999999999</v>
      </c>
      <c r="I705">
        <v>9.8609400000000003E-3</v>
      </c>
      <c r="J705">
        <v>1</v>
      </c>
      <c r="K705">
        <v>950032</v>
      </c>
      <c r="L705">
        <f t="shared" si="87"/>
        <v>1.2396522923076924E-2</v>
      </c>
      <c r="M705">
        <f t="shared" si="88"/>
        <v>4.9601426153846155E-3</v>
      </c>
      <c r="N705">
        <f t="shared" si="89"/>
        <v>1.0162231538461538E-2</v>
      </c>
      <c r="O705">
        <f t="shared" si="90"/>
        <v>7.561187076923076E-3</v>
      </c>
      <c r="P705">
        <f t="shared" si="86"/>
        <v>16.048502004990748</v>
      </c>
      <c r="R705">
        <f t="shared" si="92"/>
        <v>2.9095825167995558E-3</v>
      </c>
    </row>
    <row r="706" spans="1:19" x14ac:dyDescent="0.2">
      <c r="A706" t="s">
        <v>717</v>
      </c>
      <c r="B706">
        <v>5.7059869000000001</v>
      </c>
      <c r="C706">
        <v>0.39239316000000002</v>
      </c>
      <c r="D706">
        <v>5.8663662199999997</v>
      </c>
      <c r="E706">
        <v>0.67165333999999999</v>
      </c>
      <c r="F706">
        <v>3.2249856000000001</v>
      </c>
      <c r="G706">
        <v>1.3053991599999999</v>
      </c>
      <c r="H706">
        <v>2.7055212800000001</v>
      </c>
      <c r="I706">
        <v>9.8609400000000003E-3</v>
      </c>
      <c r="J706">
        <v>1</v>
      </c>
      <c r="K706">
        <v>950032</v>
      </c>
      <c r="L706">
        <f t="shared" si="87"/>
        <v>1.2403790769230769E-2</v>
      </c>
      <c r="M706">
        <f t="shared" si="88"/>
        <v>5.0207659999999994E-3</v>
      </c>
      <c r="N706">
        <f t="shared" si="89"/>
        <v>1.0405851076923078E-2</v>
      </c>
      <c r="O706">
        <f t="shared" si="90"/>
        <v>7.7133085384615378E-3</v>
      </c>
      <c r="P706">
        <f t="shared" si="86"/>
        <v>22.204910595359639</v>
      </c>
      <c r="R706">
        <f t="shared" si="92"/>
        <v>3.8687856475067011E-3</v>
      </c>
    </row>
    <row r="707" spans="1:19" x14ac:dyDescent="0.2">
      <c r="A707" t="s">
        <v>718</v>
      </c>
      <c r="B707">
        <v>5.76931466</v>
      </c>
      <c r="C707">
        <v>0.52706375999999999</v>
      </c>
      <c r="D707">
        <v>5.93546057</v>
      </c>
      <c r="E707">
        <v>0.47410824000000001</v>
      </c>
      <c r="F707">
        <v>3.2327016300000002</v>
      </c>
      <c r="G707">
        <v>1.3196665599999999</v>
      </c>
      <c r="H707">
        <v>2.7685840599999998</v>
      </c>
      <c r="I707">
        <v>9.6783300000000006E-3</v>
      </c>
      <c r="J707">
        <v>1</v>
      </c>
      <c r="K707">
        <v>950032</v>
      </c>
      <c r="L707">
        <f t="shared" si="87"/>
        <v>1.2433467807692309E-2</v>
      </c>
      <c r="M707">
        <f t="shared" si="88"/>
        <v>5.075640615384615E-3</v>
      </c>
      <c r="N707">
        <f t="shared" si="89"/>
        <v>1.0648400230769231E-2</v>
      </c>
      <c r="O707">
        <f t="shared" si="90"/>
        <v>7.8620204230769233E-3</v>
      </c>
      <c r="P707">
        <f t="shared" ref="P707:P770" si="96">+C707*4/(PI()*0.15^2)</f>
        <v>29.825707636835691</v>
      </c>
      <c r="R707">
        <f t="shared" si="92"/>
        <v>4.3434858541389794E-3</v>
      </c>
    </row>
    <row r="708" spans="1:19" x14ac:dyDescent="0.2">
      <c r="A708" t="s">
        <v>719</v>
      </c>
      <c r="B708">
        <v>5.8303065600000004</v>
      </c>
      <c r="C708">
        <v>0.70636049999999995</v>
      </c>
      <c r="D708">
        <v>6.0025076799999999</v>
      </c>
      <c r="E708">
        <v>0.47410824000000001</v>
      </c>
      <c r="F708">
        <v>3.2446693500000001</v>
      </c>
      <c r="G708">
        <v>1.3300613800000001</v>
      </c>
      <c r="H708">
        <v>2.82290822</v>
      </c>
      <c r="I708">
        <v>9.4957199999999992E-3</v>
      </c>
      <c r="J708">
        <v>1</v>
      </c>
      <c r="K708">
        <v>950032</v>
      </c>
      <c r="L708">
        <f t="shared" ref="L708:L771" si="97">+F708/260</f>
        <v>1.2479497500000001E-2</v>
      </c>
      <c r="M708">
        <f t="shared" ref="M708:M771" si="98">+G708/260</f>
        <v>5.1156206923076925E-3</v>
      </c>
      <c r="N708">
        <f t="shared" ref="N708:N771" si="99">+H708/260</f>
        <v>1.0857339307692308E-2</v>
      </c>
      <c r="O708">
        <f t="shared" ref="O708:O771" si="100">(+G708+H708)/520</f>
        <v>7.9864800000000007E-3</v>
      </c>
      <c r="P708">
        <f t="shared" si="96"/>
        <v>39.971827619506747</v>
      </c>
      <c r="R708">
        <f t="shared" ref="R708:R771" si="101">+(P708+P709)/2*(O709-O708)</f>
        <v>2.8467035612182905E-3</v>
      </c>
    </row>
    <row r="709" spans="1:19" x14ac:dyDescent="0.2">
      <c r="A709" t="s">
        <v>720</v>
      </c>
      <c r="B709">
        <v>5.8700161800000004</v>
      </c>
      <c r="C709">
        <v>0.82677186000000003</v>
      </c>
      <c r="D709">
        <v>6.0414052399999996</v>
      </c>
      <c r="E709">
        <v>0.47410824000000001</v>
      </c>
      <c r="F709">
        <v>3.2586841799999999</v>
      </c>
      <c r="G709">
        <v>1.33563246</v>
      </c>
      <c r="H709">
        <v>2.8514618</v>
      </c>
      <c r="I709">
        <v>9.4957199999999992E-3</v>
      </c>
      <c r="J709">
        <v>1</v>
      </c>
      <c r="K709">
        <v>950032</v>
      </c>
      <c r="L709">
        <f t="shared" si="97"/>
        <v>1.2533400692307692E-2</v>
      </c>
      <c r="M709">
        <f t="shared" si="98"/>
        <v>5.1370479230769235E-3</v>
      </c>
      <c r="N709">
        <f t="shared" si="99"/>
        <v>1.0967160769230769E-2</v>
      </c>
      <c r="O709">
        <f t="shared" si="100"/>
        <v>8.0521043461538461E-3</v>
      </c>
      <c r="P709">
        <f t="shared" si="96"/>
        <v>46.785716738944167</v>
      </c>
      <c r="R709">
        <f t="shared" si="101"/>
        <v>9.11410256672655E-4</v>
      </c>
    </row>
    <row r="710" spans="1:19" x14ac:dyDescent="0.2">
      <c r="A710" t="s">
        <v>721</v>
      </c>
      <c r="B710">
        <v>5.88013824</v>
      </c>
      <c r="C710">
        <v>0.85581845999999995</v>
      </c>
      <c r="D710">
        <v>6.0511296300000001</v>
      </c>
      <c r="E710">
        <v>0.47410824000000001</v>
      </c>
      <c r="F710">
        <v>3.27647829</v>
      </c>
      <c r="G710">
        <v>1.33712714</v>
      </c>
      <c r="H710">
        <v>2.8599221199999998</v>
      </c>
      <c r="I710">
        <v>9.4957199999999992E-3</v>
      </c>
      <c r="J710">
        <v>1</v>
      </c>
      <c r="K710">
        <v>950032</v>
      </c>
      <c r="L710">
        <f t="shared" si="97"/>
        <v>1.2601839576923077E-2</v>
      </c>
      <c r="M710">
        <f t="shared" si="98"/>
        <v>5.1427966923076919E-3</v>
      </c>
      <c r="N710">
        <f t="shared" si="99"/>
        <v>1.0999700461538461E-2</v>
      </c>
      <c r="O710">
        <f t="shared" si="100"/>
        <v>8.0712485769230766E-3</v>
      </c>
      <c r="P710">
        <f t="shared" si="96"/>
        <v>48.429418061615465</v>
      </c>
      <c r="R710">
        <f t="shared" si="101"/>
        <v>2.6448330864451553E-4</v>
      </c>
    </row>
    <row r="711" spans="1:19" x14ac:dyDescent="0.2">
      <c r="A711" t="s">
        <v>722</v>
      </c>
      <c r="B711">
        <v>5.8850695000000002</v>
      </c>
      <c r="C711">
        <v>0.85700673000000005</v>
      </c>
      <c r="D711">
        <v>6.0511296300000001</v>
      </c>
      <c r="E711">
        <v>0.47410824000000001</v>
      </c>
      <c r="F711">
        <v>3.2923827600000002</v>
      </c>
      <c r="G711">
        <v>1.3377386</v>
      </c>
      <c r="H711">
        <v>2.8621485199999999</v>
      </c>
      <c r="I711">
        <v>9.6783300000000006E-3</v>
      </c>
      <c r="J711">
        <v>1</v>
      </c>
      <c r="K711">
        <v>950032</v>
      </c>
      <c r="L711">
        <f t="shared" si="97"/>
        <v>1.2663010615384615E-2</v>
      </c>
      <c r="M711">
        <f t="shared" si="98"/>
        <v>5.1451484615384615E-3</v>
      </c>
      <c r="N711">
        <f t="shared" si="99"/>
        <v>1.1008263538461538E-2</v>
      </c>
      <c r="O711">
        <f t="shared" si="100"/>
        <v>8.0767059999999995E-3</v>
      </c>
      <c r="P711">
        <f t="shared" si="96"/>
        <v>48.496660388452021</v>
      </c>
      <c r="R711">
        <f t="shared" si="101"/>
        <v>-1.6731823702786656E-4</v>
      </c>
    </row>
    <row r="712" spans="1:19" x14ac:dyDescent="0.2">
      <c r="A712" t="s">
        <v>723</v>
      </c>
      <c r="B712">
        <v>5.88013824</v>
      </c>
      <c r="C712">
        <v>0.81713367000000003</v>
      </c>
      <c r="D712">
        <v>6.0490823899999997</v>
      </c>
      <c r="E712">
        <v>0.41484471000000001</v>
      </c>
      <c r="F712">
        <v>3.3038780700000001</v>
      </c>
      <c r="G712">
        <v>1.3377386</v>
      </c>
      <c r="H712">
        <v>2.8603117400000002</v>
      </c>
      <c r="I712">
        <v>9.6783300000000006E-3</v>
      </c>
      <c r="J712">
        <v>1</v>
      </c>
      <c r="K712">
        <v>950032</v>
      </c>
      <c r="L712">
        <f t="shared" si="97"/>
        <v>1.2707223346153847E-2</v>
      </c>
      <c r="M712">
        <f t="shared" si="98"/>
        <v>5.1451484615384615E-3</v>
      </c>
      <c r="N712">
        <f t="shared" si="99"/>
        <v>1.1001199000000001E-2</v>
      </c>
      <c r="O712">
        <f t="shared" si="100"/>
        <v>8.073173730769231E-3</v>
      </c>
      <c r="P712">
        <f t="shared" si="96"/>
        <v>46.240306754603232</v>
      </c>
      <c r="R712">
        <f t="shared" si="101"/>
        <v>-1.0452757062181402E-3</v>
      </c>
    </row>
    <row r="713" spans="1:19" x14ac:dyDescent="0.2">
      <c r="A713" t="s">
        <v>724</v>
      </c>
      <c r="B713">
        <v>5.8643063</v>
      </c>
      <c r="C713">
        <v>0.70556832000000003</v>
      </c>
      <c r="D713">
        <v>6.0321926599999998</v>
      </c>
      <c r="E713">
        <v>0.41484471000000001</v>
      </c>
      <c r="F713">
        <v>3.31679061</v>
      </c>
      <c r="G713">
        <v>1.3375347799999999</v>
      </c>
      <c r="H713">
        <v>2.8478995600000001</v>
      </c>
      <c r="I713">
        <v>9.6783300000000006E-3</v>
      </c>
      <c r="J713">
        <v>1</v>
      </c>
      <c r="K713">
        <v>950032</v>
      </c>
      <c r="L713">
        <f t="shared" si="97"/>
        <v>1.2756886961538462E-2</v>
      </c>
      <c r="M713">
        <f t="shared" si="98"/>
        <v>5.1443645384615377E-3</v>
      </c>
      <c r="N713">
        <f t="shared" si="99"/>
        <v>1.0953459846153847E-2</v>
      </c>
      <c r="O713">
        <f t="shared" si="100"/>
        <v>8.0489121923076924E-3</v>
      </c>
      <c r="P713">
        <f t="shared" si="96"/>
        <v>39.926999401615717</v>
      </c>
      <c r="R713">
        <f t="shared" si="101"/>
        <v>-1.0262065245791451E-3</v>
      </c>
    </row>
    <row r="714" spans="1:19" x14ac:dyDescent="0.2">
      <c r="A714" t="s">
        <v>725</v>
      </c>
      <c r="B714">
        <v>5.8461385000000003</v>
      </c>
      <c r="C714">
        <v>0.61288326000000004</v>
      </c>
      <c r="D714">
        <v>6.0132556900000003</v>
      </c>
      <c r="E714">
        <v>0.41484471000000001</v>
      </c>
      <c r="F714">
        <v>3.3282859199999999</v>
      </c>
      <c r="G714">
        <v>1.3375347799999999</v>
      </c>
      <c r="H714">
        <v>2.8335949399999998</v>
      </c>
      <c r="I714">
        <v>9.4957199999999992E-3</v>
      </c>
      <c r="J714">
        <v>1</v>
      </c>
      <c r="K714">
        <v>950032</v>
      </c>
      <c r="L714">
        <f t="shared" si="97"/>
        <v>1.2801099692307692E-2</v>
      </c>
      <c r="M714">
        <f t="shared" si="98"/>
        <v>5.1443645384615377E-3</v>
      </c>
      <c r="N714">
        <f t="shared" si="99"/>
        <v>1.0898442076923077E-2</v>
      </c>
      <c r="O714">
        <f t="shared" si="100"/>
        <v>8.0214033076923073E-3</v>
      </c>
      <c r="P714">
        <f t="shared" si="96"/>
        <v>34.682097908364554</v>
      </c>
      <c r="R714">
        <f t="shared" si="101"/>
        <v>-1.2698676754462816E-3</v>
      </c>
    </row>
    <row r="715" spans="1:19" x14ac:dyDescent="0.2">
      <c r="A715" t="s">
        <v>726</v>
      </c>
      <c r="B715">
        <v>5.8256348400000002</v>
      </c>
      <c r="C715">
        <v>0.52138647000000005</v>
      </c>
      <c r="D715">
        <v>5.9932951000000001</v>
      </c>
      <c r="E715">
        <v>0.41484471000000001</v>
      </c>
      <c r="F715">
        <v>3.3341123100000001</v>
      </c>
      <c r="G715">
        <v>1.3373309600000001</v>
      </c>
      <c r="H715">
        <v>2.8132233800000002</v>
      </c>
      <c r="I715">
        <v>9.4957199999999992E-3</v>
      </c>
      <c r="J715">
        <v>1</v>
      </c>
      <c r="K715">
        <v>950032</v>
      </c>
      <c r="L715">
        <f t="shared" si="97"/>
        <v>1.2823508884615385E-2</v>
      </c>
      <c r="M715">
        <f t="shared" si="98"/>
        <v>5.1435806153846157E-3</v>
      </c>
      <c r="N715">
        <f t="shared" si="99"/>
        <v>1.0820089923076924E-2</v>
      </c>
      <c r="O715">
        <f t="shared" si="100"/>
        <v>7.9818352692307692E-3</v>
      </c>
      <c r="P715">
        <f t="shared" si="96"/>
        <v>29.50443874194994</v>
      </c>
      <c r="R715">
        <f t="shared" si="101"/>
        <v>-1.9842825488866804E-3</v>
      </c>
    </row>
    <row r="716" spans="1:19" x14ac:dyDescent="0.2">
      <c r="A716" t="s">
        <v>727</v>
      </c>
      <c r="B716">
        <v>5.7913755599999996</v>
      </c>
      <c r="C716">
        <v>0.42025149000000001</v>
      </c>
      <c r="D716">
        <v>5.9477440100000001</v>
      </c>
      <c r="E716">
        <v>0.41484471000000001</v>
      </c>
      <c r="F716">
        <v>3.33694677</v>
      </c>
      <c r="G716">
        <v>1.3333904400000001</v>
      </c>
      <c r="H716">
        <v>2.77843588</v>
      </c>
      <c r="I716">
        <v>9.4957199999999992E-3</v>
      </c>
      <c r="J716">
        <v>1</v>
      </c>
      <c r="K716">
        <v>950032</v>
      </c>
      <c r="L716">
        <f t="shared" si="97"/>
        <v>1.2834410653846154E-2</v>
      </c>
      <c r="M716">
        <f t="shared" si="98"/>
        <v>5.1284247692307697E-3</v>
      </c>
      <c r="N716">
        <f t="shared" si="99"/>
        <v>1.0686291846153845E-2</v>
      </c>
      <c r="O716">
        <f t="shared" si="100"/>
        <v>7.9073583076923089E-3</v>
      </c>
      <c r="P716">
        <f t="shared" si="96"/>
        <v>23.781369591194391</v>
      </c>
      <c r="R716">
        <f t="shared" si="101"/>
        <v>-2.2496190938360223E-3</v>
      </c>
      <c r="S716">
        <f>ABS(SUMIFS($R:$R,$K:$K,K716))</f>
        <v>5.1930473737704375E-3</v>
      </c>
    </row>
    <row r="717" spans="1:19" x14ac:dyDescent="0.2">
      <c r="A717" t="s">
        <v>728</v>
      </c>
      <c r="B717">
        <v>5.7464751400000003</v>
      </c>
      <c r="C717">
        <v>0.32360552999999997</v>
      </c>
      <c r="D717">
        <v>5.8975866300000002</v>
      </c>
      <c r="E717">
        <v>0.41484471000000001</v>
      </c>
      <c r="F717">
        <v>3.33600195</v>
      </c>
      <c r="G717">
        <v>1.3248979400000001</v>
      </c>
      <c r="H717">
        <v>2.7313475199999999</v>
      </c>
      <c r="I717">
        <v>9.6783300000000006E-3</v>
      </c>
      <c r="J717">
        <v>1</v>
      </c>
      <c r="K717">
        <v>950032</v>
      </c>
      <c r="L717">
        <f t="shared" si="97"/>
        <v>1.283077673076923E-2</v>
      </c>
      <c r="M717">
        <f t="shared" si="98"/>
        <v>5.0957613076923081E-3</v>
      </c>
      <c r="N717">
        <f t="shared" si="99"/>
        <v>1.0505182769230769E-2</v>
      </c>
      <c r="O717">
        <f t="shared" si="100"/>
        <v>7.8004720384615379E-3</v>
      </c>
      <c r="P717">
        <f t="shared" si="96"/>
        <v>18.312327008488044</v>
      </c>
      <c r="R717">
        <f t="shared" si="101"/>
        <v>-1.9544482934282627E-3</v>
      </c>
    </row>
    <row r="718" spans="1:19" x14ac:dyDescent="0.2">
      <c r="A718" t="s">
        <v>729</v>
      </c>
      <c r="B718">
        <v>5.6948266800000003</v>
      </c>
      <c r="C718">
        <v>0.24095475</v>
      </c>
      <c r="D718">
        <v>5.84026391</v>
      </c>
      <c r="E718">
        <v>0.41484471000000001</v>
      </c>
      <c r="F718">
        <v>3.3293882099999998</v>
      </c>
      <c r="G718">
        <v>1.31409548</v>
      </c>
      <c r="H718">
        <v>2.67852618</v>
      </c>
      <c r="I718">
        <v>9.4957199999999992E-3</v>
      </c>
      <c r="J718">
        <v>1</v>
      </c>
      <c r="K718">
        <v>950032</v>
      </c>
      <c r="L718">
        <f t="shared" si="97"/>
        <v>1.2805339269230769E-2</v>
      </c>
      <c r="M718">
        <f t="shared" si="98"/>
        <v>5.0542133846153848E-3</v>
      </c>
      <c r="N718">
        <f t="shared" si="99"/>
        <v>1.030202376923077E-2</v>
      </c>
      <c r="O718">
        <f t="shared" si="100"/>
        <v>7.6781185769230773E-3</v>
      </c>
      <c r="P718">
        <f t="shared" si="96"/>
        <v>13.635249608523331</v>
      </c>
      <c r="R718">
        <f t="shared" si="101"/>
        <v>-1.5329207231321192E-3</v>
      </c>
    </row>
    <row r="719" spans="1:19" x14ac:dyDescent="0.2">
      <c r="A719" t="s">
        <v>730</v>
      </c>
      <c r="B719">
        <v>5.6465522400000001</v>
      </c>
      <c r="C719">
        <v>0.16596171000000001</v>
      </c>
      <c r="D719">
        <v>5.78242938</v>
      </c>
      <c r="E719">
        <v>0.41484471000000001</v>
      </c>
      <c r="F719">
        <v>3.31679061</v>
      </c>
      <c r="G719">
        <v>1.2993524999999999</v>
      </c>
      <c r="H719">
        <v>2.6240350399999999</v>
      </c>
      <c r="I719">
        <v>9.4957199999999992E-3</v>
      </c>
      <c r="J719">
        <v>1</v>
      </c>
      <c r="K719">
        <v>950032</v>
      </c>
      <c r="L719">
        <f t="shared" si="97"/>
        <v>1.2756886961538462E-2</v>
      </c>
      <c r="M719">
        <f t="shared" si="98"/>
        <v>4.9975096153846155E-3</v>
      </c>
      <c r="N719">
        <f t="shared" si="99"/>
        <v>1.009244246153846E-2</v>
      </c>
      <c r="O719">
        <f t="shared" si="100"/>
        <v>7.5449760384615379E-3</v>
      </c>
      <c r="P719">
        <f t="shared" si="96"/>
        <v>9.39151164817196</v>
      </c>
      <c r="R719">
        <f t="shared" si="101"/>
        <v>-9.997969389301687E-4</v>
      </c>
    </row>
    <row r="720" spans="1:19" x14ac:dyDescent="0.2">
      <c r="A720" t="s">
        <v>731</v>
      </c>
      <c r="B720">
        <v>5.5959419400000003</v>
      </c>
      <c r="C720">
        <v>0.1003428</v>
      </c>
      <c r="D720">
        <v>5.732272</v>
      </c>
      <c r="E720">
        <v>0.73091687000000005</v>
      </c>
      <c r="F720">
        <v>3.3015160200000002</v>
      </c>
      <c r="G720">
        <v>1.2840659999999999</v>
      </c>
      <c r="H720">
        <v>2.5703231400000002</v>
      </c>
      <c r="I720">
        <v>9.6783300000000006E-3</v>
      </c>
      <c r="J720">
        <v>1</v>
      </c>
      <c r="K720">
        <v>950032</v>
      </c>
      <c r="L720">
        <f t="shared" si="97"/>
        <v>1.2698138538461539E-2</v>
      </c>
      <c r="M720">
        <f t="shared" si="98"/>
        <v>4.9387153846153845E-3</v>
      </c>
      <c r="N720">
        <f t="shared" si="99"/>
        <v>9.885858230769231E-3</v>
      </c>
      <c r="O720">
        <f t="shared" si="100"/>
        <v>7.4122868076923086E-3</v>
      </c>
      <c r="P720">
        <f t="shared" si="96"/>
        <v>5.6782409328645098</v>
      </c>
      <c r="R720">
        <f t="shared" si="101"/>
        <v>-4.064814130188911E-4</v>
      </c>
    </row>
    <row r="721" spans="1:18" x14ac:dyDescent="0.2">
      <c r="A721" t="s">
        <v>732</v>
      </c>
      <c r="B721">
        <v>5.5531178399999996</v>
      </c>
      <c r="C721">
        <v>5.320809E-2</v>
      </c>
      <c r="D721">
        <v>5.6918390099999998</v>
      </c>
      <c r="E721">
        <v>1.0272345199999999</v>
      </c>
      <c r="F721">
        <v>3.2837219100000001</v>
      </c>
      <c r="G721">
        <v>1.2732635400000001</v>
      </c>
      <c r="H721">
        <v>2.5324743399999998</v>
      </c>
      <c r="I721">
        <v>1.004355E-2</v>
      </c>
      <c r="J721">
        <v>1</v>
      </c>
      <c r="K721">
        <v>950032</v>
      </c>
      <c r="L721">
        <f t="shared" si="97"/>
        <v>1.2629699653846154E-2</v>
      </c>
      <c r="M721">
        <f t="shared" si="98"/>
        <v>4.897167461538462E-3</v>
      </c>
      <c r="N721">
        <f t="shared" si="99"/>
        <v>9.7402859230769218E-3</v>
      </c>
      <c r="O721">
        <f t="shared" si="100"/>
        <v>7.3187266923076914E-3</v>
      </c>
      <c r="P721">
        <f t="shared" si="96"/>
        <v>3.0109619683478916</v>
      </c>
      <c r="R721">
        <f t="shared" si="101"/>
        <v>-7.5770777472567515E-5</v>
      </c>
    </row>
    <row r="722" spans="1:18" x14ac:dyDescent="0.2">
      <c r="A722" t="s">
        <v>733</v>
      </c>
      <c r="B722">
        <v>5.53884314</v>
      </c>
      <c r="C722">
        <v>5.0831550000000003E-2</v>
      </c>
      <c r="D722">
        <v>5.6790437599999999</v>
      </c>
      <c r="E722">
        <v>1.0864980500000001</v>
      </c>
      <c r="F722">
        <v>3.2605738199999998</v>
      </c>
      <c r="G722">
        <v>1.26973066</v>
      </c>
      <c r="H722">
        <v>2.5226225200000001</v>
      </c>
      <c r="I722">
        <v>1.004355E-2</v>
      </c>
      <c r="J722">
        <v>1</v>
      </c>
      <c r="K722">
        <v>950032</v>
      </c>
      <c r="L722">
        <f t="shared" si="97"/>
        <v>1.2540668538461537E-2</v>
      </c>
      <c r="M722">
        <f t="shared" si="98"/>
        <v>4.8835794615384618E-3</v>
      </c>
      <c r="N722">
        <f t="shared" si="99"/>
        <v>9.7023943076923087E-3</v>
      </c>
      <c r="O722">
        <f t="shared" si="100"/>
        <v>7.2929868846153849E-3</v>
      </c>
      <c r="P722">
        <f t="shared" si="96"/>
        <v>2.8764773146747848</v>
      </c>
      <c r="R722">
        <f t="shared" si="101"/>
        <v>1.7774687061797016E-4</v>
      </c>
    </row>
    <row r="723" spans="1:18" x14ac:dyDescent="0.2">
      <c r="A723" t="s">
        <v>734</v>
      </c>
      <c r="B723">
        <v>5.5570109399999996</v>
      </c>
      <c r="C723">
        <v>0.10879272</v>
      </c>
      <c r="D723">
        <v>5.7071933100000001</v>
      </c>
      <c r="E723">
        <v>1.0864980500000001</v>
      </c>
      <c r="F723">
        <v>3.2427797100000002</v>
      </c>
      <c r="G723">
        <v>1.2693230200000001</v>
      </c>
      <c r="H723">
        <v>2.5434950199999999</v>
      </c>
      <c r="I723">
        <v>9.8609400000000003E-3</v>
      </c>
      <c r="J723">
        <v>1</v>
      </c>
      <c r="K723">
        <v>950032</v>
      </c>
      <c r="L723">
        <f t="shared" si="97"/>
        <v>1.2472229653846154E-2</v>
      </c>
      <c r="M723">
        <f t="shared" si="98"/>
        <v>4.882011615384616E-3</v>
      </c>
      <c r="N723">
        <f t="shared" si="99"/>
        <v>9.7826731538461532E-3</v>
      </c>
      <c r="O723">
        <f t="shared" si="100"/>
        <v>7.3323423846153842E-3</v>
      </c>
      <c r="P723">
        <f t="shared" si="96"/>
        <v>6.1564085903688897</v>
      </c>
      <c r="R723">
        <f t="shared" si="101"/>
        <v>7.789923372947807E-4</v>
      </c>
    </row>
    <row r="724" spans="1:18" x14ac:dyDescent="0.2">
      <c r="A724" t="s">
        <v>735</v>
      </c>
      <c r="B724">
        <v>5.5982778</v>
      </c>
      <c r="C724">
        <v>0.18853884000000001</v>
      </c>
      <c r="D724">
        <v>5.7399491500000002</v>
      </c>
      <c r="E724">
        <v>1.0272345199999999</v>
      </c>
      <c r="F724">
        <v>3.2317568099999998</v>
      </c>
      <c r="G724">
        <v>1.27550556</v>
      </c>
      <c r="H724">
        <v>2.5854626600000001</v>
      </c>
      <c r="I724">
        <v>9.8609400000000003E-3</v>
      </c>
      <c r="J724">
        <v>1</v>
      </c>
      <c r="K724">
        <v>950033</v>
      </c>
      <c r="L724">
        <f t="shared" si="97"/>
        <v>1.2429833884615384E-2</v>
      </c>
      <c r="M724">
        <f t="shared" si="98"/>
        <v>4.9057906153846158E-3</v>
      </c>
      <c r="N724">
        <f t="shared" si="99"/>
        <v>9.9440871538461536E-3</v>
      </c>
      <c r="O724">
        <f t="shared" si="100"/>
        <v>7.4249388846153851E-3</v>
      </c>
      <c r="P724">
        <f t="shared" si="96"/>
        <v>10.669115858066476</v>
      </c>
      <c r="Q724">
        <f t="shared" ref="Q724" si="102">ABS(0.5*(SUMPRODUCT(O724:O742,P725:P743)+O743*P724-(SUMPRODUCT(O725:O743,P724:P742)+O724*P743)))</f>
        <v>5.162126586047977E-3</v>
      </c>
      <c r="R724">
        <f t="shared" si="101"/>
        <v>1.8112538227703719E-3</v>
      </c>
    </row>
    <row r="725" spans="1:18" x14ac:dyDescent="0.2">
      <c r="A725" t="s">
        <v>736</v>
      </c>
      <c r="B725">
        <v>5.6488880999999997</v>
      </c>
      <c r="C725">
        <v>0.28241217000000002</v>
      </c>
      <c r="D725">
        <v>5.7977836800000002</v>
      </c>
      <c r="E725">
        <v>0.84944392999999996</v>
      </c>
      <c r="F725">
        <v>3.2254580100000001</v>
      </c>
      <c r="G725">
        <v>1.2896370800000001</v>
      </c>
      <c r="H725">
        <v>2.6420132199999999</v>
      </c>
      <c r="I725">
        <v>9.8609400000000003E-3</v>
      </c>
      <c r="J725">
        <v>1</v>
      </c>
      <c r="K725">
        <v>950033</v>
      </c>
      <c r="L725">
        <f t="shared" si="97"/>
        <v>1.2405607730769231E-2</v>
      </c>
      <c r="M725">
        <f t="shared" si="98"/>
        <v>4.9601426153846155E-3</v>
      </c>
      <c r="N725">
        <f t="shared" si="99"/>
        <v>1.0161589307692308E-2</v>
      </c>
      <c r="O725">
        <f t="shared" si="100"/>
        <v>7.5608659615384616E-3</v>
      </c>
      <c r="P725">
        <f t="shared" si="96"/>
        <v>15.981259678154196</v>
      </c>
      <c r="R725">
        <f t="shared" si="101"/>
        <v>2.8932332286595573E-3</v>
      </c>
    </row>
    <row r="726" spans="1:18" x14ac:dyDescent="0.2">
      <c r="A726" t="s">
        <v>737</v>
      </c>
      <c r="B726">
        <v>5.7091013799999999</v>
      </c>
      <c r="C726">
        <v>0.39120489000000003</v>
      </c>
      <c r="D726">
        <v>5.8679016500000003</v>
      </c>
      <c r="E726">
        <v>0.79018040000000001</v>
      </c>
      <c r="F726">
        <v>3.2240407800000002</v>
      </c>
      <c r="G726">
        <v>1.3053991599999999</v>
      </c>
      <c r="H726">
        <v>2.7051873199999998</v>
      </c>
      <c r="I726">
        <v>9.8609400000000003E-3</v>
      </c>
      <c r="J726">
        <v>1</v>
      </c>
      <c r="K726">
        <v>950033</v>
      </c>
      <c r="L726">
        <f t="shared" si="97"/>
        <v>1.2400156846153847E-2</v>
      </c>
      <c r="M726">
        <f t="shared" si="98"/>
        <v>5.0207659999999994E-3</v>
      </c>
      <c r="N726">
        <f t="shared" si="99"/>
        <v>1.0404566615384615E-2</v>
      </c>
      <c r="O726">
        <f t="shared" si="100"/>
        <v>7.7126663076923074E-3</v>
      </c>
      <c r="P726">
        <f t="shared" si="96"/>
        <v>22.137668268523086</v>
      </c>
      <c r="R726">
        <f t="shared" si="101"/>
        <v>3.8088554265801717E-3</v>
      </c>
    </row>
    <row r="727" spans="1:18" x14ac:dyDescent="0.2">
      <c r="A727" t="s">
        <v>738</v>
      </c>
      <c r="B727">
        <v>5.7724291399999998</v>
      </c>
      <c r="C727">
        <v>0.52455518999999995</v>
      </c>
      <c r="D727">
        <v>5.9369959999999997</v>
      </c>
      <c r="E727">
        <v>0.73091687000000005</v>
      </c>
      <c r="F727">
        <v>3.2322292199999998</v>
      </c>
      <c r="G727">
        <v>1.3196665599999999</v>
      </c>
      <c r="H727">
        <v>2.7673595400000002</v>
      </c>
      <c r="I727">
        <v>9.6783300000000006E-3</v>
      </c>
      <c r="J727">
        <v>1</v>
      </c>
      <c r="K727">
        <v>950033</v>
      </c>
      <c r="L727">
        <f t="shared" si="97"/>
        <v>1.2431650846153846E-2</v>
      </c>
      <c r="M727">
        <f t="shared" si="98"/>
        <v>5.075640615384615E-3</v>
      </c>
      <c r="N727">
        <f t="shared" si="99"/>
        <v>1.0643690538461538E-2</v>
      </c>
      <c r="O727">
        <f t="shared" si="100"/>
        <v>7.8596655769230771E-3</v>
      </c>
      <c r="P727">
        <f t="shared" si="96"/>
        <v>29.683751613514076</v>
      </c>
      <c r="R727">
        <f t="shared" si="101"/>
        <v>4.4148674318313531E-3</v>
      </c>
    </row>
    <row r="728" spans="1:18" x14ac:dyDescent="0.2">
      <c r="A728" t="s">
        <v>739</v>
      </c>
      <c r="B728">
        <v>5.8341996600000003</v>
      </c>
      <c r="C728">
        <v>0.70517222999999996</v>
      </c>
      <c r="D728">
        <v>6.0040431099999996</v>
      </c>
      <c r="E728">
        <v>0.73091687000000005</v>
      </c>
      <c r="F728">
        <v>3.2446693500000001</v>
      </c>
      <c r="G728">
        <v>1.3302651999999999</v>
      </c>
      <c r="H728">
        <v>2.82274124</v>
      </c>
      <c r="I728">
        <v>9.3131099999999994E-3</v>
      </c>
      <c r="J728">
        <v>1</v>
      </c>
      <c r="K728">
        <v>950033</v>
      </c>
      <c r="L728">
        <f t="shared" si="97"/>
        <v>1.2479497500000001E-2</v>
      </c>
      <c r="M728">
        <f t="shared" si="98"/>
        <v>5.1164046153846154E-3</v>
      </c>
      <c r="N728">
        <f t="shared" si="99"/>
        <v>1.0856697076923078E-2</v>
      </c>
      <c r="O728">
        <f t="shared" si="100"/>
        <v>7.9865508461538469E-3</v>
      </c>
      <c r="P728">
        <f t="shared" si="96"/>
        <v>39.904585292670191</v>
      </c>
      <c r="R728">
        <f t="shared" si="101"/>
        <v>2.7922607069832362E-3</v>
      </c>
    </row>
    <row r="729" spans="1:18" x14ac:dyDescent="0.2">
      <c r="A729" t="s">
        <v>740</v>
      </c>
      <c r="B729">
        <v>5.8707947999999996</v>
      </c>
      <c r="C729">
        <v>0.82439532000000004</v>
      </c>
      <c r="D729">
        <v>6.0367989499999997</v>
      </c>
      <c r="E729">
        <v>0.67165333999999999</v>
      </c>
      <c r="F729">
        <v>3.25773936</v>
      </c>
      <c r="G729">
        <v>1.3354286399999999</v>
      </c>
      <c r="H729">
        <v>2.8511278400000002</v>
      </c>
      <c r="I729">
        <v>9.3131099999999994E-3</v>
      </c>
      <c r="J729">
        <v>1</v>
      </c>
      <c r="K729">
        <v>950033</v>
      </c>
      <c r="L729">
        <f t="shared" si="97"/>
        <v>1.2529766769230769E-2</v>
      </c>
      <c r="M729">
        <f t="shared" si="98"/>
        <v>5.1362639999999998E-3</v>
      </c>
      <c r="N729">
        <f t="shared" si="99"/>
        <v>1.0965876307692309E-2</v>
      </c>
      <c r="O729">
        <f t="shared" si="100"/>
        <v>8.0510701538461533E-3</v>
      </c>
      <c r="P729">
        <f t="shared" si="96"/>
        <v>46.651232085271062</v>
      </c>
      <c r="R729">
        <f t="shared" si="101"/>
        <v>8.9288814193793601E-4</v>
      </c>
    </row>
    <row r="730" spans="1:18" x14ac:dyDescent="0.2">
      <c r="A730" t="s">
        <v>741</v>
      </c>
      <c r="B730">
        <v>5.88429088</v>
      </c>
      <c r="C730">
        <v>0.85212162000000002</v>
      </c>
      <c r="D730">
        <v>6.04754696</v>
      </c>
      <c r="E730">
        <v>0.61238981000000003</v>
      </c>
      <c r="F730">
        <v>3.2755334700000001</v>
      </c>
      <c r="G730">
        <v>1.3369233199999999</v>
      </c>
      <c r="H730">
        <v>2.85942118</v>
      </c>
      <c r="I730">
        <v>9.4957199999999992E-3</v>
      </c>
      <c r="J730">
        <v>1</v>
      </c>
      <c r="K730">
        <v>950033</v>
      </c>
      <c r="L730">
        <f t="shared" si="97"/>
        <v>1.2598205653846154E-2</v>
      </c>
      <c r="M730">
        <f t="shared" si="98"/>
        <v>5.142012769230769E-3</v>
      </c>
      <c r="N730">
        <f t="shared" si="99"/>
        <v>1.099777376923077E-2</v>
      </c>
      <c r="O730">
        <f t="shared" si="100"/>
        <v>8.0698932692307695E-3</v>
      </c>
      <c r="P730">
        <f t="shared" si="96"/>
        <v>48.220219711457304</v>
      </c>
      <c r="R730">
        <f t="shared" si="101"/>
        <v>2.823426802760964E-4</v>
      </c>
    </row>
    <row r="731" spans="1:18" x14ac:dyDescent="0.2">
      <c r="A731" t="s">
        <v>742</v>
      </c>
      <c r="B731">
        <v>5.8832527199999998</v>
      </c>
      <c r="C731">
        <v>0.85383801000000004</v>
      </c>
      <c r="D731">
        <v>6.0511296300000001</v>
      </c>
      <c r="E731">
        <v>0.61238981000000003</v>
      </c>
      <c r="F731">
        <v>3.2928551700000002</v>
      </c>
      <c r="G731">
        <v>1.3377386</v>
      </c>
      <c r="H731">
        <v>2.8616475800000001</v>
      </c>
      <c r="I731">
        <v>9.6783300000000006E-3</v>
      </c>
      <c r="J731">
        <v>1</v>
      </c>
      <c r="K731">
        <v>950033</v>
      </c>
      <c r="L731">
        <f t="shared" si="97"/>
        <v>1.2664827576923077E-2</v>
      </c>
      <c r="M731">
        <f t="shared" si="98"/>
        <v>5.1451484615384615E-3</v>
      </c>
      <c r="N731">
        <f t="shared" si="99"/>
        <v>1.1006336846153847E-2</v>
      </c>
      <c r="O731">
        <f t="shared" si="100"/>
        <v>8.0757426538461546E-3</v>
      </c>
      <c r="P731">
        <f t="shared" si="96"/>
        <v>48.317347516887878</v>
      </c>
      <c r="R731">
        <f t="shared" si="101"/>
        <v>-4.2246364699253566E-5</v>
      </c>
    </row>
    <row r="732" spans="1:18" x14ac:dyDescent="0.2">
      <c r="A732" t="s">
        <v>743</v>
      </c>
      <c r="B732">
        <v>5.8824740999999996</v>
      </c>
      <c r="C732">
        <v>0.81911411999999995</v>
      </c>
      <c r="D732">
        <v>6.0460115300000004</v>
      </c>
      <c r="E732">
        <v>0.61238981000000003</v>
      </c>
      <c r="F732">
        <v>3.3048228900000001</v>
      </c>
      <c r="G732">
        <v>1.3379424200000001</v>
      </c>
      <c r="H732">
        <v>2.8609796599999999</v>
      </c>
      <c r="I732">
        <v>9.4957199999999992E-3</v>
      </c>
      <c r="J732">
        <v>1</v>
      </c>
      <c r="K732">
        <v>950033</v>
      </c>
      <c r="L732">
        <f t="shared" si="97"/>
        <v>1.2710857269230769E-2</v>
      </c>
      <c r="M732">
        <f t="shared" si="98"/>
        <v>5.1459323846153853E-3</v>
      </c>
      <c r="N732">
        <f t="shared" si="99"/>
        <v>1.1003767923076923E-2</v>
      </c>
      <c r="O732">
        <f t="shared" si="100"/>
        <v>8.0748501538461543E-3</v>
      </c>
      <c r="P732">
        <f t="shared" si="96"/>
        <v>46.352377299330819</v>
      </c>
      <c r="R732">
        <f t="shared" si="101"/>
        <v>-1.0305286324656909E-3</v>
      </c>
    </row>
    <row r="733" spans="1:18" x14ac:dyDescent="0.2">
      <c r="A733" t="s">
        <v>744</v>
      </c>
      <c r="B733">
        <v>5.8611918200000002</v>
      </c>
      <c r="C733">
        <v>0.70675659000000002</v>
      </c>
      <c r="D733">
        <v>6.0321926599999998</v>
      </c>
      <c r="E733">
        <v>0.61238981000000003</v>
      </c>
      <c r="F733">
        <v>3.31537338</v>
      </c>
      <c r="G733">
        <v>1.3379424200000001</v>
      </c>
      <c r="H733">
        <v>2.8485674799999998</v>
      </c>
      <c r="I733">
        <v>9.6783300000000006E-3</v>
      </c>
      <c r="J733">
        <v>1</v>
      </c>
      <c r="K733">
        <v>950033</v>
      </c>
      <c r="L733">
        <f t="shared" si="97"/>
        <v>1.2751436076923077E-2</v>
      </c>
      <c r="M733">
        <f t="shared" si="98"/>
        <v>5.1459323846153853E-3</v>
      </c>
      <c r="N733">
        <f t="shared" si="99"/>
        <v>1.0956028769230769E-2</v>
      </c>
      <c r="O733">
        <f t="shared" si="100"/>
        <v>8.0509805769230763E-3</v>
      </c>
      <c r="P733">
        <f t="shared" si="96"/>
        <v>39.994241728452266</v>
      </c>
      <c r="R733">
        <f t="shared" si="101"/>
        <v>-9.7693153569424602E-4</v>
      </c>
    </row>
    <row r="734" spans="1:18" x14ac:dyDescent="0.2">
      <c r="A734" t="s">
        <v>745</v>
      </c>
      <c r="B734">
        <v>5.8492529800000002</v>
      </c>
      <c r="C734">
        <v>0.61525980000000002</v>
      </c>
      <c r="D734">
        <v>6.0193974099999998</v>
      </c>
      <c r="E734">
        <v>0.61238981000000003</v>
      </c>
      <c r="F734">
        <v>3.32639628</v>
      </c>
      <c r="G734">
        <v>1.3379424200000001</v>
      </c>
      <c r="H734">
        <v>2.8349864400000002</v>
      </c>
      <c r="I734">
        <v>9.8609400000000003E-3</v>
      </c>
      <c r="J734">
        <v>1</v>
      </c>
      <c r="K734">
        <v>950033</v>
      </c>
      <c r="L734">
        <f t="shared" si="97"/>
        <v>1.2793831846153847E-2</v>
      </c>
      <c r="M734">
        <f t="shared" si="98"/>
        <v>5.1459323846153853E-3</v>
      </c>
      <c r="N734">
        <f t="shared" si="99"/>
        <v>1.0903794000000001E-2</v>
      </c>
      <c r="O734">
        <f t="shared" si="100"/>
        <v>8.0248631923076942E-3</v>
      </c>
      <c r="P734">
        <f t="shared" si="96"/>
        <v>34.816582562037659</v>
      </c>
      <c r="R734">
        <f t="shared" si="101"/>
        <v>-1.4039650341505019E-3</v>
      </c>
    </row>
    <row r="735" spans="1:18" x14ac:dyDescent="0.2">
      <c r="A735" t="s">
        <v>746</v>
      </c>
      <c r="B735">
        <v>5.8240775999999999</v>
      </c>
      <c r="C735">
        <v>0.52099037999999998</v>
      </c>
      <c r="D735">
        <v>5.9917596700000004</v>
      </c>
      <c r="E735">
        <v>0.61238981000000003</v>
      </c>
      <c r="F735">
        <v>3.3336399000000001</v>
      </c>
      <c r="G735">
        <v>1.3373309600000001</v>
      </c>
      <c r="H735">
        <v>2.8128894199999999</v>
      </c>
      <c r="I735">
        <v>9.8609400000000003E-3</v>
      </c>
      <c r="J735">
        <v>1</v>
      </c>
      <c r="K735">
        <v>950033</v>
      </c>
      <c r="L735">
        <f t="shared" si="97"/>
        <v>1.2821691923076924E-2</v>
      </c>
      <c r="M735">
        <f t="shared" si="98"/>
        <v>5.1435806153846157E-3</v>
      </c>
      <c r="N735">
        <f t="shared" si="99"/>
        <v>1.0818805461538461E-2</v>
      </c>
      <c r="O735">
        <f t="shared" si="100"/>
        <v>7.9811930384615388E-3</v>
      </c>
      <c r="P735">
        <f t="shared" si="96"/>
        <v>29.482024633004418</v>
      </c>
      <c r="R735">
        <f t="shared" si="101"/>
        <v>-2.0696091058394158E-3</v>
      </c>
    </row>
    <row r="736" spans="1:18" x14ac:dyDescent="0.2">
      <c r="A736" t="s">
        <v>747</v>
      </c>
      <c r="B736">
        <v>5.7898183200000002</v>
      </c>
      <c r="C736">
        <v>0.41668667999999998</v>
      </c>
      <c r="D736">
        <v>5.9492794399999998</v>
      </c>
      <c r="E736">
        <v>0.61238981000000003</v>
      </c>
      <c r="F736">
        <v>3.3336399000000001</v>
      </c>
      <c r="G736">
        <v>1.3327789800000001</v>
      </c>
      <c r="H736">
        <v>2.7768774000000001</v>
      </c>
      <c r="I736">
        <v>9.6783300000000006E-3</v>
      </c>
      <c r="J736">
        <v>1</v>
      </c>
      <c r="K736">
        <v>950033</v>
      </c>
      <c r="L736">
        <f t="shared" si="97"/>
        <v>1.2821691923076924E-2</v>
      </c>
      <c r="M736">
        <f t="shared" si="98"/>
        <v>5.1260730000000001E-3</v>
      </c>
      <c r="N736">
        <f t="shared" si="99"/>
        <v>1.0680297692307692E-2</v>
      </c>
      <c r="O736">
        <f t="shared" si="100"/>
        <v>7.903185346153847E-3</v>
      </c>
      <c r="P736">
        <f t="shared" si="96"/>
        <v>23.579642610684729</v>
      </c>
      <c r="R736">
        <f t="shared" si="101"/>
        <v>-2.2202585404549192E-3</v>
      </c>
    </row>
    <row r="737" spans="1:19" x14ac:dyDescent="0.2">
      <c r="A737" t="s">
        <v>748</v>
      </c>
      <c r="B737">
        <v>5.7446583599999999</v>
      </c>
      <c r="C737">
        <v>0.32188914000000002</v>
      </c>
      <c r="D737">
        <v>5.8945157699999999</v>
      </c>
      <c r="E737">
        <v>0.61238981000000003</v>
      </c>
      <c r="F737">
        <v>3.3341123100000001</v>
      </c>
      <c r="G737">
        <v>1.3248979400000001</v>
      </c>
      <c r="H737">
        <v>2.7295107399999998</v>
      </c>
      <c r="I737">
        <v>9.6783300000000006E-3</v>
      </c>
      <c r="J737">
        <v>1</v>
      </c>
      <c r="K737">
        <v>950033</v>
      </c>
      <c r="L737">
        <f t="shared" si="97"/>
        <v>1.2823508884615385E-2</v>
      </c>
      <c r="M737">
        <f t="shared" si="98"/>
        <v>5.0957613076923081E-3</v>
      </c>
      <c r="N737">
        <f t="shared" si="99"/>
        <v>1.0498118230769231E-2</v>
      </c>
      <c r="O737">
        <f t="shared" si="100"/>
        <v>7.7969397692307686E-3</v>
      </c>
      <c r="P737">
        <f t="shared" si="96"/>
        <v>18.21519920305747</v>
      </c>
      <c r="R737">
        <f t="shared" si="101"/>
        <v>-1.9743407346565034E-3</v>
      </c>
      <c r="S737">
        <f>ABS(SUMIFS($R:$R,$K:$K,K737))</f>
        <v>5.1943744864365723E-3</v>
      </c>
    </row>
    <row r="738" spans="1:19" x14ac:dyDescent="0.2">
      <c r="A738" t="s">
        <v>749</v>
      </c>
      <c r="B738">
        <v>5.6948266800000003</v>
      </c>
      <c r="C738">
        <v>0.24055866000000001</v>
      </c>
      <c r="D738">
        <v>5.8417993399999997</v>
      </c>
      <c r="E738">
        <v>0.61238981000000003</v>
      </c>
      <c r="F738">
        <v>3.3273410999999999</v>
      </c>
      <c r="G738">
        <v>1.31287256</v>
      </c>
      <c r="H738">
        <v>2.6770233600000002</v>
      </c>
      <c r="I738">
        <v>9.3131099999999994E-3</v>
      </c>
      <c r="J738">
        <v>1</v>
      </c>
      <c r="K738">
        <v>950033</v>
      </c>
      <c r="L738">
        <f t="shared" si="97"/>
        <v>1.2797465769230769E-2</v>
      </c>
      <c r="M738">
        <f t="shared" si="98"/>
        <v>5.0495098461538464E-3</v>
      </c>
      <c r="N738">
        <f t="shared" si="99"/>
        <v>1.0296243692307694E-2</v>
      </c>
      <c r="O738">
        <f t="shared" si="100"/>
        <v>7.6728767692307697E-3</v>
      </c>
      <c r="P738">
        <f t="shared" si="96"/>
        <v>13.612835499577812</v>
      </c>
      <c r="R738">
        <f t="shared" si="101"/>
        <v>-1.5339202081930889E-3</v>
      </c>
    </row>
    <row r="739" spans="1:19" x14ac:dyDescent="0.2">
      <c r="A739" t="s">
        <v>750</v>
      </c>
      <c r="B739">
        <v>5.6426591400000001</v>
      </c>
      <c r="C739">
        <v>0.16477343999999999</v>
      </c>
      <c r="D739">
        <v>5.7839648099999996</v>
      </c>
      <c r="E739">
        <v>0.61238981000000003</v>
      </c>
      <c r="F739">
        <v>3.3163182</v>
      </c>
      <c r="G739">
        <v>1.29853722</v>
      </c>
      <c r="H739">
        <v>2.6218086399999998</v>
      </c>
      <c r="I739">
        <v>9.4957199999999992E-3</v>
      </c>
      <c r="J739">
        <v>1</v>
      </c>
      <c r="K739">
        <v>950033</v>
      </c>
      <c r="L739">
        <f t="shared" si="97"/>
        <v>1.275507E-2</v>
      </c>
      <c r="M739">
        <f t="shared" si="98"/>
        <v>4.9943739230769229E-3</v>
      </c>
      <c r="N739">
        <f t="shared" si="99"/>
        <v>1.0083879384615383E-2</v>
      </c>
      <c r="O739">
        <f t="shared" si="100"/>
        <v>7.5391266538461536E-3</v>
      </c>
      <c r="P739">
        <f t="shared" si="96"/>
        <v>9.3242693213354055</v>
      </c>
      <c r="R739">
        <f t="shared" si="101"/>
        <v>-9.7414087855449832E-4</v>
      </c>
    </row>
    <row r="740" spans="1:19" x14ac:dyDescent="0.2">
      <c r="A740" t="s">
        <v>751</v>
      </c>
      <c r="B740">
        <v>5.5910106800000001</v>
      </c>
      <c r="C740">
        <v>9.8758440000000003E-2</v>
      </c>
      <c r="D740">
        <v>5.7292011399999998</v>
      </c>
      <c r="E740">
        <v>0.79018040000000001</v>
      </c>
      <c r="F740">
        <v>3.3004137299999998</v>
      </c>
      <c r="G740">
        <v>1.2835904199999999</v>
      </c>
      <c r="H740">
        <v>2.5688203199999999</v>
      </c>
      <c r="I740">
        <v>9.4957199999999992E-3</v>
      </c>
      <c r="J740">
        <v>1</v>
      </c>
      <c r="K740">
        <v>950033</v>
      </c>
      <c r="L740">
        <f t="shared" si="97"/>
        <v>1.269389896153846E-2</v>
      </c>
      <c r="M740">
        <f t="shared" si="98"/>
        <v>4.9368862307692307E-3</v>
      </c>
      <c r="N740">
        <f t="shared" si="99"/>
        <v>9.8800781538461533E-3</v>
      </c>
      <c r="O740">
        <f t="shared" si="100"/>
        <v>7.4084821923076916E-3</v>
      </c>
      <c r="P740">
        <f t="shared" si="96"/>
        <v>5.5885844970824392</v>
      </c>
      <c r="R740">
        <f t="shared" si="101"/>
        <v>-3.9139257381831378E-4</v>
      </c>
    </row>
    <row r="741" spans="1:19" x14ac:dyDescent="0.2">
      <c r="A741" t="s">
        <v>752</v>
      </c>
      <c r="B741">
        <v>5.5531178399999996</v>
      </c>
      <c r="C741">
        <v>5.3604180000000001E-2</v>
      </c>
      <c r="D741">
        <v>5.6933744400000004</v>
      </c>
      <c r="E741">
        <v>1.1457615800000001</v>
      </c>
      <c r="F741">
        <v>3.2816747999999998</v>
      </c>
      <c r="G741">
        <v>1.27305972</v>
      </c>
      <c r="H741">
        <v>2.53214038</v>
      </c>
      <c r="I741">
        <v>9.6783300000000006E-3</v>
      </c>
      <c r="J741">
        <v>1</v>
      </c>
      <c r="K741">
        <v>950033</v>
      </c>
      <c r="L741">
        <f t="shared" si="97"/>
        <v>1.2621826153846154E-2</v>
      </c>
      <c r="M741">
        <f t="shared" si="98"/>
        <v>4.8963835384615382E-3</v>
      </c>
      <c r="N741">
        <f t="shared" si="99"/>
        <v>9.7390014615384608E-3</v>
      </c>
      <c r="O741">
        <f t="shared" si="100"/>
        <v>7.3176925000000004E-3</v>
      </c>
      <c r="P741">
        <f t="shared" si="96"/>
        <v>3.0333760772934095</v>
      </c>
      <c r="R741">
        <f t="shared" si="101"/>
        <v>-7.2453935906652178E-5</v>
      </c>
    </row>
    <row r="742" spans="1:19" x14ac:dyDescent="0.2">
      <c r="A742" t="s">
        <v>753</v>
      </c>
      <c r="B742">
        <v>5.5419576199999998</v>
      </c>
      <c r="C742">
        <v>5.2811999999999998E-2</v>
      </c>
      <c r="D742">
        <v>5.6790437599999999</v>
      </c>
      <c r="E742">
        <v>1.20502511</v>
      </c>
      <c r="F742">
        <v>3.2615186399999998</v>
      </c>
      <c r="G742">
        <v>1.26973066</v>
      </c>
      <c r="H742">
        <v>2.5229564799999999</v>
      </c>
      <c r="I742">
        <v>9.4957199999999992E-3</v>
      </c>
      <c r="J742">
        <v>1</v>
      </c>
      <c r="K742">
        <v>950033</v>
      </c>
      <c r="L742">
        <f t="shared" si="97"/>
        <v>1.254430246153846E-2</v>
      </c>
      <c r="M742">
        <f t="shared" si="98"/>
        <v>4.8835794615384618E-3</v>
      </c>
      <c r="N742">
        <f t="shared" si="99"/>
        <v>9.7036787692307697E-3</v>
      </c>
      <c r="O742">
        <f t="shared" si="100"/>
        <v>7.2936291153846153E-3</v>
      </c>
      <c r="P742">
        <f t="shared" si="96"/>
        <v>2.9885478594023738</v>
      </c>
      <c r="R742">
        <f t="shared" si="101"/>
        <v>1.8115981569327819E-4</v>
      </c>
    </row>
    <row r="743" spans="1:19" x14ac:dyDescent="0.2">
      <c r="A743" t="s">
        <v>754</v>
      </c>
      <c r="B743">
        <v>5.5609040399999996</v>
      </c>
      <c r="C743">
        <v>0.1095849</v>
      </c>
      <c r="D743">
        <v>5.6979807300000003</v>
      </c>
      <c r="E743">
        <v>1.20502511</v>
      </c>
      <c r="F743">
        <v>3.2418348899999998</v>
      </c>
      <c r="G743">
        <v>1.2695268399999999</v>
      </c>
      <c r="H743">
        <v>2.5436619999999999</v>
      </c>
      <c r="I743">
        <v>9.4957199999999992E-3</v>
      </c>
      <c r="J743">
        <v>1</v>
      </c>
      <c r="K743">
        <v>950033</v>
      </c>
      <c r="L743">
        <f t="shared" si="97"/>
        <v>1.2468595730769231E-2</v>
      </c>
      <c r="M743">
        <f t="shared" si="98"/>
        <v>4.882795538461538E-3</v>
      </c>
      <c r="N743">
        <f t="shared" si="99"/>
        <v>9.7833153846153837E-3</v>
      </c>
      <c r="O743">
        <f t="shared" si="100"/>
        <v>7.3330554615384609E-3</v>
      </c>
      <c r="P743">
        <f t="shared" si="96"/>
        <v>6.2012368082599254</v>
      </c>
      <c r="R743">
        <f t="shared" si="101"/>
        <v>8.0730077613765658E-4</v>
      </c>
    </row>
    <row r="744" spans="1:19" x14ac:dyDescent="0.2">
      <c r="A744" t="s">
        <v>755</v>
      </c>
      <c r="B744">
        <v>5.5974991799999998</v>
      </c>
      <c r="C744">
        <v>0.18893493</v>
      </c>
      <c r="D744">
        <v>5.7430200100000004</v>
      </c>
      <c r="E744">
        <v>0.96797098999999998</v>
      </c>
      <c r="F744">
        <v>3.2322292199999998</v>
      </c>
      <c r="G744">
        <v>1.2765926000000001</v>
      </c>
      <c r="H744">
        <v>2.5862975600000002</v>
      </c>
      <c r="I744">
        <v>9.4957199999999992E-3</v>
      </c>
      <c r="J744">
        <v>1</v>
      </c>
      <c r="K744">
        <v>950034</v>
      </c>
      <c r="L744">
        <f t="shared" si="97"/>
        <v>1.2431650846153846E-2</v>
      </c>
      <c r="M744">
        <f t="shared" si="98"/>
        <v>4.9099715384615383E-3</v>
      </c>
      <c r="N744">
        <f t="shared" si="99"/>
        <v>9.9472983076923094E-3</v>
      </c>
      <c r="O744">
        <f t="shared" si="100"/>
        <v>7.428634923076923E-3</v>
      </c>
      <c r="P744">
        <f t="shared" si="96"/>
        <v>10.691529967011993</v>
      </c>
      <c r="Q744">
        <f t="shared" ref="Q744" si="103">ABS(0.5*(SUMPRODUCT(O744:O762,P745:P763)+O763*P744-(SUMPRODUCT(O745:O763,P744:P762)+O744*P763)))</f>
        <v>5.1744140464051736E-3</v>
      </c>
      <c r="R744">
        <f t="shared" si="101"/>
        <v>1.8026597706352419E-3</v>
      </c>
    </row>
    <row r="745" spans="1:19" x14ac:dyDescent="0.2">
      <c r="A745" t="s">
        <v>756</v>
      </c>
      <c r="B745">
        <v>5.6496667199999999</v>
      </c>
      <c r="C745">
        <v>0.28320434999999999</v>
      </c>
      <c r="D745">
        <v>5.8039253999999998</v>
      </c>
      <c r="E745">
        <v>0.79018040000000001</v>
      </c>
      <c r="F745">
        <v>3.2259304200000001</v>
      </c>
      <c r="G745">
        <v>1.29004472</v>
      </c>
      <c r="H745">
        <v>2.6430151</v>
      </c>
      <c r="I745">
        <v>9.8609400000000003E-3</v>
      </c>
      <c r="J745">
        <v>1</v>
      </c>
      <c r="K745">
        <v>950034</v>
      </c>
      <c r="L745">
        <f t="shared" si="97"/>
        <v>1.2407424692307692E-2</v>
      </c>
      <c r="M745">
        <f t="shared" si="98"/>
        <v>4.9617104615384613E-3</v>
      </c>
      <c r="N745">
        <f t="shared" si="99"/>
        <v>1.0165442692307692E-2</v>
      </c>
      <c r="O745">
        <f t="shared" si="100"/>
        <v>7.5635765769230768E-3</v>
      </c>
      <c r="P745">
        <f t="shared" si="96"/>
        <v>16.02608789604523</v>
      </c>
      <c r="R745">
        <f t="shared" si="101"/>
        <v>2.8918491174891054E-3</v>
      </c>
    </row>
    <row r="746" spans="1:19" x14ac:dyDescent="0.2">
      <c r="A746" t="s">
        <v>757</v>
      </c>
      <c r="B746">
        <v>5.7091013799999999</v>
      </c>
      <c r="C746">
        <v>0.39278924999999998</v>
      </c>
      <c r="D746">
        <v>5.8679016500000003</v>
      </c>
      <c r="E746">
        <v>0.73091687000000005</v>
      </c>
      <c r="F746">
        <v>3.2245131900000001</v>
      </c>
      <c r="G746">
        <v>1.30560298</v>
      </c>
      <c r="H746">
        <v>2.70607788</v>
      </c>
      <c r="I746">
        <v>1.004355E-2</v>
      </c>
      <c r="J746">
        <v>1</v>
      </c>
      <c r="K746">
        <v>950034</v>
      </c>
      <c r="L746">
        <f t="shared" si="97"/>
        <v>1.2401973807692309E-2</v>
      </c>
      <c r="M746">
        <f t="shared" si="98"/>
        <v>5.0215499230769232E-3</v>
      </c>
      <c r="N746">
        <f t="shared" si="99"/>
        <v>1.0407991846153847E-2</v>
      </c>
      <c r="O746">
        <f t="shared" si="100"/>
        <v>7.7147708846153854E-3</v>
      </c>
      <c r="P746">
        <f t="shared" si="96"/>
        <v>22.227324704305154</v>
      </c>
      <c r="R746">
        <f t="shared" si="101"/>
        <v>3.8076025640981811E-3</v>
      </c>
    </row>
    <row r="747" spans="1:19" x14ac:dyDescent="0.2">
      <c r="A747" t="s">
        <v>758</v>
      </c>
      <c r="B747">
        <v>5.7739863800000002</v>
      </c>
      <c r="C747">
        <v>0.52825202999999998</v>
      </c>
      <c r="D747">
        <v>5.93546057</v>
      </c>
      <c r="E747">
        <v>0.67165333999999999</v>
      </c>
      <c r="F747">
        <v>3.2308119899999999</v>
      </c>
      <c r="G747">
        <v>1.3194627400000001</v>
      </c>
      <c r="H747">
        <v>2.7681944399999998</v>
      </c>
      <c r="I747">
        <v>9.8609400000000003E-3</v>
      </c>
      <c r="J747">
        <v>1</v>
      </c>
      <c r="K747">
        <v>950034</v>
      </c>
      <c r="L747">
        <f t="shared" si="97"/>
        <v>1.2426199961538461E-2</v>
      </c>
      <c r="M747">
        <f t="shared" si="98"/>
        <v>5.0748566923076929E-3</v>
      </c>
      <c r="N747">
        <f t="shared" si="99"/>
        <v>1.0646901692307692E-2</v>
      </c>
      <c r="O747">
        <f t="shared" si="100"/>
        <v>7.8608791923076918E-3</v>
      </c>
      <c r="P747">
        <f t="shared" si="96"/>
        <v>29.892949963672244</v>
      </c>
      <c r="R747">
        <f t="shared" si="101"/>
        <v>4.4275578793333418E-3</v>
      </c>
    </row>
    <row r="748" spans="1:19" x14ac:dyDescent="0.2">
      <c r="A748" t="s">
        <v>759</v>
      </c>
      <c r="B748">
        <v>5.8318637999999998</v>
      </c>
      <c r="C748">
        <v>0.70675659000000002</v>
      </c>
      <c r="D748">
        <v>6.0040431099999996</v>
      </c>
      <c r="E748">
        <v>0.61238981000000003</v>
      </c>
      <c r="F748">
        <v>3.2457716400000001</v>
      </c>
      <c r="G748">
        <v>1.33046902</v>
      </c>
      <c r="H748">
        <v>2.8230751999999999</v>
      </c>
      <c r="I748">
        <v>9.6783300000000006E-3</v>
      </c>
      <c r="J748">
        <v>1</v>
      </c>
      <c r="K748">
        <v>950034</v>
      </c>
      <c r="L748">
        <f t="shared" si="97"/>
        <v>1.2483737076923077E-2</v>
      </c>
      <c r="M748">
        <f t="shared" si="98"/>
        <v>5.1171885384615383E-3</v>
      </c>
      <c r="N748">
        <f t="shared" si="99"/>
        <v>1.0857981538461538E-2</v>
      </c>
      <c r="O748">
        <f t="shared" si="100"/>
        <v>7.9875850384615379E-3</v>
      </c>
      <c r="P748">
        <f t="shared" si="96"/>
        <v>39.994241728452266</v>
      </c>
      <c r="R748">
        <f t="shared" si="101"/>
        <v>2.7810468606044672E-3</v>
      </c>
    </row>
    <row r="749" spans="1:19" x14ac:dyDescent="0.2">
      <c r="A749" t="s">
        <v>760</v>
      </c>
      <c r="B749">
        <v>5.8681994</v>
      </c>
      <c r="C749">
        <v>0.82597967999999999</v>
      </c>
      <c r="D749">
        <v>6.0383343800000002</v>
      </c>
      <c r="E749">
        <v>0.61238981000000003</v>
      </c>
      <c r="F749">
        <v>3.2615186399999998</v>
      </c>
      <c r="G749">
        <v>1.3354286399999999</v>
      </c>
      <c r="H749">
        <v>2.8514618</v>
      </c>
      <c r="I749">
        <v>9.6783300000000006E-3</v>
      </c>
      <c r="J749">
        <v>1</v>
      </c>
      <c r="K749">
        <v>950034</v>
      </c>
      <c r="L749">
        <f t="shared" si="97"/>
        <v>1.254430246153846E-2</v>
      </c>
      <c r="M749">
        <f t="shared" si="98"/>
        <v>5.1362639999999998E-3</v>
      </c>
      <c r="N749">
        <f t="shared" si="99"/>
        <v>1.0967160769230769E-2</v>
      </c>
      <c r="O749">
        <f t="shared" si="100"/>
        <v>8.0517123846153837E-3</v>
      </c>
      <c r="P749">
        <f t="shared" si="96"/>
        <v>46.74088852105313</v>
      </c>
      <c r="R749">
        <f t="shared" si="101"/>
        <v>9.3234471933716253E-4</v>
      </c>
    </row>
    <row r="750" spans="1:19" x14ac:dyDescent="0.2">
      <c r="A750" t="s">
        <v>761</v>
      </c>
      <c r="B750">
        <v>5.8785809999999996</v>
      </c>
      <c r="C750">
        <v>0.85463018999999996</v>
      </c>
      <c r="D750">
        <v>6.0490823899999997</v>
      </c>
      <c r="E750">
        <v>0.53337177000000002</v>
      </c>
      <c r="F750">
        <v>3.2745886500000001</v>
      </c>
      <c r="G750">
        <v>1.3373309600000001</v>
      </c>
      <c r="H750">
        <v>2.8597551399999999</v>
      </c>
      <c r="I750">
        <v>9.8609400000000003E-3</v>
      </c>
      <c r="J750">
        <v>1</v>
      </c>
      <c r="K750">
        <v>950034</v>
      </c>
      <c r="L750">
        <f t="shared" si="97"/>
        <v>1.259457173076923E-2</v>
      </c>
      <c r="M750">
        <f t="shared" si="98"/>
        <v>5.1435806153846157E-3</v>
      </c>
      <c r="N750">
        <f t="shared" si="99"/>
        <v>1.0999058230769231E-2</v>
      </c>
      <c r="O750">
        <f t="shared" si="100"/>
        <v>8.0713194230769229E-3</v>
      </c>
      <c r="P750">
        <f t="shared" si="96"/>
        <v>48.362175734778916</v>
      </c>
      <c r="R750">
        <f t="shared" si="101"/>
        <v>3.107382436225095E-4</v>
      </c>
    </row>
    <row r="751" spans="1:19" x14ac:dyDescent="0.2">
      <c r="A751" t="s">
        <v>762</v>
      </c>
      <c r="B751">
        <v>5.8824740999999996</v>
      </c>
      <c r="C751">
        <v>0.85581845999999995</v>
      </c>
      <c r="D751">
        <v>6.0542004900000004</v>
      </c>
      <c r="E751">
        <v>0.53337177000000002</v>
      </c>
      <c r="F751">
        <v>3.2919103500000002</v>
      </c>
      <c r="G751">
        <v>1.3379424200000001</v>
      </c>
      <c r="H751">
        <v>2.8624824800000002</v>
      </c>
      <c r="I751">
        <v>9.6783300000000006E-3</v>
      </c>
      <c r="J751">
        <v>1</v>
      </c>
      <c r="K751">
        <v>950034</v>
      </c>
      <c r="L751">
        <f t="shared" si="97"/>
        <v>1.2661193653846155E-2</v>
      </c>
      <c r="M751">
        <f t="shared" si="98"/>
        <v>5.1459323846153853E-3</v>
      </c>
      <c r="N751">
        <f t="shared" si="99"/>
        <v>1.1009548000000001E-2</v>
      </c>
      <c r="O751">
        <f t="shared" si="100"/>
        <v>8.0777401923076923E-3</v>
      </c>
      <c r="P751">
        <f t="shared" si="96"/>
        <v>48.429418061615465</v>
      </c>
      <c r="R751">
        <f t="shared" si="101"/>
        <v>-1.367024064756428E-4</v>
      </c>
    </row>
    <row r="752" spans="1:19" x14ac:dyDescent="0.2">
      <c r="A752" t="s">
        <v>763</v>
      </c>
      <c r="B752">
        <v>5.8778023800000003</v>
      </c>
      <c r="C752">
        <v>0.81594540000000004</v>
      </c>
      <c r="D752">
        <v>6.0490823899999997</v>
      </c>
      <c r="E752">
        <v>0.47410824000000001</v>
      </c>
      <c r="F752">
        <v>3.30718494</v>
      </c>
      <c r="G752">
        <v>1.3379424200000001</v>
      </c>
      <c r="H752">
        <v>2.8609796599999999</v>
      </c>
      <c r="I752">
        <v>9.8609400000000003E-3</v>
      </c>
      <c r="J752">
        <v>1</v>
      </c>
      <c r="K752">
        <v>950034</v>
      </c>
      <c r="L752">
        <f t="shared" si="97"/>
        <v>1.2719942076923077E-2</v>
      </c>
      <c r="M752">
        <f t="shared" si="98"/>
        <v>5.1459323846153853E-3</v>
      </c>
      <c r="N752">
        <f t="shared" si="99"/>
        <v>1.1003767923076923E-2</v>
      </c>
      <c r="O752">
        <f t="shared" si="100"/>
        <v>8.0748501538461543E-3</v>
      </c>
      <c r="P752">
        <f t="shared" si="96"/>
        <v>46.173064427766676</v>
      </c>
      <c r="R752">
        <f t="shared" si="101"/>
        <v>-1.0796872615211409E-3</v>
      </c>
    </row>
    <row r="753" spans="1:19" x14ac:dyDescent="0.2">
      <c r="A753" t="s">
        <v>764</v>
      </c>
      <c r="B753">
        <v>5.8627490599999996</v>
      </c>
      <c r="C753">
        <v>0.70107929999999996</v>
      </c>
      <c r="D753">
        <v>6.03526352</v>
      </c>
      <c r="E753">
        <v>0.47410824000000001</v>
      </c>
      <c r="F753">
        <v>3.31584579</v>
      </c>
      <c r="G753">
        <v>1.3379424200000001</v>
      </c>
      <c r="H753">
        <v>2.8478995600000001</v>
      </c>
      <c r="I753">
        <v>9.6783300000000006E-3</v>
      </c>
      <c r="J753">
        <v>1</v>
      </c>
      <c r="K753">
        <v>950034</v>
      </c>
      <c r="L753">
        <f t="shared" si="97"/>
        <v>1.2753253038461539E-2</v>
      </c>
      <c r="M753">
        <f t="shared" si="98"/>
        <v>5.1459323846153853E-3</v>
      </c>
      <c r="N753">
        <f t="shared" si="99"/>
        <v>1.0953459846153847E-2</v>
      </c>
      <c r="O753">
        <f t="shared" si="100"/>
        <v>8.0496961153846153E-3</v>
      </c>
      <c r="P753">
        <f t="shared" si="96"/>
        <v>39.672972833566511</v>
      </c>
      <c r="R753">
        <f t="shared" si="101"/>
        <v>-9.6747039001893122E-4</v>
      </c>
    </row>
    <row r="754" spans="1:19" x14ac:dyDescent="0.2">
      <c r="A754" t="s">
        <v>765</v>
      </c>
      <c r="B754">
        <v>5.84847436</v>
      </c>
      <c r="C754">
        <v>0.61169499000000005</v>
      </c>
      <c r="D754">
        <v>6.0178619800000002</v>
      </c>
      <c r="E754">
        <v>0.41484471000000001</v>
      </c>
      <c r="F754">
        <v>3.32497905</v>
      </c>
      <c r="G754">
        <v>1.3381462399999999</v>
      </c>
      <c r="H754">
        <v>2.8341515400000001</v>
      </c>
      <c r="I754">
        <v>1.004355E-2</v>
      </c>
      <c r="J754">
        <v>1</v>
      </c>
      <c r="K754">
        <v>950034</v>
      </c>
      <c r="L754">
        <f t="shared" si="97"/>
        <v>1.2788380961538462E-2</v>
      </c>
      <c r="M754">
        <f t="shared" si="98"/>
        <v>5.1467163076923074E-3</v>
      </c>
      <c r="N754">
        <f t="shared" si="99"/>
        <v>1.0900582846153847E-2</v>
      </c>
      <c r="O754">
        <f t="shared" si="100"/>
        <v>8.0236495769230778E-3</v>
      </c>
      <c r="P754">
        <f t="shared" si="96"/>
        <v>34.614855581527998</v>
      </c>
      <c r="R754">
        <f t="shared" si="101"/>
        <v>-1.3293784697729313E-3</v>
      </c>
    </row>
    <row r="755" spans="1:19" x14ac:dyDescent="0.2">
      <c r="A755" t="s">
        <v>766</v>
      </c>
      <c r="B755">
        <v>5.8271920799999997</v>
      </c>
      <c r="C755">
        <v>0.52257474000000004</v>
      </c>
      <c r="D755">
        <v>5.9948305299999998</v>
      </c>
      <c r="E755">
        <v>0.41484471000000001</v>
      </c>
      <c r="F755">
        <v>3.3341123100000001</v>
      </c>
      <c r="G755">
        <v>1.3375347799999999</v>
      </c>
      <c r="H755">
        <v>2.8132233800000002</v>
      </c>
      <c r="I755">
        <v>9.8609400000000003E-3</v>
      </c>
      <c r="J755">
        <v>1</v>
      </c>
      <c r="K755">
        <v>950034</v>
      </c>
      <c r="L755">
        <f t="shared" si="97"/>
        <v>1.2823508884615385E-2</v>
      </c>
      <c r="M755">
        <f t="shared" si="98"/>
        <v>5.1443645384615377E-3</v>
      </c>
      <c r="N755">
        <f t="shared" si="99"/>
        <v>1.0820089923076924E-2</v>
      </c>
      <c r="O755">
        <f t="shared" si="100"/>
        <v>7.9822272307692316E-3</v>
      </c>
      <c r="P755">
        <f t="shared" si="96"/>
        <v>29.571681068786493</v>
      </c>
      <c r="R755">
        <f t="shared" si="101"/>
        <v>-2.0456783272463299E-3</v>
      </c>
    </row>
    <row r="756" spans="1:19" x14ac:dyDescent="0.2">
      <c r="A756" t="s">
        <v>767</v>
      </c>
      <c r="B756">
        <v>5.7905969400000004</v>
      </c>
      <c r="C756">
        <v>0.42064758000000002</v>
      </c>
      <c r="D756">
        <v>5.9492794399999998</v>
      </c>
      <c r="E756">
        <v>0.35558118</v>
      </c>
      <c r="F756">
        <v>3.3380490599999999</v>
      </c>
      <c r="G756">
        <v>1.33318662</v>
      </c>
      <c r="H756">
        <v>2.7777123000000001</v>
      </c>
      <c r="I756">
        <v>9.8609400000000003E-3</v>
      </c>
      <c r="J756">
        <v>1</v>
      </c>
      <c r="K756">
        <v>950034</v>
      </c>
      <c r="L756">
        <f t="shared" si="97"/>
        <v>1.283865023076923E-2</v>
      </c>
      <c r="M756">
        <f t="shared" si="98"/>
        <v>5.1276408461538459E-3</v>
      </c>
      <c r="N756">
        <f t="shared" si="99"/>
        <v>1.0683508846153846E-2</v>
      </c>
      <c r="O756">
        <f t="shared" si="100"/>
        <v>7.9055748461538469E-3</v>
      </c>
      <c r="P756">
        <f t="shared" si="96"/>
        <v>23.80378370013991</v>
      </c>
      <c r="R756">
        <f t="shared" si="101"/>
        <v>-2.2589258560140831E-3</v>
      </c>
    </row>
    <row r="757" spans="1:19" x14ac:dyDescent="0.2">
      <c r="A757" t="s">
        <v>768</v>
      </c>
      <c r="B757">
        <v>5.7446583599999999</v>
      </c>
      <c r="C757">
        <v>0.32479380000000002</v>
      </c>
      <c r="D757">
        <v>5.8975866300000002</v>
      </c>
      <c r="E757">
        <v>0.35558118</v>
      </c>
      <c r="F757">
        <v>3.3345847200000001</v>
      </c>
      <c r="G757">
        <v>1.32469412</v>
      </c>
      <c r="H757">
        <v>2.7305126199999998</v>
      </c>
      <c r="I757">
        <v>9.8609400000000003E-3</v>
      </c>
      <c r="J757">
        <v>1</v>
      </c>
      <c r="K757">
        <v>950034</v>
      </c>
      <c r="L757">
        <f t="shared" si="97"/>
        <v>1.2825325846153847E-2</v>
      </c>
      <c r="M757">
        <f t="shared" si="98"/>
        <v>5.0949773846153843E-3</v>
      </c>
      <c r="N757">
        <f t="shared" si="99"/>
        <v>1.0501971615384615E-2</v>
      </c>
      <c r="O757">
        <f t="shared" si="100"/>
        <v>7.7984745000000003E-3</v>
      </c>
      <c r="P757">
        <f t="shared" si="96"/>
        <v>18.3795693353246</v>
      </c>
      <c r="R757">
        <f t="shared" si="101"/>
        <v>-1.9697305294632309E-3</v>
      </c>
    </row>
    <row r="758" spans="1:19" x14ac:dyDescent="0.2">
      <c r="A758" t="s">
        <v>769</v>
      </c>
      <c r="B758">
        <v>5.6971625399999999</v>
      </c>
      <c r="C758">
        <v>0.24055866000000001</v>
      </c>
      <c r="D758">
        <v>5.8382166700000004</v>
      </c>
      <c r="E758">
        <v>0.35558118</v>
      </c>
      <c r="F758">
        <v>3.3303330299999998</v>
      </c>
      <c r="G758">
        <v>1.31348402</v>
      </c>
      <c r="H758">
        <v>2.6776912799999999</v>
      </c>
      <c r="I758">
        <v>1.004355E-2</v>
      </c>
      <c r="J758">
        <v>1</v>
      </c>
      <c r="K758">
        <v>950034</v>
      </c>
      <c r="L758">
        <f t="shared" si="97"/>
        <v>1.2808973192307692E-2</v>
      </c>
      <c r="M758">
        <f t="shared" si="98"/>
        <v>5.0518616153846152E-3</v>
      </c>
      <c r="N758">
        <f t="shared" si="99"/>
        <v>1.0298812615384616E-2</v>
      </c>
      <c r="O758">
        <f t="shared" si="100"/>
        <v>7.6753371153846159E-3</v>
      </c>
      <c r="P758">
        <f t="shared" si="96"/>
        <v>13.612835499577812</v>
      </c>
      <c r="R758">
        <f t="shared" si="101"/>
        <v>-1.5295538423553386E-3</v>
      </c>
      <c r="S758">
        <f>ABS(SUMIFS($R:$R,$K:$K,K758))</f>
        <v>5.1263365429290633E-3</v>
      </c>
    </row>
    <row r="759" spans="1:19" x14ac:dyDescent="0.2">
      <c r="A759" t="s">
        <v>770</v>
      </c>
      <c r="B759">
        <v>5.6449949999999998</v>
      </c>
      <c r="C759">
        <v>0.16437735000000001</v>
      </c>
      <c r="D759">
        <v>5.78242938</v>
      </c>
      <c r="E759">
        <v>0.41484471000000001</v>
      </c>
      <c r="F759">
        <v>3.3197825399999998</v>
      </c>
      <c r="G759">
        <v>1.29894486</v>
      </c>
      <c r="H759">
        <v>2.6228105199999998</v>
      </c>
      <c r="I759">
        <v>9.8609400000000003E-3</v>
      </c>
      <c r="J759">
        <v>1</v>
      </c>
      <c r="K759">
        <v>950034</v>
      </c>
      <c r="L759">
        <f t="shared" si="97"/>
        <v>1.2768394384615384E-2</v>
      </c>
      <c r="M759">
        <f t="shared" si="98"/>
        <v>4.9959417692307688E-3</v>
      </c>
      <c r="N759">
        <f t="shared" si="99"/>
        <v>1.0087732769230768E-2</v>
      </c>
      <c r="O759">
        <f t="shared" si="100"/>
        <v>7.5418372692307688E-3</v>
      </c>
      <c r="P759">
        <f t="shared" si="96"/>
        <v>9.3018552123898885</v>
      </c>
      <c r="R759">
        <f t="shared" si="101"/>
        <v>-9.871692638644279E-4</v>
      </c>
    </row>
    <row r="760" spans="1:19" x14ac:dyDescent="0.2">
      <c r="A760" t="s">
        <v>771</v>
      </c>
      <c r="B760">
        <v>5.5936060799999998</v>
      </c>
      <c r="C760">
        <v>9.9154530000000005E-2</v>
      </c>
      <c r="D760">
        <v>5.7276657100000001</v>
      </c>
      <c r="E760">
        <v>0.73091687000000005</v>
      </c>
      <c r="F760">
        <v>3.3019884300000002</v>
      </c>
      <c r="G760">
        <v>1.2835904199999999</v>
      </c>
      <c r="H760">
        <v>2.5693212600000002</v>
      </c>
      <c r="I760">
        <v>9.8609400000000003E-3</v>
      </c>
      <c r="J760">
        <v>1</v>
      </c>
      <c r="K760">
        <v>950034</v>
      </c>
      <c r="L760">
        <f t="shared" si="97"/>
        <v>1.26999555E-2</v>
      </c>
      <c r="M760">
        <f t="shared" si="98"/>
        <v>4.9368862307692307E-3</v>
      </c>
      <c r="N760">
        <f t="shared" si="99"/>
        <v>9.8820048461538464E-3</v>
      </c>
      <c r="O760">
        <f t="shared" si="100"/>
        <v>7.409445538461539E-3</v>
      </c>
      <c r="P760">
        <f t="shared" si="96"/>
        <v>5.6109986060279571</v>
      </c>
      <c r="R760">
        <f t="shared" si="101"/>
        <v>-3.9551078227992499E-4</v>
      </c>
    </row>
    <row r="761" spans="1:19" x14ac:dyDescent="0.2">
      <c r="A761" t="s">
        <v>772</v>
      </c>
      <c r="B761">
        <v>5.55078198</v>
      </c>
      <c r="C761">
        <v>5.2019820000000001E-2</v>
      </c>
      <c r="D761">
        <v>5.6903035800000001</v>
      </c>
      <c r="E761">
        <v>1.0272345199999999</v>
      </c>
      <c r="F761">
        <v>3.2827770900000002</v>
      </c>
      <c r="G761">
        <v>1.2728558999999999</v>
      </c>
      <c r="H761">
        <v>2.5319734</v>
      </c>
      <c r="I761">
        <v>9.6783300000000006E-3</v>
      </c>
      <c r="J761">
        <v>1</v>
      </c>
      <c r="K761">
        <v>950034</v>
      </c>
      <c r="L761">
        <f t="shared" si="97"/>
        <v>1.2626065730769232E-2</v>
      </c>
      <c r="M761">
        <f t="shared" si="98"/>
        <v>4.8955996153846153E-3</v>
      </c>
      <c r="N761">
        <f t="shared" si="99"/>
        <v>9.7383592307692304E-3</v>
      </c>
      <c r="O761">
        <f t="shared" si="100"/>
        <v>7.3169794230769228E-3</v>
      </c>
      <c r="P761">
        <f t="shared" si="96"/>
        <v>2.9437196415113385</v>
      </c>
      <c r="R761">
        <f t="shared" si="101"/>
        <v>-7.3891713637952132E-5</v>
      </c>
    </row>
    <row r="762" spans="1:19" x14ac:dyDescent="0.2">
      <c r="A762" t="s">
        <v>773</v>
      </c>
      <c r="B762">
        <v>5.5380645199999998</v>
      </c>
      <c r="C762">
        <v>4.8322980000000001E-2</v>
      </c>
      <c r="D762">
        <v>5.6805791899999996</v>
      </c>
      <c r="E762">
        <v>1.1457615800000001</v>
      </c>
      <c r="F762">
        <v>3.2640381600000001</v>
      </c>
      <c r="G762">
        <v>1.26973066</v>
      </c>
      <c r="H762">
        <v>2.52156498</v>
      </c>
      <c r="I762">
        <v>9.6783300000000006E-3</v>
      </c>
      <c r="J762">
        <v>1</v>
      </c>
      <c r="K762">
        <v>950034</v>
      </c>
      <c r="L762">
        <f t="shared" si="97"/>
        <v>1.2553992923076924E-2</v>
      </c>
      <c r="M762">
        <f t="shared" si="98"/>
        <v>4.8835794615384618E-3</v>
      </c>
      <c r="N762">
        <f t="shared" si="99"/>
        <v>9.6983268461538468E-3</v>
      </c>
      <c r="O762">
        <f t="shared" si="100"/>
        <v>7.2909531538461539E-3</v>
      </c>
      <c r="P762">
        <f t="shared" si="96"/>
        <v>2.7345212913531722</v>
      </c>
      <c r="R762">
        <f t="shared" si="101"/>
        <v>1.6769510929251675E-4</v>
      </c>
    </row>
    <row r="763" spans="1:19" x14ac:dyDescent="0.2">
      <c r="A763" t="s">
        <v>774</v>
      </c>
      <c r="B763">
        <v>5.5554537000000002</v>
      </c>
      <c r="C763">
        <v>0.105624</v>
      </c>
      <c r="D763">
        <v>5.7010515899999996</v>
      </c>
      <c r="E763">
        <v>1.1457615800000001</v>
      </c>
      <c r="F763">
        <v>3.2452992300000001</v>
      </c>
      <c r="G763">
        <v>1.2693230200000001</v>
      </c>
      <c r="H763">
        <v>2.5419922000000001</v>
      </c>
      <c r="I763">
        <v>9.8609400000000003E-3</v>
      </c>
      <c r="J763">
        <v>1</v>
      </c>
      <c r="K763">
        <v>950034</v>
      </c>
      <c r="L763">
        <f t="shared" si="97"/>
        <v>1.2481920115384616E-2</v>
      </c>
      <c r="M763">
        <f t="shared" si="98"/>
        <v>4.882011615384616E-3</v>
      </c>
      <c r="N763">
        <f t="shared" si="99"/>
        <v>9.7768930769230773E-3</v>
      </c>
      <c r="O763">
        <f t="shared" si="100"/>
        <v>7.3294523461538462E-3</v>
      </c>
      <c r="P763">
        <f t="shared" si="96"/>
        <v>5.9770957188047475</v>
      </c>
      <c r="R763">
        <f t="shared" si="101"/>
        <v>7.7854112116647269E-4</v>
      </c>
    </row>
    <row r="764" spans="1:19" x14ac:dyDescent="0.2">
      <c r="A764" t="s">
        <v>775</v>
      </c>
      <c r="B764">
        <v>5.5925679199999996</v>
      </c>
      <c r="C764">
        <v>0.18695448000000001</v>
      </c>
      <c r="D764">
        <v>5.7399491500000002</v>
      </c>
      <c r="E764">
        <v>0.96797098999999998</v>
      </c>
      <c r="F764">
        <v>3.2312843999999998</v>
      </c>
      <c r="G764">
        <v>1.2759811400000001</v>
      </c>
      <c r="H764">
        <v>2.5842381400000001</v>
      </c>
      <c r="I764">
        <v>1.004355E-2</v>
      </c>
      <c r="J764">
        <v>1</v>
      </c>
      <c r="K764">
        <v>950035</v>
      </c>
      <c r="L764">
        <f t="shared" si="97"/>
        <v>1.2428016923076922E-2</v>
      </c>
      <c r="M764">
        <f t="shared" si="98"/>
        <v>4.9076197692307696E-3</v>
      </c>
      <c r="N764">
        <f t="shared" si="99"/>
        <v>9.9393774615384612E-3</v>
      </c>
      <c r="O764">
        <f t="shared" si="100"/>
        <v>7.4234986153846154E-3</v>
      </c>
      <c r="P764">
        <f t="shared" si="96"/>
        <v>10.579459422284403</v>
      </c>
      <c r="Q764">
        <f t="shared" ref="Q764" si="104">ABS(0.5*(SUMPRODUCT(O764:O782,P765:P783)+O783*P764-(SUMPRODUCT(O765:O783,P764:P782)+O764*P783)))</f>
        <v>5.1976910502691265E-3</v>
      </c>
      <c r="R764">
        <f t="shared" si="101"/>
        <v>1.7908316574110148E-3</v>
      </c>
    </row>
    <row r="765" spans="1:19" x14ac:dyDescent="0.2">
      <c r="A765" t="s">
        <v>776</v>
      </c>
      <c r="B765">
        <v>5.6449949999999998</v>
      </c>
      <c r="C765">
        <v>0.28122390000000003</v>
      </c>
      <c r="D765">
        <v>5.7993191099999999</v>
      </c>
      <c r="E765">
        <v>0.79018040000000001</v>
      </c>
      <c r="F765">
        <v>3.22703271</v>
      </c>
      <c r="G765">
        <v>1.2898409</v>
      </c>
      <c r="H765">
        <v>2.6406773800000001</v>
      </c>
      <c r="I765">
        <v>1.022616E-2</v>
      </c>
      <c r="J765">
        <v>1</v>
      </c>
      <c r="K765">
        <v>950035</v>
      </c>
      <c r="L765">
        <f t="shared" si="97"/>
        <v>1.2411664269230769E-2</v>
      </c>
      <c r="M765">
        <f t="shared" si="98"/>
        <v>4.9609265384615384E-3</v>
      </c>
      <c r="N765">
        <f t="shared" si="99"/>
        <v>1.0156451461538462E-2</v>
      </c>
      <c r="O765">
        <f t="shared" si="100"/>
        <v>7.5586890000000004E-3</v>
      </c>
      <c r="P765">
        <f t="shared" si="96"/>
        <v>15.914017351317643</v>
      </c>
      <c r="R765">
        <f t="shared" si="101"/>
        <v>2.889483028400891E-3</v>
      </c>
    </row>
    <row r="766" spans="1:19" x14ac:dyDescent="0.2">
      <c r="A766" t="s">
        <v>777</v>
      </c>
      <c r="B766">
        <v>5.7036510399999996</v>
      </c>
      <c r="C766">
        <v>0.39041271</v>
      </c>
      <c r="D766">
        <v>5.8679016500000003</v>
      </c>
      <c r="E766">
        <v>0.61238981000000003</v>
      </c>
      <c r="F766">
        <v>3.22750512</v>
      </c>
      <c r="G766">
        <v>1.3053991599999999</v>
      </c>
      <c r="H766">
        <v>2.7041854399999998</v>
      </c>
      <c r="I766">
        <v>1.004355E-2</v>
      </c>
      <c r="J766">
        <v>1</v>
      </c>
      <c r="K766">
        <v>950035</v>
      </c>
      <c r="L766">
        <f t="shared" si="97"/>
        <v>1.2413481230769231E-2</v>
      </c>
      <c r="M766">
        <f t="shared" si="98"/>
        <v>5.0207659999999994E-3</v>
      </c>
      <c r="N766">
        <f t="shared" si="99"/>
        <v>1.0400713230769231E-2</v>
      </c>
      <c r="O766">
        <f t="shared" si="100"/>
        <v>7.710739615384616E-3</v>
      </c>
      <c r="P766">
        <f t="shared" si="96"/>
        <v>22.092840050632049</v>
      </c>
      <c r="R766">
        <f t="shared" si="101"/>
        <v>3.8303233040886532E-3</v>
      </c>
    </row>
    <row r="767" spans="1:19" x14ac:dyDescent="0.2">
      <c r="A767" t="s">
        <v>778</v>
      </c>
      <c r="B767">
        <v>5.7716505199999997</v>
      </c>
      <c r="C767">
        <v>0.52495128000000002</v>
      </c>
      <c r="D767">
        <v>5.9400668599999999</v>
      </c>
      <c r="E767">
        <v>0.53337177000000002</v>
      </c>
      <c r="F767">
        <v>3.2312843999999998</v>
      </c>
      <c r="G767">
        <v>1.3194627400000001</v>
      </c>
      <c r="H767">
        <v>2.7670255799999999</v>
      </c>
      <c r="I767">
        <v>1.004355E-2</v>
      </c>
      <c r="J767">
        <v>1</v>
      </c>
      <c r="K767">
        <v>950035</v>
      </c>
      <c r="L767">
        <f t="shared" si="97"/>
        <v>1.2428016923076922E-2</v>
      </c>
      <c r="M767">
        <f t="shared" si="98"/>
        <v>5.0748566923076929E-3</v>
      </c>
      <c r="N767">
        <f t="shared" si="99"/>
        <v>1.0642406076923076E-2</v>
      </c>
      <c r="O767">
        <f t="shared" si="100"/>
        <v>7.8586313846153843E-3</v>
      </c>
      <c r="P767">
        <f t="shared" si="96"/>
        <v>29.706165722459598</v>
      </c>
      <c r="R767">
        <f t="shared" si="101"/>
        <v>4.4212883450109475E-3</v>
      </c>
    </row>
    <row r="768" spans="1:19" x14ac:dyDescent="0.2">
      <c r="A768" t="s">
        <v>779</v>
      </c>
      <c r="B768">
        <v>5.8303065600000004</v>
      </c>
      <c r="C768">
        <v>0.70345584000000005</v>
      </c>
      <c r="D768">
        <v>6.0071139699999998</v>
      </c>
      <c r="E768">
        <v>0.53337177000000002</v>
      </c>
      <c r="F768">
        <v>3.2452992300000001</v>
      </c>
      <c r="G768">
        <v>1.3300613800000001</v>
      </c>
      <c r="H768">
        <v>2.8225742600000001</v>
      </c>
      <c r="I768">
        <v>9.8609400000000003E-3</v>
      </c>
      <c r="J768">
        <v>1</v>
      </c>
      <c r="K768">
        <v>950035</v>
      </c>
      <c r="L768">
        <f t="shared" si="97"/>
        <v>1.2481920115384616E-2</v>
      </c>
      <c r="M768">
        <f t="shared" si="98"/>
        <v>5.1156206923076925E-3</v>
      </c>
      <c r="N768">
        <f t="shared" si="99"/>
        <v>1.0856054846153847E-2</v>
      </c>
      <c r="O768">
        <f t="shared" si="100"/>
        <v>7.9858377692307685E-3</v>
      </c>
      <c r="P768">
        <f t="shared" si="96"/>
        <v>39.807457487239624</v>
      </c>
      <c r="R768">
        <f t="shared" si="101"/>
        <v>2.8521460235414191E-3</v>
      </c>
    </row>
    <row r="769" spans="1:19" x14ac:dyDescent="0.2">
      <c r="A769" t="s">
        <v>780</v>
      </c>
      <c r="B769">
        <v>5.8681994</v>
      </c>
      <c r="C769">
        <v>0.82677186000000003</v>
      </c>
      <c r="D769">
        <v>6.0398698099999999</v>
      </c>
      <c r="E769">
        <v>0.47410824000000001</v>
      </c>
      <c r="F769">
        <v>3.2619910499999998</v>
      </c>
      <c r="G769">
        <v>1.3354286399999999</v>
      </c>
      <c r="H769">
        <v>2.8514618</v>
      </c>
      <c r="I769">
        <v>9.8609400000000003E-3</v>
      </c>
      <c r="J769">
        <v>1</v>
      </c>
      <c r="K769">
        <v>950035</v>
      </c>
      <c r="L769">
        <f t="shared" si="97"/>
        <v>1.2546119423076922E-2</v>
      </c>
      <c r="M769">
        <f t="shared" si="98"/>
        <v>5.1362639999999998E-3</v>
      </c>
      <c r="N769">
        <f t="shared" si="99"/>
        <v>1.0967160769230769E-2</v>
      </c>
      <c r="O769">
        <f t="shared" si="100"/>
        <v>8.0517123846153837E-3</v>
      </c>
      <c r="P769">
        <f t="shared" si="96"/>
        <v>46.785716738944167</v>
      </c>
      <c r="R769">
        <f t="shared" si="101"/>
        <v>8.6197191649185973E-4</v>
      </c>
    </row>
    <row r="770" spans="1:19" x14ac:dyDescent="0.2">
      <c r="A770" t="s">
        <v>781</v>
      </c>
      <c r="B770">
        <v>5.8809168600000001</v>
      </c>
      <c r="C770">
        <v>0.85542236999999999</v>
      </c>
      <c r="D770">
        <v>6.0511296300000001</v>
      </c>
      <c r="E770">
        <v>0.41484471000000001</v>
      </c>
      <c r="F770">
        <v>3.27647829</v>
      </c>
      <c r="G770">
        <v>1.3367195000000001</v>
      </c>
      <c r="H770">
        <v>2.8595881599999999</v>
      </c>
      <c r="I770">
        <v>9.8609400000000003E-3</v>
      </c>
      <c r="J770">
        <v>1</v>
      </c>
      <c r="K770">
        <v>950035</v>
      </c>
      <c r="L770">
        <f t="shared" si="97"/>
        <v>1.2601839576923077E-2</v>
      </c>
      <c r="M770">
        <f t="shared" si="98"/>
        <v>5.1412288461538461E-3</v>
      </c>
      <c r="N770">
        <f t="shared" si="99"/>
        <v>1.0998416E-2</v>
      </c>
      <c r="O770">
        <f t="shared" si="100"/>
        <v>8.0698224230769233E-3</v>
      </c>
      <c r="P770">
        <f t="shared" si="96"/>
        <v>48.407003952669953</v>
      </c>
      <c r="R770">
        <f t="shared" si="101"/>
        <v>3.4564791657675268E-4</v>
      </c>
    </row>
    <row r="771" spans="1:19" x14ac:dyDescent="0.2">
      <c r="A771" t="s">
        <v>782</v>
      </c>
      <c r="B771">
        <v>5.88429088</v>
      </c>
      <c r="C771">
        <v>0.85700673000000005</v>
      </c>
      <c r="D771">
        <v>6.0511296300000001</v>
      </c>
      <c r="E771">
        <v>0.41484471000000001</v>
      </c>
      <c r="F771">
        <v>3.2898632399999999</v>
      </c>
      <c r="G771">
        <v>1.3375347799999999</v>
      </c>
      <c r="H771">
        <v>2.8624824800000002</v>
      </c>
      <c r="I771">
        <v>9.8609400000000003E-3</v>
      </c>
      <c r="J771">
        <v>1</v>
      </c>
      <c r="K771">
        <v>950035</v>
      </c>
      <c r="L771">
        <f t="shared" si="97"/>
        <v>1.2653320153846154E-2</v>
      </c>
      <c r="M771">
        <f t="shared" si="98"/>
        <v>5.1443645384615377E-3</v>
      </c>
      <c r="N771">
        <f t="shared" si="99"/>
        <v>1.1009548000000001E-2</v>
      </c>
      <c r="O771">
        <f t="shared" si="100"/>
        <v>8.0769562692307693E-3</v>
      </c>
      <c r="P771">
        <f t="shared" ref="P771:P834" si="105">+C771*4/(PI()*0.15^2)</f>
        <v>48.496660388452021</v>
      </c>
      <c r="R771">
        <f t="shared" si="101"/>
        <v>-1.2168599056577342E-4</v>
      </c>
    </row>
    <row r="772" spans="1:19" x14ac:dyDescent="0.2">
      <c r="A772" t="s">
        <v>783</v>
      </c>
      <c r="B772">
        <v>5.8809168600000001</v>
      </c>
      <c r="C772">
        <v>0.81713367000000003</v>
      </c>
      <c r="D772">
        <v>6.04754696</v>
      </c>
      <c r="E772">
        <v>0.41484471000000001</v>
      </c>
      <c r="F772">
        <v>3.30576771</v>
      </c>
      <c r="G772">
        <v>1.3375347799999999</v>
      </c>
      <c r="H772">
        <v>2.8611466399999999</v>
      </c>
      <c r="I772">
        <v>9.6783300000000006E-3</v>
      </c>
      <c r="J772">
        <v>1</v>
      </c>
      <c r="K772">
        <v>950035</v>
      </c>
      <c r="L772">
        <f t="shared" ref="L772:L835" si="106">+F772/260</f>
        <v>1.2714491192307692E-2</v>
      </c>
      <c r="M772">
        <f t="shared" ref="M772:M835" si="107">+G772/260</f>
        <v>5.1443645384615377E-3</v>
      </c>
      <c r="N772">
        <f t="shared" ref="N772:N835" si="108">+H772/260</f>
        <v>1.1004410153846154E-2</v>
      </c>
      <c r="O772">
        <f t="shared" ref="O772:O835" si="109">(+G772+H772)/520</f>
        <v>8.0743873461538457E-3</v>
      </c>
      <c r="P772">
        <f t="shared" si="105"/>
        <v>46.240306754603232</v>
      </c>
      <c r="R772">
        <f t="shared" ref="R772:R835" si="110">+(P772+P773)/2*(O773-O772)</f>
        <v>-1.0117645512465745E-3</v>
      </c>
    </row>
    <row r="773" spans="1:19" x14ac:dyDescent="0.2">
      <c r="A773" t="s">
        <v>784</v>
      </c>
      <c r="B773">
        <v>5.8611918200000002</v>
      </c>
      <c r="C773">
        <v>0.70596440999999999</v>
      </c>
      <c r="D773">
        <v>6.0321926599999998</v>
      </c>
      <c r="E773">
        <v>0.41484471000000001</v>
      </c>
      <c r="F773">
        <v>3.3182078399999999</v>
      </c>
      <c r="G773">
        <v>1.3377386</v>
      </c>
      <c r="H773">
        <v>2.8487344600000002</v>
      </c>
      <c r="I773">
        <v>9.6783300000000006E-3</v>
      </c>
      <c r="J773">
        <v>1</v>
      </c>
      <c r="K773">
        <v>950035</v>
      </c>
      <c r="L773">
        <f t="shared" si="106"/>
        <v>1.2762337846153845E-2</v>
      </c>
      <c r="M773">
        <f t="shared" si="107"/>
        <v>5.1451484615384615E-3</v>
      </c>
      <c r="N773">
        <f t="shared" si="108"/>
        <v>1.0956671000000001E-2</v>
      </c>
      <c r="O773">
        <f t="shared" si="109"/>
        <v>8.05090973076923E-3</v>
      </c>
      <c r="P773">
        <f t="shared" si="105"/>
        <v>39.949413510561229</v>
      </c>
      <c r="R773">
        <f t="shared" si="110"/>
        <v>-9.8540644821961299E-4</v>
      </c>
    </row>
    <row r="774" spans="1:19" x14ac:dyDescent="0.2">
      <c r="A774" t="s">
        <v>785</v>
      </c>
      <c r="B774">
        <v>5.8469171199999996</v>
      </c>
      <c r="C774">
        <v>0.61486370999999995</v>
      </c>
      <c r="D774">
        <v>6.0147911199999999</v>
      </c>
      <c r="E774">
        <v>0.41484471000000001</v>
      </c>
      <c r="F774">
        <v>3.32592387</v>
      </c>
      <c r="G774">
        <v>1.3379424200000001</v>
      </c>
      <c r="H774">
        <v>2.8348194599999998</v>
      </c>
      <c r="I774">
        <v>9.6783300000000006E-3</v>
      </c>
      <c r="J774">
        <v>1</v>
      </c>
      <c r="K774">
        <v>950035</v>
      </c>
      <c r="L774">
        <f t="shared" si="106"/>
        <v>1.2792014884615385E-2</v>
      </c>
      <c r="M774">
        <f t="shared" si="107"/>
        <v>5.1459323846153853E-3</v>
      </c>
      <c r="N774">
        <f t="shared" si="108"/>
        <v>1.0903151769230769E-2</v>
      </c>
      <c r="O774">
        <f t="shared" si="109"/>
        <v>8.0245420769230764E-3</v>
      </c>
      <c r="P774">
        <f t="shared" si="105"/>
        <v>34.794168453092134</v>
      </c>
      <c r="R774">
        <f t="shared" si="110"/>
        <v>-1.3749085962615898E-3</v>
      </c>
    </row>
    <row r="775" spans="1:19" x14ac:dyDescent="0.2">
      <c r="A775" t="s">
        <v>786</v>
      </c>
      <c r="B775">
        <v>5.82874932</v>
      </c>
      <c r="C775">
        <v>0.52297083</v>
      </c>
      <c r="D775">
        <v>5.9917596700000004</v>
      </c>
      <c r="E775">
        <v>0.41484471000000001</v>
      </c>
      <c r="F775">
        <v>3.3331674900000001</v>
      </c>
      <c r="G775">
        <v>1.3373309600000001</v>
      </c>
      <c r="H775">
        <v>2.8132233800000002</v>
      </c>
      <c r="I775">
        <v>9.6783300000000006E-3</v>
      </c>
      <c r="J775">
        <v>1</v>
      </c>
      <c r="K775">
        <v>950035</v>
      </c>
      <c r="L775">
        <f t="shared" si="106"/>
        <v>1.2819874961538462E-2</v>
      </c>
      <c r="M775">
        <f t="shared" si="107"/>
        <v>5.1435806153846157E-3</v>
      </c>
      <c r="N775">
        <f t="shared" si="108"/>
        <v>1.0820089923076924E-2</v>
      </c>
      <c r="O775">
        <f t="shared" si="109"/>
        <v>7.9818352692307692E-3</v>
      </c>
      <c r="P775">
        <f t="shared" si="105"/>
        <v>29.594095177732008</v>
      </c>
      <c r="R775">
        <f t="shared" si="110"/>
        <v>-2.0439602323466268E-3</v>
      </c>
    </row>
    <row r="776" spans="1:19" x14ac:dyDescent="0.2">
      <c r="A776" t="s">
        <v>787</v>
      </c>
      <c r="B776">
        <v>5.7905969400000004</v>
      </c>
      <c r="C776">
        <v>0.41945930999999997</v>
      </c>
      <c r="D776">
        <v>5.9462085800000004</v>
      </c>
      <c r="E776">
        <v>0.41484471000000001</v>
      </c>
      <c r="F776">
        <v>3.3374191799999999</v>
      </c>
      <c r="G776">
        <v>1.3329827999999999</v>
      </c>
      <c r="H776">
        <v>2.7777123000000001</v>
      </c>
      <c r="I776">
        <v>9.6783300000000006E-3</v>
      </c>
      <c r="J776">
        <v>1</v>
      </c>
      <c r="K776">
        <v>950035</v>
      </c>
      <c r="L776">
        <f t="shared" si="106"/>
        <v>1.2836227615384615E-2</v>
      </c>
      <c r="M776">
        <f t="shared" si="107"/>
        <v>5.126856923076923E-3</v>
      </c>
      <c r="N776">
        <f t="shared" si="108"/>
        <v>1.0683508846153846E-2</v>
      </c>
      <c r="O776">
        <f t="shared" si="109"/>
        <v>7.9051828846153846E-3</v>
      </c>
      <c r="P776">
        <f t="shared" si="105"/>
        <v>23.736541373303353</v>
      </c>
      <c r="R776">
        <f t="shared" si="110"/>
        <v>-2.2055717580692258E-3</v>
      </c>
    </row>
    <row r="777" spans="1:19" x14ac:dyDescent="0.2">
      <c r="A777" t="s">
        <v>788</v>
      </c>
      <c r="B777">
        <v>5.7438797399999997</v>
      </c>
      <c r="C777">
        <v>0.32320944000000001</v>
      </c>
      <c r="D777">
        <v>5.8991220599999998</v>
      </c>
      <c r="E777">
        <v>0.41484471000000001</v>
      </c>
      <c r="F777">
        <v>3.3341123100000001</v>
      </c>
      <c r="G777">
        <v>1.3251017599999999</v>
      </c>
      <c r="H777">
        <v>2.7310135600000001</v>
      </c>
      <c r="I777">
        <v>9.6783300000000006E-3</v>
      </c>
      <c r="J777">
        <v>1</v>
      </c>
      <c r="K777">
        <v>950035</v>
      </c>
      <c r="L777">
        <f t="shared" si="106"/>
        <v>1.2823508884615385E-2</v>
      </c>
      <c r="M777">
        <f t="shared" si="107"/>
        <v>5.0965452307692302E-3</v>
      </c>
      <c r="N777">
        <f t="shared" si="108"/>
        <v>1.0503898307692308E-2</v>
      </c>
      <c r="O777">
        <f t="shared" si="109"/>
        <v>7.8002217692307689E-3</v>
      </c>
      <c r="P777">
        <f t="shared" si="105"/>
        <v>18.289912899542529</v>
      </c>
      <c r="R777">
        <f t="shared" si="110"/>
        <v>-1.9678522823067764E-3</v>
      </c>
    </row>
    <row r="778" spans="1:19" x14ac:dyDescent="0.2">
      <c r="A778" t="s">
        <v>789</v>
      </c>
      <c r="B778">
        <v>5.6971625399999999</v>
      </c>
      <c r="C778">
        <v>0.24095475</v>
      </c>
      <c r="D778">
        <v>5.8417993399999997</v>
      </c>
      <c r="E778">
        <v>0.47410824000000001</v>
      </c>
      <c r="F778">
        <v>3.3273410999999999</v>
      </c>
      <c r="G778">
        <v>1.31348402</v>
      </c>
      <c r="H778">
        <v>2.67852618</v>
      </c>
      <c r="I778">
        <v>9.6783300000000006E-3</v>
      </c>
      <c r="J778">
        <v>1</v>
      </c>
      <c r="K778">
        <v>950035</v>
      </c>
      <c r="L778">
        <f t="shared" si="106"/>
        <v>1.2797465769230769E-2</v>
      </c>
      <c r="M778">
        <f t="shared" si="107"/>
        <v>5.0518616153846152E-3</v>
      </c>
      <c r="N778">
        <f t="shared" si="108"/>
        <v>1.030202376923077E-2</v>
      </c>
      <c r="O778">
        <f t="shared" si="109"/>
        <v>7.6769426923076929E-3</v>
      </c>
      <c r="P778">
        <f t="shared" si="105"/>
        <v>13.635249608523331</v>
      </c>
      <c r="R778">
        <f t="shared" si="110"/>
        <v>-1.5426307763378919E-3</v>
      </c>
    </row>
    <row r="779" spans="1:19" x14ac:dyDescent="0.2">
      <c r="A779" t="s">
        <v>790</v>
      </c>
      <c r="B779">
        <v>5.6473308600000003</v>
      </c>
      <c r="C779">
        <v>0.1663578</v>
      </c>
      <c r="D779">
        <v>5.7870356699999999</v>
      </c>
      <c r="E779">
        <v>0.47410824000000001</v>
      </c>
      <c r="F779">
        <v>3.3191526599999999</v>
      </c>
      <c r="G779">
        <v>1.29853722</v>
      </c>
      <c r="H779">
        <v>2.6238680599999999</v>
      </c>
      <c r="I779">
        <v>9.8609400000000003E-3</v>
      </c>
      <c r="J779">
        <v>1</v>
      </c>
      <c r="K779">
        <v>950035</v>
      </c>
      <c r="L779">
        <f t="shared" si="106"/>
        <v>1.2765971769230769E-2</v>
      </c>
      <c r="M779">
        <f t="shared" si="107"/>
        <v>4.9943739230769229E-3</v>
      </c>
      <c r="N779">
        <f t="shared" si="108"/>
        <v>1.009180023076923E-2</v>
      </c>
      <c r="O779">
        <f t="shared" si="109"/>
        <v>7.5430870769230768E-3</v>
      </c>
      <c r="P779">
        <f t="shared" si="105"/>
        <v>9.413925757117477</v>
      </c>
      <c r="R779">
        <f t="shared" si="110"/>
        <v>-1.0022803986377928E-3</v>
      </c>
      <c r="S779">
        <f>ABS(SUMIFS($R:$R,$K:$K,K779))</f>
        <v>5.2404027182200224E-3</v>
      </c>
    </row>
    <row r="780" spans="1:19" x14ac:dyDescent="0.2">
      <c r="A780" t="s">
        <v>791</v>
      </c>
      <c r="B780">
        <v>5.5925679199999996</v>
      </c>
      <c r="C780">
        <v>0.10113498</v>
      </c>
      <c r="D780">
        <v>5.7292011399999998</v>
      </c>
      <c r="E780">
        <v>0.73091687000000005</v>
      </c>
      <c r="F780">
        <v>3.3024608400000002</v>
      </c>
      <c r="G780">
        <v>1.2833866</v>
      </c>
      <c r="H780">
        <v>2.5701561599999998</v>
      </c>
      <c r="I780">
        <v>1.004355E-2</v>
      </c>
      <c r="J780">
        <v>1</v>
      </c>
      <c r="K780">
        <v>950035</v>
      </c>
      <c r="L780">
        <f t="shared" si="106"/>
        <v>1.2701772461538462E-2</v>
      </c>
      <c r="M780">
        <f t="shared" si="107"/>
        <v>4.9361023076923078E-3</v>
      </c>
      <c r="N780">
        <f t="shared" si="108"/>
        <v>9.8852159999999988E-3</v>
      </c>
      <c r="O780">
        <f t="shared" si="109"/>
        <v>7.4106591538461537E-3</v>
      </c>
      <c r="P780">
        <f t="shared" si="105"/>
        <v>5.7230691507555456</v>
      </c>
      <c r="R780">
        <f t="shared" si="110"/>
        <v>-4.0068694659768265E-4</v>
      </c>
    </row>
    <row r="781" spans="1:19" x14ac:dyDescent="0.2">
      <c r="A781" t="s">
        <v>792</v>
      </c>
      <c r="B781">
        <v>5.5500033599999998</v>
      </c>
      <c r="C781">
        <v>5.320809E-2</v>
      </c>
      <c r="D781">
        <v>5.6887681499999996</v>
      </c>
      <c r="E781">
        <v>1.0864980500000001</v>
      </c>
      <c r="F781">
        <v>3.2812023899999998</v>
      </c>
      <c r="G781">
        <v>1.2728558999999999</v>
      </c>
      <c r="H781">
        <v>2.5329752800000001</v>
      </c>
      <c r="I781">
        <v>9.8609400000000003E-3</v>
      </c>
      <c r="J781">
        <v>1</v>
      </c>
      <c r="K781">
        <v>950035</v>
      </c>
      <c r="L781">
        <f t="shared" si="106"/>
        <v>1.2620009192307692E-2</v>
      </c>
      <c r="M781">
        <f t="shared" si="107"/>
        <v>4.8955996153846153E-3</v>
      </c>
      <c r="N781">
        <f t="shared" si="108"/>
        <v>9.7422126153846149E-3</v>
      </c>
      <c r="O781">
        <f t="shared" si="109"/>
        <v>7.3189061153846159E-3</v>
      </c>
      <c r="P781">
        <f t="shared" si="105"/>
        <v>3.0109619683478916</v>
      </c>
      <c r="R781">
        <f t="shared" si="110"/>
        <v>-7.5894770599096851E-5</v>
      </c>
    </row>
    <row r="782" spans="1:19" x14ac:dyDescent="0.2">
      <c r="A782" t="s">
        <v>793</v>
      </c>
      <c r="B782">
        <v>5.5419576199999998</v>
      </c>
      <c r="C782">
        <v>5.320809E-2</v>
      </c>
      <c r="D782">
        <v>5.6775083300000002</v>
      </c>
      <c r="E782">
        <v>1.20502511</v>
      </c>
      <c r="F782">
        <v>3.2629358700000002</v>
      </c>
      <c r="G782">
        <v>1.2699344800000001</v>
      </c>
      <c r="H782">
        <v>2.5227895</v>
      </c>
      <c r="I782">
        <v>1.004355E-2</v>
      </c>
      <c r="J782">
        <v>1</v>
      </c>
      <c r="K782">
        <v>950035</v>
      </c>
      <c r="L782">
        <f t="shared" si="106"/>
        <v>1.2549753346153847E-2</v>
      </c>
      <c r="M782">
        <f t="shared" si="107"/>
        <v>4.8843633846153848E-3</v>
      </c>
      <c r="N782">
        <f t="shared" si="108"/>
        <v>9.7030365384615392E-3</v>
      </c>
      <c r="O782">
        <f t="shared" si="109"/>
        <v>7.2936999615384615E-3</v>
      </c>
      <c r="P782">
        <f t="shared" si="105"/>
        <v>3.0109619683478916</v>
      </c>
      <c r="R782">
        <f t="shared" si="110"/>
        <v>1.8308075827894139E-4</v>
      </c>
    </row>
    <row r="783" spans="1:19" x14ac:dyDescent="0.2">
      <c r="A783" t="s">
        <v>794</v>
      </c>
      <c r="B783">
        <v>5.5601254200000003</v>
      </c>
      <c r="C783">
        <v>0.1095849</v>
      </c>
      <c r="D783">
        <v>5.7025870200000002</v>
      </c>
      <c r="E783">
        <v>1.20502511</v>
      </c>
      <c r="F783">
        <v>3.24624405</v>
      </c>
      <c r="G783">
        <v>1.26973066</v>
      </c>
      <c r="H783">
        <v>2.5436619999999999</v>
      </c>
      <c r="I783">
        <v>1.004355E-2</v>
      </c>
      <c r="J783">
        <v>1</v>
      </c>
      <c r="K783">
        <v>950035</v>
      </c>
      <c r="L783">
        <f t="shared" si="106"/>
        <v>1.2485554038461539E-2</v>
      </c>
      <c r="M783">
        <f t="shared" si="107"/>
        <v>4.8835794615384618E-3</v>
      </c>
      <c r="N783">
        <f t="shared" si="108"/>
        <v>9.7833153846153837E-3</v>
      </c>
      <c r="O783">
        <f t="shared" si="109"/>
        <v>7.3334474230769232E-3</v>
      </c>
      <c r="P783">
        <f t="shared" si="105"/>
        <v>6.2012368082599254</v>
      </c>
      <c r="R783">
        <f t="shared" si="110"/>
        <v>7.982725196081866E-4</v>
      </c>
    </row>
    <row r="784" spans="1:19" x14ac:dyDescent="0.2">
      <c r="A784" t="s">
        <v>795</v>
      </c>
      <c r="B784">
        <v>5.5967205599999996</v>
      </c>
      <c r="C784">
        <v>0.19051929000000001</v>
      </c>
      <c r="D784">
        <v>5.7430200100000004</v>
      </c>
      <c r="E784">
        <v>1.0864980500000001</v>
      </c>
      <c r="F784">
        <v>3.2312843999999998</v>
      </c>
      <c r="G784">
        <v>1.2759811400000001</v>
      </c>
      <c r="H784">
        <v>2.5862975600000002</v>
      </c>
      <c r="I784">
        <v>1.004355E-2</v>
      </c>
      <c r="J784">
        <v>1</v>
      </c>
      <c r="K784">
        <v>950036</v>
      </c>
      <c r="L784">
        <f t="shared" si="106"/>
        <v>1.2428016923076922E-2</v>
      </c>
      <c r="M784">
        <f t="shared" si="107"/>
        <v>4.9076197692307696E-3</v>
      </c>
      <c r="N784">
        <f t="shared" si="108"/>
        <v>9.9472983076923094E-3</v>
      </c>
      <c r="O784">
        <f t="shared" si="109"/>
        <v>7.4274590384615386E-3</v>
      </c>
      <c r="P784">
        <f t="shared" si="105"/>
        <v>10.781186402794065</v>
      </c>
      <c r="Q784">
        <f t="shared" ref="Q784" si="111">ABS(0.5*(SUMPRODUCT(O784:O802,P785:P803)+O803*P784-(SUMPRODUCT(O785:O803,P784:P802)+O784*P803)))</f>
        <v>5.1958099930151658E-3</v>
      </c>
      <c r="R784">
        <f t="shared" si="110"/>
        <v>1.825045181762564E-3</v>
      </c>
    </row>
    <row r="785" spans="1:19" x14ac:dyDescent="0.2">
      <c r="A785" t="s">
        <v>796</v>
      </c>
      <c r="B785">
        <v>5.6481094799999996</v>
      </c>
      <c r="C785">
        <v>0.28360044000000001</v>
      </c>
      <c r="D785">
        <v>5.8023899700000001</v>
      </c>
      <c r="E785">
        <v>0.84944392999999996</v>
      </c>
      <c r="F785">
        <v>3.2245131900000001</v>
      </c>
      <c r="G785">
        <v>1.2898409</v>
      </c>
      <c r="H785">
        <v>2.6431820799999999</v>
      </c>
      <c r="I785">
        <v>9.8609400000000003E-3</v>
      </c>
      <c r="J785">
        <v>1</v>
      </c>
      <c r="K785">
        <v>950036</v>
      </c>
      <c r="L785">
        <f t="shared" si="106"/>
        <v>1.2401973807692309E-2</v>
      </c>
      <c r="M785">
        <f t="shared" si="107"/>
        <v>4.9609265384615384E-3</v>
      </c>
      <c r="N785">
        <f t="shared" si="108"/>
        <v>1.0166084923076923E-2</v>
      </c>
      <c r="O785">
        <f t="shared" si="109"/>
        <v>7.5635057307692297E-3</v>
      </c>
      <c r="P785">
        <f t="shared" si="105"/>
        <v>16.048502004990748</v>
      </c>
      <c r="R785">
        <f t="shared" si="110"/>
        <v>2.8857072378391021E-3</v>
      </c>
    </row>
    <row r="786" spans="1:19" x14ac:dyDescent="0.2">
      <c r="A786" t="s">
        <v>797</v>
      </c>
      <c r="B786">
        <v>5.7067655200000003</v>
      </c>
      <c r="C786">
        <v>0.39239316000000002</v>
      </c>
      <c r="D786">
        <v>5.8663662199999997</v>
      </c>
      <c r="E786">
        <v>0.79018040000000001</v>
      </c>
      <c r="F786">
        <v>3.2265603</v>
      </c>
      <c r="G786">
        <v>1.3053991599999999</v>
      </c>
      <c r="H786">
        <v>2.70607788</v>
      </c>
      <c r="I786">
        <v>9.8609400000000003E-3</v>
      </c>
      <c r="J786">
        <v>1</v>
      </c>
      <c r="K786">
        <v>950036</v>
      </c>
      <c r="L786">
        <f t="shared" si="106"/>
        <v>1.2409847307692307E-2</v>
      </c>
      <c r="M786">
        <f t="shared" si="107"/>
        <v>5.0207659999999994E-3</v>
      </c>
      <c r="N786">
        <f t="shared" si="108"/>
        <v>1.0407991846153847E-2</v>
      </c>
      <c r="O786">
        <f t="shared" si="109"/>
        <v>7.7143789230769231E-3</v>
      </c>
      <c r="P786">
        <f t="shared" si="105"/>
        <v>22.204910595359639</v>
      </c>
      <c r="R786">
        <f t="shared" si="110"/>
        <v>3.8078105868570634E-3</v>
      </c>
    </row>
    <row r="787" spans="1:19" x14ac:dyDescent="0.2">
      <c r="A787" t="s">
        <v>798</v>
      </c>
      <c r="B787">
        <v>5.7708719000000004</v>
      </c>
      <c r="C787">
        <v>0.52825202999999998</v>
      </c>
      <c r="D787">
        <v>5.9369959999999997</v>
      </c>
      <c r="E787">
        <v>0.61238981000000003</v>
      </c>
      <c r="F787">
        <v>3.2308119899999999</v>
      </c>
      <c r="G787">
        <v>1.3194627400000001</v>
      </c>
      <c r="H787">
        <v>2.7680274599999999</v>
      </c>
      <c r="I787">
        <v>9.6783300000000006E-3</v>
      </c>
      <c r="J787">
        <v>1</v>
      </c>
      <c r="K787">
        <v>950036</v>
      </c>
      <c r="L787">
        <f t="shared" si="106"/>
        <v>1.2426199961538461E-2</v>
      </c>
      <c r="M787">
        <f t="shared" si="107"/>
        <v>5.0748566923076929E-3</v>
      </c>
      <c r="N787">
        <f t="shared" si="108"/>
        <v>1.0646259461538462E-2</v>
      </c>
      <c r="O787">
        <f t="shared" si="109"/>
        <v>7.8605580769230757E-3</v>
      </c>
      <c r="P787">
        <f t="shared" si="105"/>
        <v>29.892949963672244</v>
      </c>
      <c r="R787">
        <f t="shared" si="110"/>
        <v>4.4040524153542001E-3</v>
      </c>
    </row>
    <row r="788" spans="1:19" x14ac:dyDescent="0.2">
      <c r="A788" t="s">
        <v>799</v>
      </c>
      <c r="B788">
        <v>5.8303065600000004</v>
      </c>
      <c r="C788">
        <v>0.70715267999999998</v>
      </c>
      <c r="D788">
        <v>6.0040431099999996</v>
      </c>
      <c r="E788">
        <v>0.61238981000000003</v>
      </c>
      <c r="F788">
        <v>3.2413624799999998</v>
      </c>
      <c r="G788">
        <v>1.3302651999999999</v>
      </c>
      <c r="H788">
        <v>2.82274124</v>
      </c>
      <c r="I788">
        <v>9.4957199999999992E-3</v>
      </c>
      <c r="J788">
        <v>1</v>
      </c>
      <c r="K788">
        <v>950036</v>
      </c>
      <c r="L788">
        <f t="shared" si="106"/>
        <v>1.2466778769230769E-2</v>
      </c>
      <c r="M788">
        <f t="shared" si="107"/>
        <v>5.1164046153846154E-3</v>
      </c>
      <c r="N788">
        <f t="shared" si="108"/>
        <v>1.0856697076923078E-2</v>
      </c>
      <c r="O788">
        <f t="shared" si="109"/>
        <v>7.9865508461538469E-3</v>
      </c>
      <c r="P788">
        <f t="shared" si="105"/>
        <v>40.016655837397785</v>
      </c>
      <c r="R788">
        <f t="shared" si="110"/>
        <v>2.7965991353583503E-3</v>
      </c>
    </row>
    <row r="789" spans="1:19" x14ac:dyDescent="0.2">
      <c r="A789" t="s">
        <v>800</v>
      </c>
      <c r="B789">
        <v>5.8707947999999996</v>
      </c>
      <c r="C789">
        <v>0.82479141</v>
      </c>
      <c r="D789">
        <v>6.0367989499999997</v>
      </c>
      <c r="E789">
        <v>0.53337177000000002</v>
      </c>
      <c r="F789">
        <v>3.2605738199999998</v>
      </c>
      <c r="G789">
        <v>1.3354286399999999</v>
      </c>
      <c r="H789">
        <v>2.8511278400000002</v>
      </c>
      <c r="I789">
        <v>9.6783300000000006E-3</v>
      </c>
      <c r="J789">
        <v>1</v>
      </c>
      <c r="K789">
        <v>950036</v>
      </c>
      <c r="L789">
        <f t="shared" si="106"/>
        <v>1.2540668538461537E-2</v>
      </c>
      <c r="M789">
        <f t="shared" si="107"/>
        <v>5.1362639999999998E-3</v>
      </c>
      <c r="N789">
        <f t="shared" si="108"/>
        <v>1.0965876307692309E-2</v>
      </c>
      <c r="O789">
        <f t="shared" si="109"/>
        <v>8.0510701538461533E-3</v>
      </c>
      <c r="P789">
        <f t="shared" si="105"/>
        <v>46.673646194216573</v>
      </c>
      <c r="R789">
        <f t="shared" si="110"/>
        <v>9.2313467547588826E-4</v>
      </c>
    </row>
    <row r="790" spans="1:19" x14ac:dyDescent="0.2">
      <c r="A790" t="s">
        <v>801</v>
      </c>
      <c r="B790">
        <v>5.8809168600000001</v>
      </c>
      <c r="C790">
        <v>0.85132943999999999</v>
      </c>
      <c r="D790">
        <v>6.04754696</v>
      </c>
      <c r="E790">
        <v>0.53337177000000002</v>
      </c>
      <c r="F790">
        <v>3.2769507</v>
      </c>
      <c r="G790">
        <v>1.3369233199999999</v>
      </c>
      <c r="H790">
        <v>2.8597551399999999</v>
      </c>
      <c r="I790">
        <v>9.6783300000000006E-3</v>
      </c>
      <c r="J790">
        <v>1</v>
      </c>
      <c r="K790">
        <v>950036</v>
      </c>
      <c r="L790">
        <f t="shared" si="106"/>
        <v>1.2603656538461539E-2</v>
      </c>
      <c r="M790">
        <f t="shared" si="107"/>
        <v>5.142012769230769E-3</v>
      </c>
      <c r="N790">
        <f t="shared" si="108"/>
        <v>1.0999058230769231E-2</v>
      </c>
      <c r="O790">
        <f t="shared" si="109"/>
        <v>8.0705354999999982E-3</v>
      </c>
      <c r="P790">
        <f t="shared" si="105"/>
        <v>48.175391493566266</v>
      </c>
      <c r="R790">
        <f t="shared" si="110"/>
        <v>2.9414943500973744E-4</v>
      </c>
    </row>
    <row r="791" spans="1:19" x14ac:dyDescent="0.2">
      <c r="A791" t="s">
        <v>802</v>
      </c>
      <c r="B791">
        <v>5.8858481200000003</v>
      </c>
      <c r="C791">
        <v>0.85304583</v>
      </c>
      <c r="D791">
        <v>6.0511296300000001</v>
      </c>
      <c r="E791">
        <v>0.47410824000000001</v>
      </c>
      <c r="F791">
        <v>3.2898632399999999</v>
      </c>
      <c r="G791">
        <v>1.3375347799999999</v>
      </c>
      <c r="H791">
        <v>2.8623154999999998</v>
      </c>
      <c r="I791">
        <v>9.6783300000000006E-3</v>
      </c>
      <c r="J791">
        <v>1</v>
      </c>
      <c r="K791">
        <v>950036</v>
      </c>
      <c r="L791">
        <f t="shared" si="106"/>
        <v>1.2653320153846154E-2</v>
      </c>
      <c r="M791">
        <f t="shared" si="107"/>
        <v>5.1443645384615377E-3</v>
      </c>
      <c r="N791">
        <f t="shared" si="108"/>
        <v>1.1008905769230769E-2</v>
      </c>
      <c r="O791">
        <f t="shared" si="109"/>
        <v>8.0766351538461532E-3</v>
      </c>
      <c r="P791">
        <f t="shared" si="105"/>
        <v>48.272519298996841</v>
      </c>
      <c r="R791">
        <f t="shared" si="110"/>
        <v>-8.4512733990658881E-5</v>
      </c>
    </row>
    <row r="792" spans="1:19" x14ac:dyDescent="0.2">
      <c r="A792" t="s">
        <v>803</v>
      </c>
      <c r="B792">
        <v>5.88013824</v>
      </c>
      <c r="C792">
        <v>0.82030239000000005</v>
      </c>
      <c r="D792">
        <v>6.0490823899999997</v>
      </c>
      <c r="E792">
        <v>0.47410824000000001</v>
      </c>
      <c r="F792">
        <v>3.3048228900000001</v>
      </c>
      <c r="G792">
        <v>1.3379424200000001</v>
      </c>
      <c r="H792">
        <v>2.8609796599999999</v>
      </c>
      <c r="I792">
        <v>9.6783300000000006E-3</v>
      </c>
      <c r="J792">
        <v>1</v>
      </c>
      <c r="K792">
        <v>950036</v>
      </c>
      <c r="L792">
        <f t="shared" si="106"/>
        <v>1.2710857269230769E-2</v>
      </c>
      <c r="M792">
        <f t="shared" si="107"/>
        <v>5.1459323846153853E-3</v>
      </c>
      <c r="N792">
        <f t="shared" si="108"/>
        <v>1.1003767923076923E-2</v>
      </c>
      <c r="O792">
        <f t="shared" si="109"/>
        <v>8.0748501538461543E-3</v>
      </c>
      <c r="P792">
        <f t="shared" si="105"/>
        <v>46.419619626167375</v>
      </c>
      <c r="R792">
        <f t="shared" si="110"/>
        <v>-1.1005195697289197E-3</v>
      </c>
    </row>
    <row r="793" spans="1:19" x14ac:dyDescent="0.2">
      <c r="A793" t="s">
        <v>804</v>
      </c>
      <c r="B793">
        <v>5.8643063</v>
      </c>
      <c r="C793">
        <v>0.70226756999999995</v>
      </c>
      <c r="D793">
        <v>6.0321926599999998</v>
      </c>
      <c r="E793">
        <v>0.47410824000000001</v>
      </c>
      <c r="F793">
        <v>3.3191526599999999</v>
      </c>
      <c r="G793">
        <v>1.3377386</v>
      </c>
      <c r="H793">
        <v>2.8478995600000001</v>
      </c>
      <c r="I793">
        <v>9.6783300000000006E-3</v>
      </c>
      <c r="J793">
        <v>1</v>
      </c>
      <c r="K793">
        <v>950036</v>
      </c>
      <c r="L793">
        <f t="shared" si="106"/>
        <v>1.2765971769230769E-2</v>
      </c>
      <c r="M793">
        <f t="shared" si="107"/>
        <v>5.1451484615384615E-3</v>
      </c>
      <c r="N793">
        <f t="shared" si="108"/>
        <v>1.0953459846153847E-2</v>
      </c>
      <c r="O793">
        <f t="shared" si="109"/>
        <v>8.049304153846153E-3</v>
      </c>
      <c r="P793">
        <f t="shared" si="105"/>
        <v>39.740215160403061</v>
      </c>
      <c r="R793">
        <f t="shared" si="110"/>
        <v>-9.8410345974391574E-4</v>
      </c>
    </row>
    <row r="794" spans="1:19" x14ac:dyDescent="0.2">
      <c r="A794" t="s">
        <v>805</v>
      </c>
      <c r="B794">
        <v>5.8430240199999997</v>
      </c>
      <c r="C794">
        <v>0.61327935</v>
      </c>
      <c r="D794">
        <v>6.0163265499999996</v>
      </c>
      <c r="E794">
        <v>0.47410824000000001</v>
      </c>
      <c r="F794">
        <v>3.32639628</v>
      </c>
      <c r="G794">
        <v>1.3377386</v>
      </c>
      <c r="H794">
        <v>2.8341515400000001</v>
      </c>
      <c r="I794">
        <v>1.004355E-2</v>
      </c>
      <c r="J794">
        <v>1</v>
      </c>
      <c r="K794">
        <v>950036</v>
      </c>
      <c r="L794">
        <f t="shared" si="106"/>
        <v>1.2793831846153847E-2</v>
      </c>
      <c r="M794">
        <f t="shared" si="107"/>
        <v>5.1451484615384615E-3</v>
      </c>
      <c r="N794">
        <f t="shared" si="108"/>
        <v>1.0900582846153847E-2</v>
      </c>
      <c r="O794">
        <f t="shared" si="109"/>
        <v>8.0228656538461549E-3</v>
      </c>
      <c r="P794">
        <f t="shared" si="105"/>
        <v>34.704512017310066</v>
      </c>
      <c r="R794">
        <f t="shared" si="110"/>
        <v>-1.3177188024568196E-3</v>
      </c>
    </row>
    <row r="795" spans="1:19" x14ac:dyDescent="0.2">
      <c r="A795" t="s">
        <v>806</v>
      </c>
      <c r="B795">
        <v>5.8264134600000004</v>
      </c>
      <c r="C795">
        <v>0.52178256000000001</v>
      </c>
      <c r="D795">
        <v>5.9866415699999997</v>
      </c>
      <c r="E795">
        <v>0.47410824000000001</v>
      </c>
      <c r="F795">
        <v>3.3322226700000002</v>
      </c>
      <c r="G795">
        <v>1.3373309600000001</v>
      </c>
      <c r="H795">
        <v>2.8132233800000002</v>
      </c>
      <c r="I795">
        <v>1.004355E-2</v>
      </c>
      <c r="J795">
        <v>1</v>
      </c>
      <c r="K795">
        <v>950036</v>
      </c>
      <c r="L795">
        <f t="shared" si="106"/>
        <v>1.2816241038461539E-2</v>
      </c>
      <c r="M795">
        <f t="shared" si="107"/>
        <v>5.1435806153846157E-3</v>
      </c>
      <c r="N795">
        <f t="shared" si="108"/>
        <v>1.0820089923076924E-2</v>
      </c>
      <c r="O795">
        <f t="shared" si="109"/>
        <v>7.9818352692307692E-3</v>
      </c>
      <c r="P795">
        <f t="shared" si="105"/>
        <v>29.526852850895455</v>
      </c>
      <c r="R795">
        <f t="shared" si="110"/>
        <v>-2.0031999803988348E-3</v>
      </c>
    </row>
    <row r="796" spans="1:19" x14ac:dyDescent="0.2">
      <c r="A796" t="s">
        <v>807</v>
      </c>
      <c r="B796">
        <v>5.7939709600000002</v>
      </c>
      <c r="C796">
        <v>0.42025149000000001</v>
      </c>
      <c r="D796">
        <v>5.9446731499999999</v>
      </c>
      <c r="E796">
        <v>0.47410824000000001</v>
      </c>
      <c r="F796">
        <v>3.3389938799999999</v>
      </c>
      <c r="G796">
        <v>1.3335942599999999</v>
      </c>
      <c r="H796">
        <v>2.7778792800000001</v>
      </c>
      <c r="I796">
        <v>1.004355E-2</v>
      </c>
      <c r="J796">
        <v>1</v>
      </c>
      <c r="K796">
        <v>950036</v>
      </c>
      <c r="L796">
        <f t="shared" si="106"/>
        <v>1.2842284153846154E-2</v>
      </c>
      <c r="M796">
        <f t="shared" si="107"/>
        <v>5.1292086923076918E-3</v>
      </c>
      <c r="N796">
        <f t="shared" si="108"/>
        <v>1.0684151076923077E-2</v>
      </c>
      <c r="O796">
        <f t="shared" si="109"/>
        <v>7.9066798846153859E-3</v>
      </c>
      <c r="P796">
        <f t="shared" si="105"/>
        <v>23.781369591194391</v>
      </c>
      <c r="R796">
        <f t="shared" si="110"/>
        <v>-2.2223857911201198E-3</v>
      </c>
    </row>
    <row r="797" spans="1:19" x14ac:dyDescent="0.2">
      <c r="A797" t="s">
        <v>808</v>
      </c>
      <c r="B797">
        <v>5.74543698</v>
      </c>
      <c r="C797">
        <v>0.32479380000000002</v>
      </c>
      <c r="D797">
        <v>5.8960511999999996</v>
      </c>
      <c r="E797">
        <v>0.47410824000000001</v>
      </c>
      <c r="F797">
        <v>3.3374191799999999</v>
      </c>
      <c r="G797">
        <v>1.32530558</v>
      </c>
      <c r="H797">
        <v>2.7313475199999999</v>
      </c>
      <c r="I797">
        <v>1.004355E-2</v>
      </c>
      <c r="J797">
        <v>1</v>
      </c>
      <c r="K797">
        <v>950036</v>
      </c>
      <c r="L797">
        <f t="shared" si="106"/>
        <v>1.2836227615384615E-2</v>
      </c>
      <c r="M797">
        <f t="shared" si="107"/>
        <v>5.097329153846154E-3</v>
      </c>
      <c r="N797">
        <f t="shared" si="108"/>
        <v>1.0505182769230769E-2</v>
      </c>
      <c r="O797">
        <f t="shared" si="109"/>
        <v>7.8012559615384617E-3</v>
      </c>
      <c r="P797">
        <f t="shared" si="105"/>
        <v>18.3795693353246</v>
      </c>
      <c r="R797">
        <f t="shared" si="110"/>
        <v>-2.0052859231544148E-3</v>
      </c>
    </row>
    <row r="798" spans="1:19" x14ac:dyDescent="0.2">
      <c r="A798" t="s">
        <v>809</v>
      </c>
      <c r="B798">
        <v>5.7005365599999998</v>
      </c>
      <c r="C798">
        <v>0.24174693</v>
      </c>
      <c r="D798">
        <v>5.8382166700000004</v>
      </c>
      <c r="E798">
        <v>0.47410824000000001</v>
      </c>
      <c r="F798">
        <v>3.3282859199999999</v>
      </c>
      <c r="G798">
        <v>1.31307638</v>
      </c>
      <c r="H798">
        <v>2.67852618</v>
      </c>
      <c r="I798">
        <v>1.004355E-2</v>
      </c>
      <c r="J798">
        <v>1</v>
      </c>
      <c r="K798">
        <v>950036</v>
      </c>
      <c r="L798">
        <f t="shared" si="106"/>
        <v>1.2801099692307692E-2</v>
      </c>
      <c r="M798">
        <f t="shared" si="107"/>
        <v>5.0502937692307693E-3</v>
      </c>
      <c r="N798">
        <f t="shared" si="108"/>
        <v>1.030202376923077E-2</v>
      </c>
      <c r="O798">
        <f t="shared" si="109"/>
        <v>7.6761587692307691E-3</v>
      </c>
      <c r="P798">
        <f t="shared" si="105"/>
        <v>13.680077826414367</v>
      </c>
      <c r="R798">
        <f t="shared" si="110"/>
        <v>-1.5304922208080991E-3</v>
      </c>
    </row>
    <row r="799" spans="1:19" x14ac:dyDescent="0.2">
      <c r="A799" t="s">
        <v>810</v>
      </c>
      <c r="B799">
        <v>5.6449949999999998</v>
      </c>
      <c r="C799">
        <v>0.16714998</v>
      </c>
      <c r="D799">
        <v>5.7839648099999996</v>
      </c>
      <c r="E799">
        <v>0.47410824000000001</v>
      </c>
      <c r="F799">
        <v>3.3191526599999999</v>
      </c>
      <c r="G799">
        <v>1.29894486</v>
      </c>
      <c r="H799">
        <v>2.6238680599999999</v>
      </c>
      <c r="I799">
        <v>1.004355E-2</v>
      </c>
      <c r="J799">
        <v>1</v>
      </c>
      <c r="K799">
        <v>950036</v>
      </c>
      <c r="L799">
        <f t="shared" si="106"/>
        <v>1.2765971769230769E-2</v>
      </c>
      <c r="M799">
        <f t="shared" si="107"/>
        <v>4.9959417692307688E-3</v>
      </c>
      <c r="N799">
        <f t="shared" si="108"/>
        <v>1.009180023076923E-2</v>
      </c>
      <c r="O799">
        <f t="shared" si="109"/>
        <v>7.5438710000000006E-3</v>
      </c>
      <c r="P799">
        <f t="shared" si="105"/>
        <v>9.4587539750085128</v>
      </c>
      <c r="R799">
        <f t="shared" si="110"/>
        <v>-1.0057864394214847E-3</v>
      </c>
    </row>
    <row r="800" spans="1:19" x14ac:dyDescent="0.2">
      <c r="A800" t="s">
        <v>811</v>
      </c>
      <c r="B800">
        <v>5.5943847</v>
      </c>
      <c r="C800">
        <v>0.10113498</v>
      </c>
      <c r="D800">
        <v>5.7292011399999998</v>
      </c>
      <c r="E800">
        <v>0.73091687000000005</v>
      </c>
      <c r="F800">
        <v>3.3038780700000001</v>
      </c>
      <c r="G800">
        <v>1.2835904199999999</v>
      </c>
      <c r="H800">
        <v>2.5703231400000002</v>
      </c>
      <c r="I800">
        <v>9.8609400000000003E-3</v>
      </c>
      <c r="J800">
        <v>1</v>
      </c>
      <c r="K800">
        <v>950036</v>
      </c>
      <c r="L800">
        <f t="shared" si="106"/>
        <v>1.2707223346153847E-2</v>
      </c>
      <c r="M800">
        <f t="shared" si="107"/>
        <v>4.9368862307692307E-3</v>
      </c>
      <c r="N800">
        <f t="shared" si="108"/>
        <v>9.885858230769231E-3</v>
      </c>
      <c r="O800">
        <f t="shared" si="109"/>
        <v>7.4113722307692313E-3</v>
      </c>
      <c r="P800">
        <f t="shared" si="105"/>
        <v>5.7230691507555456</v>
      </c>
      <c r="R800">
        <f t="shared" si="110"/>
        <v>-4.031681811302669E-4</v>
      </c>
      <c r="S800">
        <f>ABS(SUMIFS($R:$R,$K:$K,K800))</f>
        <v>5.1888207841839281E-3</v>
      </c>
    </row>
    <row r="801" spans="1:18" x14ac:dyDescent="0.2">
      <c r="A801" t="s">
        <v>812</v>
      </c>
      <c r="B801">
        <v>5.5515606000000002</v>
      </c>
      <c r="C801">
        <v>5.2019820000000001E-2</v>
      </c>
      <c r="D801">
        <v>5.6887681499999996</v>
      </c>
      <c r="E801">
        <v>1.0864980500000001</v>
      </c>
      <c r="F801">
        <v>3.2841943200000001</v>
      </c>
      <c r="G801">
        <v>1.27305972</v>
      </c>
      <c r="H801">
        <v>2.5324743399999998</v>
      </c>
      <c r="I801">
        <v>9.8609400000000003E-3</v>
      </c>
      <c r="J801">
        <v>1</v>
      </c>
      <c r="K801">
        <v>950036</v>
      </c>
      <c r="L801">
        <f t="shared" si="106"/>
        <v>1.2631516615384615E-2</v>
      </c>
      <c r="M801">
        <f t="shared" si="107"/>
        <v>4.8963835384615382E-3</v>
      </c>
      <c r="N801">
        <f t="shared" si="108"/>
        <v>9.7402859230769218E-3</v>
      </c>
      <c r="O801">
        <f t="shared" si="109"/>
        <v>7.3183347307692308E-3</v>
      </c>
      <c r="P801">
        <f t="shared" si="105"/>
        <v>2.9437196415113385</v>
      </c>
      <c r="R801">
        <f t="shared" si="110"/>
        <v>-8.1788618018394527E-5</v>
      </c>
    </row>
    <row r="802" spans="1:18" x14ac:dyDescent="0.2">
      <c r="A802" t="s">
        <v>813</v>
      </c>
      <c r="B802">
        <v>5.5380645199999998</v>
      </c>
      <c r="C802">
        <v>4.8322980000000001E-2</v>
      </c>
      <c r="D802">
        <v>5.67443747</v>
      </c>
      <c r="E802">
        <v>1.0864980500000001</v>
      </c>
      <c r="F802">
        <v>3.2629358700000002</v>
      </c>
      <c r="G802">
        <v>1.2693230200000001</v>
      </c>
      <c r="H802">
        <v>2.5212310200000001</v>
      </c>
      <c r="I802">
        <v>9.6783300000000006E-3</v>
      </c>
      <c r="J802">
        <v>1</v>
      </c>
      <c r="K802">
        <v>950036</v>
      </c>
      <c r="L802">
        <f t="shared" si="106"/>
        <v>1.2549753346153847E-2</v>
      </c>
      <c r="M802">
        <f t="shared" si="107"/>
        <v>4.882011615384616E-3</v>
      </c>
      <c r="N802">
        <f t="shared" si="108"/>
        <v>9.6970423846153841E-3</v>
      </c>
      <c r="O802">
        <f t="shared" si="109"/>
        <v>7.2895269999999996E-3</v>
      </c>
      <c r="P802">
        <f t="shared" si="105"/>
        <v>2.7345212913531722</v>
      </c>
      <c r="R802">
        <f t="shared" si="110"/>
        <v>1.7049254353935798E-4</v>
      </c>
    </row>
    <row r="803" spans="1:18" x14ac:dyDescent="0.2">
      <c r="A803" t="s">
        <v>814</v>
      </c>
      <c r="B803">
        <v>5.5562323200000003</v>
      </c>
      <c r="C803">
        <v>0.105624</v>
      </c>
      <c r="D803">
        <v>5.6979807300000003</v>
      </c>
      <c r="E803">
        <v>1.0864980500000001</v>
      </c>
      <c r="F803">
        <v>3.24718887</v>
      </c>
      <c r="G803">
        <v>1.2689153799999999</v>
      </c>
      <c r="H803">
        <v>2.5419922000000001</v>
      </c>
      <c r="I803">
        <v>9.4957199999999992E-3</v>
      </c>
      <c r="J803">
        <v>1</v>
      </c>
      <c r="K803">
        <v>950036</v>
      </c>
      <c r="L803">
        <f t="shared" si="106"/>
        <v>1.2489187961538462E-2</v>
      </c>
      <c r="M803">
        <f t="shared" si="107"/>
        <v>4.8804437692307693E-3</v>
      </c>
      <c r="N803">
        <f t="shared" si="108"/>
        <v>9.7768930769230773E-3</v>
      </c>
      <c r="O803">
        <f t="shared" si="109"/>
        <v>7.3286684230769233E-3</v>
      </c>
      <c r="P803">
        <f t="shared" si="105"/>
        <v>5.9770957188047475</v>
      </c>
      <c r="R803">
        <f t="shared" si="110"/>
        <v>8.2079129295958993E-4</v>
      </c>
    </row>
    <row r="804" spans="1:18" x14ac:dyDescent="0.2">
      <c r="A804" t="s">
        <v>815</v>
      </c>
      <c r="B804">
        <v>5.5943847</v>
      </c>
      <c r="C804">
        <v>0.18972711</v>
      </c>
      <c r="D804">
        <v>5.7430200100000004</v>
      </c>
      <c r="E804">
        <v>1.0272345199999999</v>
      </c>
      <c r="F804">
        <v>3.2355360900000001</v>
      </c>
      <c r="G804">
        <v>1.2761849599999999</v>
      </c>
      <c r="H804">
        <v>2.58579662</v>
      </c>
      <c r="I804">
        <v>9.6783300000000006E-3</v>
      </c>
      <c r="J804">
        <v>1</v>
      </c>
      <c r="K804">
        <v>950037</v>
      </c>
      <c r="L804">
        <f t="shared" si="106"/>
        <v>1.2444369576923077E-2</v>
      </c>
      <c r="M804">
        <f t="shared" si="107"/>
        <v>4.9084036923076916E-3</v>
      </c>
      <c r="N804">
        <f t="shared" si="108"/>
        <v>9.9453716153846145E-3</v>
      </c>
      <c r="O804">
        <f t="shared" si="109"/>
        <v>7.4268876538461544E-3</v>
      </c>
      <c r="P804">
        <f t="shared" si="105"/>
        <v>10.736358184903029</v>
      </c>
      <c r="Q804">
        <f t="shared" ref="Q804" si="112">ABS(0.5*(SUMPRODUCT(O804:O822,P805:P823)+O823*P804-(SUMPRODUCT(O805:O823,P804:P822)+O804*P823)))</f>
        <v>5.1847192512448625E-3</v>
      </c>
      <c r="R804">
        <f t="shared" si="110"/>
        <v>1.8099812841491023E-3</v>
      </c>
    </row>
    <row r="805" spans="1:18" x14ac:dyDescent="0.2">
      <c r="A805" t="s">
        <v>816</v>
      </c>
      <c r="B805">
        <v>5.6481094799999996</v>
      </c>
      <c r="C805">
        <v>0.28320434999999999</v>
      </c>
      <c r="D805">
        <v>5.8023899700000001</v>
      </c>
      <c r="E805">
        <v>0.79018040000000001</v>
      </c>
      <c r="F805">
        <v>3.2265603</v>
      </c>
      <c r="G805">
        <v>1.2896370800000001</v>
      </c>
      <c r="H805">
        <v>2.6426811400000001</v>
      </c>
      <c r="I805">
        <v>9.6783300000000006E-3</v>
      </c>
      <c r="J805">
        <v>1</v>
      </c>
      <c r="K805">
        <v>950037</v>
      </c>
      <c r="L805">
        <f t="shared" si="106"/>
        <v>1.2409847307692307E-2</v>
      </c>
      <c r="M805">
        <f t="shared" si="107"/>
        <v>4.9601426153846155E-3</v>
      </c>
      <c r="N805">
        <f t="shared" si="108"/>
        <v>1.0164158230769231E-2</v>
      </c>
      <c r="O805">
        <f t="shared" si="109"/>
        <v>7.5621504230769234E-3</v>
      </c>
      <c r="P805">
        <f t="shared" si="105"/>
        <v>16.02608789604523</v>
      </c>
      <c r="R805">
        <f t="shared" si="110"/>
        <v>2.8945949139393195E-3</v>
      </c>
    </row>
    <row r="806" spans="1:18" x14ac:dyDescent="0.2">
      <c r="A806" t="s">
        <v>817</v>
      </c>
      <c r="B806">
        <v>5.7106586200000002</v>
      </c>
      <c r="C806">
        <v>0.39199707</v>
      </c>
      <c r="D806">
        <v>5.8679016500000003</v>
      </c>
      <c r="E806">
        <v>0.67165333999999999</v>
      </c>
      <c r="F806">
        <v>3.22750512</v>
      </c>
      <c r="G806">
        <v>1.30519534</v>
      </c>
      <c r="H806">
        <v>2.7059109000000001</v>
      </c>
      <c r="I806">
        <v>9.6783300000000006E-3</v>
      </c>
      <c r="J806">
        <v>1</v>
      </c>
      <c r="K806">
        <v>950037</v>
      </c>
      <c r="L806">
        <f t="shared" si="106"/>
        <v>1.2413481230769231E-2</v>
      </c>
      <c r="M806">
        <f t="shared" si="107"/>
        <v>5.0199820769230774E-3</v>
      </c>
      <c r="N806">
        <f t="shared" si="108"/>
        <v>1.0407349615384616E-2</v>
      </c>
      <c r="O806">
        <f t="shared" si="109"/>
        <v>7.7136658461538464E-3</v>
      </c>
      <c r="P806">
        <f t="shared" si="105"/>
        <v>22.18249648641412</v>
      </c>
      <c r="R806">
        <f t="shared" si="110"/>
        <v>3.8298007062073742E-3</v>
      </c>
    </row>
    <row r="807" spans="1:18" x14ac:dyDescent="0.2">
      <c r="A807" t="s">
        <v>818</v>
      </c>
      <c r="B807">
        <v>5.7708719000000004</v>
      </c>
      <c r="C807">
        <v>0.52745984999999995</v>
      </c>
      <c r="D807">
        <v>5.9369959999999997</v>
      </c>
      <c r="E807">
        <v>0.53337177000000002</v>
      </c>
      <c r="F807">
        <v>3.2341188600000002</v>
      </c>
      <c r="G807">
        <v>1.3194627400000001</v>
      </c>
      <c r="H807">
        <v>2.7681944399999998</v>
      </c>
      <c r="I807">
        <v>9.6783300000000006E-3</v>
      </c>
      <c r="J807">
        <v>1</v>
      </c>
      <c r="K807">
        <v>950037</v>
      </c>
      <c r="L807">
        <f t="shared" si="106"/>
        <v>1.2438918692307692E-2</v>
      </c>
      <c r="M807">
        <f t="shared" si="107"/>
        <v>5.0748566923076929E-3</v>
      </c>
      <c r="N807">
        <f t="shared" si="108"/>
        <v>1.0646901692307692E-2</v>
      </c>
      <c r="O807">
        <f t="shared" si="109"/>
        <v>7.8608791923076918E-3</v>
      </c>
      <c r="P807">
        <f t="shared" si="105"/>
        <v>29.848121745781206</v>
      </c>
      <c r="R807">
        <f t="shared" si="110"/>
        <v>4.4232978813737523E-3</v>
      </c>
    </row>
    <row r="808" spans="1:18" x14ac:dyDescent="0.2">
      <c r="A808" t="s">
        <v>819</v>
      </c>
      <c r="B808">
        <v>5.8303065600000004</v>
      </c>
      <c r="C808">
        <v>0.70636049999999995</v>
      </c>
      <c r="D808">
        <v>6.0040431099999996</v>
      </c>
      <c r="E808">
        <v>0.53337177000000002</v>
      </c>
      <c r="F808">
        <v>3.2441969400000001</v>
      </c>
      <c r="G808">
        <v>1.33046902</v>
      </c>
      <c r="H808">
        <v>2.8230751999999999</v>
      </c>
      <c r="I808">
        <v>9.6783300000000006E-3</v>
      </c>
      <c r="J808">
        <v>1</v>
      </c>
      <c r="K808">
        <v>950037</v>
      </c>
      <c r="L808">
        <f t="shared" si="106"/>
        <v>1.2477680538461539E-2</v>
      </c>
      <c r="M808">
        <f t="shared" si="107"/>
        <v>5.1171885384615383E-3</v>
      </c>
      <c r="N808">
        <f t="shared" si="108"/>
        <v>1.0857981538461538E-2</v>
      </c>
      <c r="O808">
        <f t="shared" si="109"/>
        <v>7.9875850384615379E-3</v>
      </c>
      <c r="P808">
        <f t="shared" si="105"/>
        <v>39.971827619506747</v>
      </c>
      <c r="R808">
        <f t="shared" si="110"/>
        <v>2.7819608678804966E-3</v>
      </c>
    </row>
    <row r="809" spans="1:18" x14ac:dyDescent="0.2">
      <c r="A809" t="s">
        <v>820</v>
      </c>
      <c r="B809">
        <v>5.8692375600000002</v>
      </c>
      <c r="C809">
        <v>0.82518749999999996</v>
      </c>
      <c r="D809">
        <v>6.0429406700000001</v>
      </c>
      <c r="E809">
        <v>0.47410824000000001</v>
      </c>
      <c r="F809">
        <v>3.2615186399999998</v>
      </c>
      <c r="G809">
        <v>1.33563246</v>
      </c>
      <c r="H809">
        <v>2.8512948200000001</v>
      </c>
      <c r="I809">
        <v>9.8609400000000003E-3</v>
      </c>
      <c r="J809">
        <v>1</v>
      </c>
      <c r="K809">
        <v>950037</v>
      </c>
      <c r="L809">
        <f t="shared" si="106"/>
        <v>1.254430246153846E-2</v>
      </c>
      <c r="M809">
        <f t="shared" si="107"/>
        <v>5.1370479230769235E-3</v>
      </c>
      <c r="N809">
        <f t="shared" si="108"/>
        <v>1.0966518538461539E-2</v>
      </c>
      <c r="O809">
        <f t="shared" si="109"/>
        <v>8.05178323076923E-3</v>
      </c>
      <c r="P809">
        <f t="shared" si="105"/>
        <v>46.696060303162092</v>
      </c>
      <c r="R809">
        <f t="shared" si="110"/>
        <v>9.4291015313072244E-4</v>
      </c>
    </row>
    <row r="810" spans="1:18" x14ac:dyDescent="0.2">
      <c r="A810" t="s">
        <v>821</v>
      </c>
      <c r="B810">
        <v>5.8850695000000002</v>
      </c>
      <c r="C810">
        <v>0.85304583</v>
      </c>
      <c r="D810">
        <v>6.0490823899999997</v>
      </c>
      <c r="E810">
        <v>0.47410824000000001</v>
      </c>
      <c r="F810">
        <v>3.2793127499999999</v>
      </c>
      <c r="G810">
        <v>1.3373309600000001</v>
      </c>
      <c r="H810">
        <v>2.8599221199999998</v>
      </c>
      <c r="I810">
        <v>9.6783300000000006E-3</v>
      </c>
      <c r="J810">
        <v>1</v>
      </c>
      <c r="K810">
        <v>950037</v>
      </c>
      <c r="L810">
        <f t="shared" si="106"/>
        <v>1.2612741346153845E-2</v>
      </c>
      <c r="M810">
        <f t="shared" si="107"/>
        <v>5.1435806153846157E-3</v>
      </c>
      <c r="N810">
        <f t="shared" si="108"/>
        <v>1.0999700461538461E-2</v>
      </c>
      <c r="O810">
        <f t="shared" si="109"/>
        <v>8.0716405384615372E-3</v>
      </c>
      <c r="P810">
        <f t="shared" si="105"/>
        <v>48.272519298996841</v>
      </c>
      <c r="R810">
        <f t="shared" si="110"/>
        <v>2.4474966548730957E-4</v>
      </c>
    </row>
    <row r="811" spans="1:18" x14ac:dyDescent="0.2">
      <c r="A811" t="s">
        <v>822</v>
      </c>
      <c r="B811">
        <v>5.8809168600000001</v>
      </c>
      <c r="C811">
        <v>0.85463018999999996</v>
      </c>
      <c r="D811">
        <v>6.0526650599999998</v>
      </c>
      <c r="E811">
        <v>0.47410824000000001</v>
      </c>
      <c r="F811">
        <v>3.2928551700000002</v>
      </c>
      <c r="G811">
        <v>1.3377386</v>
      </c>
      <c r="H811">
        <v>2.8621485199999999</v>
      </c>
      <c r="I811">
        <v>9.4957199999999992E-3</v>
      </c>
      <c r="J811">
        <v>1</v>
      </c>
      <c r="K811">
        <v>950037</v>
      </c>
      <c r="L811">
        <f t="shared" si="106"/>
        <v>1.2664827576923077E-2</v>
      </c>
      <c r="M811">
        <f t="shared" si="107"/>
        <v>5.1451484615384615E-3</v>
      </c>
      <c r="N811">
        <f t="shared" si="108"/>
        <v>1.1008263538461538E-2</v>
      </c>
      <c r="O811">
        <f t="shared" si="109"/>
        <v>8.0767059999999995E-3</v>
      </c>
      <c r="P811">
        <f t="shared" si="105"/>
        <v>48.362175734778916</v>
      </c>
      <c r="R811">
        <f t="shared" si="110"/>
        <v>-8.7783826636062305E-5</v>
      </c>
    </row>
    <row r="812" spans="1:18" x14ac:dyDescent="0.2">
      <c r="A812" t="s">
        <v>823</v>
      </c>
      <c r="B812">
        <v>5.8785809999999996</v>
      </c>
      <c r="C812">
        <v>0.81713367000000003</v>
      </c>
      <c r="D812">
        <v>6.0511296300000001</v>
      </c>
      <c r="E812">
        <v>0.47410824000000001</v>
      </c>
      <c r="F812">
        <v>3.3048228900000001</v>
      </c>
      <c r="G812">
        <v>1.3379424200000001</v>
      </c>
      <c r="H812">
        <v>2.8609796599999999</v>
      </c>
      <c r="I812">
        <v>9.4957199999999992E-3</v>
      </c>
      <c r="J812">
        <v>1</v>
      </c>
      <c r="K812">
        <v>950037</v>
      </c>
      <c r="L812">
        <f t="shared" si="106"/>
        <v>1.2710857269230769E-2</v>
      </c>
      <c r="M812">
        <f t="shared" si="107"/>
        <v>5.1459323846153853E-3</v>
      </c>
      <c r="N812">
        <f t="shared" si="108"/>
        <v>1.1003767923076923E-2</v>
      </c>
      <c r="O812">
        <f t="shared" si="109"/>
        <v>8.0748501538461543E-3</v>
      </c>
      <c r="P812">
        <f t="shared" si="105"/>
        <v>46.240306754603232</v>
      </c>
      <c r="R812">
        <f t="shared" si="110"/>
        <v>-1.0286560789239602E-3</v>
      </c>
    </row>
    <row r="813" spans="1:18" x14ac:dyDescent="0.2">
      <c r="A813" t="s">
        <v>824</v>
      </c>
      <c r="B813">
        <v>5.8635276799999998</v>
      </c>
      <c r="C813">
        <v>0.70596440999999999</v>
      </c>
      <c r="D813">
        <v>6.0321926599999998</v>
      </c>
      <c r="E813">
        <v>0.47410824000000001</v>
      </c>
      <c r="F813">
        <v>3.3191526599999999</v>
      </c>
      <c r="G813">
        <v>1.3379424200000001</v>
      </c>
      <c r="H813">
        <v>2.8485674799999998</v>
      </c>
      <c r="I813">
        <v>9.6783300000000006E-3</v>
      </c>
      <c r="J813">
        <v>1</v>
      </c>
      <c r="K813">
        <v>950037</v>
      </c>
      <c r="L813">
        <f t="shared" si="106"/>
        <v>1.2765971769230769E-2</v>
      </c>
      <c r="M813">
        <f t="shared" si="107"/>
        <v>5.1459323846153853E-3</v>
      </c>
      <c r="N813">
        <f t="shared" si="108"/>
        <v>1.0956028769230769E-2</v>
      </c>
      <c r="O813">
        <f t="shared" si="109"/>
        <v>8.0509805769230763E-3</v>
      </c>
      <c r="P813">
        <f t="shared" si="105"/>
        <v>39.949413510561229</v>
      </c>
      <c r="R813">
        <f t="shared" si="110"/>
        <v>-1.0491296013287403E-3</v>
      </c>
    </row>
    <row r="814" spans="1:18" x14ac:dyDescent="0.2">
      <c r="A814" t="s">
        <v>825</v>
      </c>
      <c r="B814">
        <v>5.8453598800000002</v>
      </c>
      <c r="C814">
        <v>0.61288326000000004</v>
      </c>
      <c r="D814">
        <v>6.0178619800000002</v>
      </c>
      <c r="E814">
        <v>0.47410824000000001</v>
      </c>
      <c r="F814">
        <v>3.3298606199999998</v>
      </c>
      <c r="G814">
        <v>1.3377386</v>
      </c>
      <c r="H814">
        <v>2.8341515400000001</v>
      </c>
      <c r="I814">
        <v>9.6783300000000006E-3</v>
      </c>
      <c r="J814">
        <v>1</v>
      </c>
      <c r="K814">
        <v>950037</v>
      </c>
      <c r="L814">
        <f t="shared" si="106"/>
        <v>1.280715623076923E-2</v>
      </c>
      <c r="M814">
        <f t="shared" si="107"/>
        <v>5.1451484615384615E-3</v>
      </c>
      <c r="N814">
        <f t="shared" si="108"/>
        <v>1.0900582846153847E-2</v>
      </c>
      <c r="O814">
        <f t="shared" si="109"/>
        <v>8.0228656538461549E-3</v>
      </c>
      <c r="P814">
        <f t="shared" si="105"/>
        <v>34.682097908364554</v>
      </c>
      <c r="R814">
        <f t="shared" si="110"/>
        <v>-1.3271047851477946E-3</v>
      </c>
    </row>
    <row r="815" spans="1:18" x14ac:dyDescent="0.2">
      <c r="A815" t="s">
        <v>826</v>
      </c>
      <c r="B815">
        <v>5.82485622</v>
      </c>
      <c r="C815">
        <v>0.52138647000000005</v>
      </c>
      <c r="D815">
        <v>5.9881770000000003</v>
      </c>
      <c r="E815">
        <v>0.47410824000000001</v>
      </c>
      <c r="F815">
        <v>3.3345847200000001</v>
      </c>
      <c r="G815">
        <v>1.3373309600000001</v>
      </c>
      <c r="H815">
        <v>2.8130563999999998</v>
      </c>
      <c r="I815">
        <v>9.8609400000000003E-3</v>
      </c>
      <c r="J815">
        <v>1</v>
      </c>
      <c r="K815">
        <v>950037</v>
      </c>
      <c r="L815">
        <f t="shared" si="106"/>
        <v>1.2825325846153847E-2</v>
      </c>
      <c r="M815">
        <f t="shared" si="107"/>
        <v>5.1435806153846157E-3</v>
      </c>
      <c r="N815">
        <f t="shared" si="108"/>
        <v>1.0819447692307691E-2</v>
      </c>
      <c r="O815">
        <f t="shared" si="109"/>
        <v>7.9815141538461531E-3</v>
      </c>
      <c r="P815">
        <f t="shared" si="105"/>
        <v>29.50443874194994</v>
      </c>
      <c r="R815">
        <f t="shared" si="110"/>
        <v>-2.0236082162515736E-3</v>
      </c>
    </row>
    <row r="816" spans="1:18" x14ac:dyDescent="0.2">
      <c r="A816" t="s">
        <v>827</v>
      </c>
      <c r="B816">
        <v>5.7947495800000004</v>
      </c>
      <c r="C816">
        <v>0.41866713</v>
      </c>
      <c r="D816">
        <v>5.9462085800000004</v>
      </c>
      <c r="E816">
        <v>0.47410824000000001</v>
      </c>
      <c r="F816">
        <v>3.3374191799999999</v>
      </c>
      <c r="G816">
        <v>1.3327789800000001</v>
      </c>
      <c r="H816">
        <v>2.77804626</v>
      </c>
      <c r="I816">
        <v>9.8609400000000003E-3</v>
      </c>
      <c r="J816">
        <v>1</v>
      </c>
      <c r="K816">
        <v>950037</v>
      </c>
      <c r="L816">
        <f t="shared" si="106"/>
        <v>1.2836227615384615E-2</v>
      </c>
      <c r="M816">
        <f t="shared" si="107"/>
        <v>5.1260730000000001E-3</v>
      </c>
      <c r="N816">
        <f t="shared" si="108"/>
        <v>1.0684793307692307E-2</v>
      </c>
      <c r="O816">
        <f t="shared" si="109"/>
        <v>7.9054331538461545E-3</v>
      </c>
      <c r="P816">
        <f t="shared" si="105"/>
        <v>23.691713155412319</v>
      </c>
      <c r="R816">
        <f t="shared" si="110"/>
        <v>-2.2205558054195964E-3</v>
      </c>
    </row>
    <row r="817" spans="1:19" x14ac:dyDescent="0.2">
      <c r="A817" t="s">
        <v>828</v>
      </c>
      <c r="B817">
        <v>5.7495896200000001</v>
      </c>
      <c r="C817">
        <v>0.32400161999999999</v>
      </c>
      <c r="D817">
        <v>5.8960511999999996</v>
      </c>
      <c r="E817">
        <v>0.47410824000000001</v>
      </c>
      <c r="F817">
        <v>3.3394662899999998</v>
      </c>
      <c r="G817">
        <v>1.32469412</v>
      </c>
      <c r="H817">
        <v>2.73118054</v>
      </c>
      <c r="I817">
        <v>9.8609400000000003E-3</v>
      </c>
      <c r="J817">
        <v>1</v>
      </c>
      <c r="K817">
        <v>950037</v>
      </c>
      <c r="L817">
        <f t="shared" si="106"/>
        <v>1.2844101115384615E-2</v>
      </c>
      <c r="M817">
        <f t="shared" si="107"/>
        <v>5.0949773846153843E-3</v>
      </c>
      <c r="N817">
        <f t="shared" si="108"/>
        <v>1.0504540538461539E-2</v>
      </c>
      <c r="O817">
        <f t="shared" si="109"/>
        <v>7.7997589615384612E-3</v>
      </c>
      <c r="P817">
        <f t="shared" si="105"/>
        <v>18.334741117433563</v>
      </c>
      <c r="R817">
        <f t="shared" si="110"/>
        <v>-1.9797490533950413E-3</v>
      </c>
    </row>
    <row r="818" spans="1:19" x14ac:dyDescent="0.2">
      <c r="A818" t="s">
        <v>829</v>
      </c>
      <c r="B818">
        <v>5.6979411600000001</v>
      </c>
      <c r="C818">
        <v>0.24095475</v>
      </c>
      <c r="D818">
        <v>5.8366812399999999</v>
      </c>
      <c r="E818">
        <v>0.47410824000000001</v>
      </c>
      <c r="F818">
        <v>3.3322226700000002</v>
      </c>
      <c r="G818">
        <v>1.3132801999999999</v>
      </c>
      <c r="H818">
        <v>2.6781922200000001</v>
      </c>
      <c r="I818">
        <v>9.8609400000000003E-3</v>
      </c>
      <c r="J818">
        <v>1</v>
      </c>
      <c r="K818">
        <v>950037</v>
      </c>
      <c r="L818">
        <f t="shared" si="106"/>
        <v>1.2816241038461539E-2</v>
      </c>
      <c r="M818">
        <f t="shared" si="107"/>
        <v>5.0510776923076922E-3</v>
      </c>
      <c r="N818">
        <f t="shared" si="108"/>
        <v>1.0300739307692309E-2</v>
      </c>
      <c r="O818">
        <f t="shared" si="109"/>
        <v>7.6759085000000001E-3</v>
      </c>
      <c r="P818">
        <f t="shared" si="105"/>
        <v>13.635249608523331</v>
      </c>
      <c r="R818">
        <f t="shared" si="110"/>
        <v>-1.5206146905297384E-3</v>
      </c>
    </row>
    <row r="819" spans="1:19" x14ac:dyDescent="0.2">
      <c r="A819" t="s">
        <v>830</v>
      </c>
      <c r="B819">
        <v>5.6473308600000003</v>
      </c>
      <c r="C819">
        <v>0.16596171000000001</v>
      </c>
      <c r="D819">
        <v>5.7839648099999996</v>
      </c>
      <c r="E819">
        <v>0.53337177000000002</v>
      </c>
      <c r="F819">
        <v>3.3197825399999998</v>
      </c>
      <c r="G819">
        <v>1.2991486800000001</v>
      </c>
      <c r="H819">
        <v>2.6236454199999999</v>
      </c>
      <c r="I819">
        <v>9.6783300000000006E-3</v>
      </c>
      <c r="J819">
        <v>1</v>
      </c>
      <c r="K819">
        <v>950037</v>
      </c>
      <c r="L819">
        <f t="shared" si="106"/>
        <v>1.2768394384615384E-2</v>
      </c>
      <c r="M819">
        <f t="shared" si="107"/>
        <v>4.9967256923076925E-3</v>
      </c>
      <c r="N819">
        <f t="shared" si="108"/>
        <v>1.0090943923076922E-2</v>
      </c>
      <c r="O819">
        <f t="shared" si="109"/>
        <v>7.5438348076923073E-3</v>
      </c>
      <c r="P819">
        <f t="shared" si="105"/>
        <v>9.39151164817196</v>
      </c>
      <c r="R819">
        <f t="shared" si="110"/>
        <v>-9.9805106404131719E-4</v>
      </c>
    </row>
    <row r="820" spans="1:19" x14ac:dyDescent="0.2">
      <c r="A820" t="s">
        <v>831</v>
      </c>
      <c r="B820">
        <v>5.5951633200000002</v>
      </c>
      <c r="C820">
        <v>0.10153107</v>
      </c>
      <c r="D820">
        <v>5.7276657100000001</v>
      </c>
      <c r="E820">
        <v>0.84944392999999996</v>
      </c>
      <c r="F820">
        <v>3.30576771</v>
      </c>
      <c r="G820">
        <v>1.2840659999999999</v>
      </c>
      <c r="H820">
        <v>2.5701561599999998</v>
      </c>
      <c r="I820">
        <v>1.004355E-2</v>
      </c>
      <c r="J820">
        <v>1</v>
      </c>
      <c r="K820">
        <v>950037</v>
      </c>
      <c r="L820">
        <f t="shared" si="106"/>
        <v>1.2714491192307692E-2</v>
      </c>
      <c r="M820">
        <f t="shared" si="107"/>
        <v>4.9387153846153845E-3</v>
      </c>
      <c r="N820">
        <f t="shared" si="108"/>
        <v>9.8852159999999988E-3</v>
      </c>
      <c r="O820">
        <f t="shared" si="109"/>
        <v>7.4119656923076925E-3</v>
      </c>
      <c r="P820">
        <f t="shared" si="105"/>
        <v>5.7454832597010634</v>
      </c>
      <c r="R820">
        <f t="shared" si="110"/>
        <v>-4.0957700707060229E-4</v>
      </c>
    </row>
    <row r="821" spans="1:19" x14ac:dyDescent="0.2">
      <c r="A821" t="s">
        <v>832</v>
      </c>
      <c r="B821">
        <v>5.55467508</v>
      </c>
      <c r="C821">
        <v>5.3604180000000001E-2</v>
      </c>
      <c r="D821">
        <v>5.6903035800000001</v>
      </c>
      <c r="E821">
        <v>1.0864980500000001</v>
      </c>
      <c r="F821">
        <v>3.28750119</v>
      </c>
      <c r="G821">
        <v>1.27305972</v>
      </c>
      <c r="H821">
        <v>2.5326413200000002</v>
      </c>
      <c r="I821">
        <v>9.8609400000000003E-3</v>
      </c>
      <c r="J821">
        <v>1</v>
      </c>
      <c r="K821">
        <v>950037</v>
      </c>
      <c r="L821">
        <f t="shared" si="106"/>
        <v>1.2644235346153845E-2</v>
      </c>
      <c r="M821">
        <f t="shared" si="107"/>
        <v>4.8963835384615382E-3</v>
      </c>
      <c r="N821">
        <f t="shared" si="108"/>
        <v>9.740928153846154E-3</v>
      </c>
      <c r="O821">
        <f t="shared" si="109"/>
        <v>7.3186558461538469E-3</v>
      </c>
      <c r="P821">
        <f t="shared" si="105"/>
        <v>3.0333760772934095</v>
      </c>
      <c r="R821">
        <f t="shared" si="110"/>
        <v>-7.5005309789650737E-5</v>
      </c>
      <c r="S821">
        <f>ABS(SUMIFS($R:$R,$K:$K,K821))</f>
        <v>5.182406702422369E-3</v>
      </c>
    </row>
    <row r="822" spans="1:19" x14ac:dyDescent="0.2">
      <c r="A822" t="s">
        <v>833</v>
      </c>
      <c r="B822">
        <v>5.5435148600000002</v>
      </c>
      <c r="C822">
        <v>5.2019820000000001E-2</v>
      </c>
      <c r="D822">
        <v>5.6775083300000002</v>
      </c>
      <c r="E822">
        <v>1.20502511</v>
      </c>
      <c r="F822">
        <v>3.2645105700000001</v>
      </c>
      <c r="G822">
        <v>1.2695268399999999</v>
      </c>
      <c r="H822">
        <v>2.5231234599999999</v>
      </c>
      <c r="I822">
        <v>9.8609400000000003E-3</v>
      </c>
      <c r="J822">
        <v>1</v>
      </c>
      <c r="K822">
        <v>950037</v>
      </c>
      <c r="L822">
        <f t="shared" si="106"/>
        <v>1.2555809884615386E-2</v>
      </c>
      <c r="M822">
        <f t="shared" si="107"/>
        <v>4.882795538461538E-3</v>
      </c>
      <c r="N822">
        <f t="shared" si="108"/>
        <v>9.7043210000000001E-3</v>
      </c>
      <c r="O822">
        <f t="shared" si="109"/>
        <v>7.2935582692307691E-3</v>
      </c>
      <c r="P822">
        <f t="shared" si="105"/>
        <v>2.9437196415113385</v>
      </c>
      <c r="R822">
        <f t="shared" si="110"/>
        <v>1.8263530631232598E-4</v>
      </c>
    </row>
    <row r="823" spans="1:19" x14ac:dyDescent="0.2">
      <c r="A823" t="s">
        <v>834</v>
      </c>
      <c r="B823">
        <v>5.5577895599999998</v>
      </c>
      <c r="C823">
        <v>0.11037708</v>
      </c>
      <c r="D823">
        <v>5.7041224499999998</v>
      </c>
      <c r="E823">
        <v>1.20502511</v>
      </c>
      <c r="F823">
        <v>3.2486060999999999</v>
      </c>
      <c r="G823">
        <v>1.2693230200000001</v>
      </c>
      <c r="H823">
        <v>2.5439959600000002</v>
      </c>
      <c r="I823">
        <v>9.6783300000000006E-3</v>
      </c>
      <c r="J823">
        <v>1</v>
      </c>
      <c r="K823">
        <v>950037</v>
      </c>
      <c r="L823">
        <f t="shared" si="106"/>
        <v>1.2494638846153846E-2</v>
      </c>
      <c r="M823">
        <f t="shared" si="107"/>
        <v>4.882011615384616E-3</v>
      </c>
      <c r="N823">
        <f t="shared" si="108"/>
        <v>9.7845998461538464E-3</v>
      </c>
      <c r="O823">
        <f t="shared" si="109"/>
        <v>7.3333057307692307E-3</v>
      </c>
      <c r="P823">
        <f t="shared" si="105"/>
        <v>6.2460650261509612</v>
      </c>
      <c r="R823">
        <f t="shared" si="110"/>
        <v>7.923113624760434E-4</v>
      </c>
    </row>
    <row r="824" spans="1:19" x14ac:dyDescent="0.2">
      <c r="A824" t="s">
        <v>835</v>
      </c>
      <c r="B824">
        <v>5.5936060799999998</v>
      </c>
      <c r="C824">
        <v>0.18972711</v>
      </c>
      <c r="D824">
        <v>5.7368782899999999</v>
      </c>
      <c r="E824">
        <v>1.1457615800000001</v>
      </c>
      <c r="F824">
        <v>3.23711079</v>
      </c>
      <c r="G824">
        <v>1.2757093799999999</v>
      </c>
      <c r="H824">
        <v>2.5861305799999998</v>
      </c>
      <c r="I824">
        <v>9.6783300000000006E-3</v>
      </c>
      <c r="J824">
        <v>1</v>
      </c>
      <c r="K824">
        <v>950038</v>
      </c>
      <c r="L824">
        <f t="shared" si="106"/>
        <v>1.2450426115384616E-2</v>
      </c>
      <c r="M824">
        <f t="shared" si="107"/>
        <v>4.9065745384615379E-3</v>
      </c>
      <c r="N824">
        <f t="shared" si="108"/>
        <v>9.9466560769230772E-3</v>
      </c>
      <c r="O824">
        <f t="shared" si="109"/>
        <v>7.4266153076923075E-3</v>
      </c>
      <c r="P824">
        <f t="shared" si="105"/>
        <v>10.736358184903029</v>
      </c>
      <c r="Q824">
        <f t="shared" ref="Q824" si="113">ABS(0.5*(SUMPRODUCT(O824:O842,P825:P843)+O843*P824-(SUMPRODUCT(O825:O843,P824:P842)+O824*P843)))</f>
        <v>5.2263762566329142E-3</v>
      </c>
      <c r="R824">
        <f t="shared" si="110"/>
        <v>1.7825991845089061E-3</v>
      </c>
    </row>
    <row r="825" spans="1:19" x14ac:dyDescent="0.2">
      <c r="A825" t="s">
        <v>836</v>
      </c>
      <c r="B825">
        <v>5.6465522400000001</v>
      </c>
      <c r="C825">
        <v>0.28320434999999999</v>
      </c>
      <c r="D825">
        <v>5.7977836800000002</v>
      </c>
      <c r="E825">
        <v>0.90870746000000002</v>
      </c>
      <c r="F825">
        <v>3.22797753</v>
      </c>
      <c r="G825">
        <v>1.28943326</v>
      </c>
      <c r="H825">
        <v>2.6416792600000001</v>
      </c>
      <c r="I825">
        <v>9.6783300000000006E-3</v>
      </c>
      <c r="J825">
        <v>1</v>
      </c>
      <c r="K825">
        <v>950038</v>
      </c>
      <c r="L825">
        <f t="shared" si="106"/>
        <v>1.2415298192307692E-2</v>
      </c>
      <c r="M825">
        <f t="shared" si="107"/>
        <v>4.9593586923076926E-3</v>
      </c>
      <c r="N825">
        <f t="shared" si="108"/>
        <v>1.0160304846153847E-2</v>
      </c>
      <c r="O825">
        <f t="shared" si="109"/>
        <v>7.5598317692307697E-3</v>
      </c>
      <c r="P825">
        <f t="shared" si="105"/>
        <v>16.02608789604523</v>
      </c>
      <c r="R825">
        <f t="shared" si="110"/>
        <v>2.8935833797142834E-3</v>
      </c>
    </row>
    <row r="826" spans="1:19" x14ac:dyDescent="0.2">
      <c r="A826" t="s">
        <v>837</v>
      </c>
      <c r="B826">
        <v>5.7067655200000003</v>
      </c>
      <c r="C826">
        <v>0.39080880000000001</v>
      </c>
      <c r="D826">
        <v>5.8679016500000003</v>
      </c>
      <c r="E826">
        <v>0.84944392999999996</v>
      </c>
      <c r="F826">
        <v>3.22703271</v>
      </c>
      <c r="G826">
        <v>1.30499152</v>
      </c>
      <c r="H826">
        <v>2.7050203399999999</v>
      </c>
      <c r="I826">
        <v>9.8609400000000003E-3</v>
      </c>
      <c r="J826">
        <v>1</v>
      </c>
      <c r="K826">
        <v>950038</v>
      </c>
      <c r="L826">
        <f t="shared" si="106"/>
        <v>1.2411664269230769E-2</v>
      </c>
      <c r="M826">
        <f t="shared" si="107"/>
        <v>5.0191981538461536E-3</v>
      </c>
      <c r="N826">
        <f t="shared" si="108"/>
        <v>1.0403924384615385E-2</v>
      </c>
      <c r="O826">
        <f t="shared" si="109"/>
        <v>7.7115612692307683E-3</v>
      </c>
      <c r="P826">
        <f t="shared" si="105"/>
        <v>22.115254159577567</v>
      </c>
      <c r="R826">
        <f t="shared" si="110"/>
        <v>3.8155247265932255E-3</v>
      </c>
    </row>
    <row r="827" spans="1:19" x14ac:dyDescent="0.2">
      <c r="A827" t="s">
        <v>838</v>
      </c>
      <c r="B827">
        <v>5.7716505199999997</v>
      </c>
      <c r="C827">
        <v>0.52455518999999995</v>
      </c>
      <c r="D827">
        <v>5.9339251400000004</v>
      </c>
      <c r="E827">
        <v>0.67165333999999999</v>
      </c>
      <c r="F827">
        <v>3.2355360900000001</v>
      </c>
      <c r="G827">
        <v>1.31925892</v>
      </c>
      <c r="H827">
        <v>2.7673595400000002</v>
      </c>
      <c r="I827">
        <v>9.6783300000000006E-3</v>
      </c>
      <c r="J827">
        <v>1</v>
      </c>
      <c r="K827">
        <v>950038</v>
      </c>
      <c r="L827">
        <f t="shared" si="106"/>
        <v>1.2444369576923077E-2</v>
      </c>
      <c r="M827">
        <f t="shared" si="107"/>
        <v>5.0740727692307691E-3</v>
      </c>
      <c r="N827">
        <f t="shared" si="108"/>
        <v>1.0643690538461538E-2</v>
      </c>
      <c r="O827">
        <f t="shared" si="109"/>
        <v>7.8588816538461542E-3</v>
      </c>
      <c r="P827">
        <f t="shared" si="105"/>
        <v>29.683751613514076</v>
      </c>
      <c r="R827">
        <f t="shared" si="110"/>
        <v>4.4136285728512796E-3</v>
      </c>
    </row>
    <row r="828" spans="1:19" x14ac:dyDescent="0.2">
      <c r="A828" t="s">
        <v>839</v>
      </c>
      <c r="B828">
        <v>5.8310851799999996</v>
      </c>
      <c r="C828">
        <v>0.70345584000000005</v>
      </c>
      <c r="D828">
        <v>6.0009722500000002</v>
      </c>
      <c r="E828">
        <v>0.61238981000000003</v>
      </c>
      <c r="F828">
        <v>3.2495509199999999</v>
      </c>
      <c r="G828">
        <v>1.3302651999999999</v>
      </c>
      <c r="H828">
        <v>2.8224072800000002</v>
      </c>
      <c r="I828">
        <v>9.6783300000000006E-3</v>
      </c>
      <c r="J828">
        <v>1</v>
      </c>
      <c r="K828">
        <v>950038</v>
      </c>
      <c r="L828">
        <f t="shared" si="106"/>
        <v>1.2498272769230769E-2</v>
      </c>
      <c r="M828">
        <f t="shared" si="107"/>
        <v>5.1164046153846154E-3</v>
      </c>
      <c r="N828">
        <f t="shared" si="108"/>
        <v>1.0855412615384617E-2</v>
      </c>
      <c r="O828">
        <f t="shared" si="109"/>
        <v>7.9859086153846147E-3</v>
      </c>
      <c r="P828">
        <f t="shared" si="105"/>
        <v>39.807457487239624</v>
      </c>
      <c r="R828">
        <f t="shared" si="110"/>
        <v>2.849300985175583E-3</v>
      </c>
    </row>
    <row r="829" spans="1:19" x14ac:dyDescent="0.2">
      <c r="A829" t="s">
        <v>840</v>
      </c>
      <c r="B829">
        <v>5.8700161800000004</v>
      </c>
      <c r="C829">
        <v>0.82360314000000001</v>
      </c>
      <c r="D829">
        <v>6.0398698099999999</v>
      </c>
      <c r="E829">
        <v>0.61238981000000003</v>
      </c>
      <c r="F829">
        <v>3.2619910499999998</v>
      </c>
      <c r="G829">
        <v>1.3358362800000001</v>
      </c>
      <c r="H829">
        <v>2.8511278400000002</v>
      </c>
      <c r="I829">
        <v>9.6783300000000006E-3</v>
      </c>
      <c r="J829">
        <v>1</v>
      </c>
      <c r="K829">
        <v>950038</v>
      </c>
      <c r="L829">
        <f t="shared" si="106"/>
        <v>1.2546119423076922E-2</v>
      </c>
      <c r="M829">
        <f t="shared" si="107"/>
        <v>5.1378318461538465E-3</v>
      </c>
      <c r="N829">
        <f t="shared" si="108"/>
        <v>1.0965876307692309E-2</v>
      </c>
      <c r="O829">
        <f t="shared" si="109"/>
        <v>8.0518540769230779E-3</v>
      </c>
      <c r="P829">
        <f t="shared" si="105"/>
        <v>46.606403867380024</v>
      </c>
      <c r="R829">
        <f t="shared" si="110"/>
        <v>9.236436902634687E-4</v>
      </c>
    </row>
    <row r="830" spans="1:19" x14ac:dyDescent="0.2">
      <c r="A830" t="s">
        <v>841</v>
      </c>
      <c r="B830">
        <v>5.8816954800000003</v>
      </c>
      <c r="C830">
        <v>0.85344191999999997</v>
      </c>
      <c r="D830">
        <v>6.0490823899999997</v>
      </c>
      <c r="E830">
        <v>0.53337177000000002</v>
      </c>
      <c r="F830">
        <v>3.2793127499999999</v>
      </c>
      <c r="G830">
        <v>1.3373309600000001</v>
      </c>
      <c r="H830">
        <v>2.8597551399999999</v>
      </c>
      <c r="I830">
        <v>9.6783300000000006E-3</v>
      </c>
      <c r="J830">
        <v>1</v>
      </c>
      <c r="K830">
        <v>950038</v>
      </c>
      <c r="L830">
        <f t="shared" si="106"/>
        <v>1.2612741346153845E-2</v>
      </c>
      <c r="M830">
        <f t="shared" si="107"/>
        <v>5.1435806153846157E-3</v>
      </c>
      <c r="N830">
        <f t="shared" si="108"/>
        <v>1.0999058230769231E-2</v>
      </c>
      <c r="O830">
        <f t="shared" si="109"/>
        <v>8.0713194230769229E-3</v>
      </c>
      <c r="P830">
        <f t="shared" si="105"/>
        <v>48.294933407942359</v>
      </c>
      <c r="R830">
        <f t="shared" si="110"/>
        <v>2.2596825212740663E-4</v>
      </c>
    </row>
    <row r="831" spans="1:19" x14ac:dyDescent="0.2">
      <c r="A831" t="s">
        <v>842</v>
      </c>
      <c r="B831">
        <v>5.8858481200000003</v>
      </c>
      <c r="C831">
        <v>0.85542236999999999</v>
      </c>
      <c r="D831">
        <v>6.0511296300000001</v>
      </c>
      <c r="E831">
        <v>0.53337177000000002</v>
      </c>
      <c r="F831">
        <v>3.2952172200000001</v>
      </c>
      <c r="G831">
        <v>1.3375347799999999</v>
      </c>
      <c r="H831">
        <v>2.8619815399999999</v>
      </c>
      <c r="I831">
        <v>9.6783300000000006E-3</v>
      </c>
      <c r="J831">
        <v>1</v>
      </c>
      <c r="K831">
        <v>950038</v>
      </c>
      <c r="L831">
        <f t="shared" si="106"/>
        <v>1.2673912384615385E-2</v>
      </c>
      <c r="M831">
        <f t="shared" si="107"/>
        <v>5.1443645384615377E-3</v>
      </c>
      <c r="N831">
        <f t="shared" si="108"/>
        <v>1.1007621307692308E-2</v>
      </c>
      <c r="O831">
        <f t="shared" si="109"/>
        <v>8.0759929230769228E-3</v>
      </c>
      <c r="P831">
        <f t="shared" si="105"/>
        <v>48.407003952669953</v>
      </c>
      <c r="R831">
        <f t="shared" si="110"/>
        <v>-5.7527923569447787E-5</v>
      </c>
    </row>
    <row r="832" spans="1:19" x14ac:dyDescent="0.2">
      <c r="A832" t="s">
        <v>843</v>
      </c>
      <c r="B832">
        <v>5.8832527199999998</v>
      </c>
      <c r="C832">
        <v>0.81990629999999998</v>
      </c>
      <c r="D832">
        <v>6.0490823899999997</v>
      </c>
      <c r="E832">
        <v>0.53337177000000002</v>
      </c>
      <c r="F832">
        <v>3.30576771</v>
      </c>
      <c r="G832">
        <v>1.3377386</v>
      </c>
      <c r="H832">
        <v>2.8611466399999999</v>
      </c>
      <c r="I832">
        <v>9.6783300000000006E-3</v>
      </c>
      <c r="J832">
        <v>1</v>
      </c>
      <c r="K832">
        <v>950038</v>
      </c>
      <c r="L832">
        <f t="shared" si="106"/>
        <v>1.2714491192307692E-2</v>
      </c>
      <c r="M832">
        <f t="shared" si="107"/>
        <v>5.1451484615384615E-3</v>
      </c>
      <c r="N832">
        <f t="shared" si="108"/>
        <v>1.1004410153846154E-2</v>
      </c>
      <c r="O832">
        <f t="shared" si="109"/>
        <v>8.0747793076923081E-3</v>
      </c>
      <c r="P832">
        <f t="shared" si="105"/>
        <v>46.397205517221856</v>
      </c>
      <c r="R832">
        <f t="shared" si="110"/>
        <v>-1.0151850451351511E-3</v>
      </c>
    </row>
    <row r="833" spans="1:19" x14ac:dyDescent="0.2">
      <c r="A833" t="s">
        <v>844</v>
      </c>
      <c r="B833">
        <v>5.8650849200000001</v>
      </c>
      <c r="C833">
        <v>0.70834094999999997</v>
      </c>
      <c r="D833">
        <v>6.03526352</v>
      </c>
      <c r="E833">
        <v>0.47410824000000001</v>
      </c>
      <c r="F833">
        <v>3.31726302</v>
      </c>
      <c r="G833">
        <v>1.3379424200000001</v>
      </c>
      <c r="H833">
        <v>2.8487344600000002</v>
      </c>
      <c r="I833">
        <v>9.4957199999999992E-3</v>
      </c>
      <c r="J833">
        <v>1</v>
      </c>
      <c r="K833">
        <v>950038</v>
      </c>
      <c r="L833">
        <f t="shared" si="106"/>
        <v>1.2758703923076924E-2</v>
      </c>
      <c r="M833">
        <f t="shared" si="107"/>
        <v>5.1459323846153853E-3</v>
      </c>
      <c r="N833">
        <f t="shared" si="108"/>
        <v>1.0956671000000001E-2</v>
      </c>
      <c r="O833">
        <f t="shared" si="109"/>
        <v>8.0513016923076924E-3</v>
      </c>
      <c r="P833">
        <f t="shared" si="105"/>
        <v>40.083898164234334</v>
      </c>
      <c r="R833">
        <f t="shared" si="110"/>
        <v>-1.1205783447664451E-3</v>
      </c>
    </row>
    <row r="834" spans="1:19" x14ac:dyDescent="0.2">
      <c r="A834" t="s">
        <v>845</v>
      </c>
      <c r="B834">
        <v>5.84458126</v>
      </c>
      <c r="C834">
        <v>0.60839423999999998</v>
      </c>
      <c r="D834">
        <v>6.0132556900000003</v>
      </c>
      <c r="E834">
        <v>0.47410824000000001</v>
      </c>
      <c r="F834">
        <v>3.3298606199999998</v>
      </c>
      <c r="G834">
        <v>1.3379424200000001</v>
      </c>
      <c r="H834">
        <v>2.833094</v>
      </c>
      <c r="I834">
        <v>9.4957199999999992E-3</v>
      </c>
      <c r="J834">
        <v>1</v>
      </c>
      <c r="K834">
        <v>950038</v>
      </c>
      <c r="L834">
        <f t="shared" si="106"/>
        <v>1.280715623076923E-2</v>
      </c>
      <c r="M834">
        <f t="shared" si="107"/>
        <v>5.1459323846153853E-3</v>
      </c>
      <c r="N834">
        <f t="shared" si="108"/>
        <v>1.0896515384615385E-2</v>
      </c>
      <c r="O834">
        <f t="shared" si="109"/>
        <v>8.0212238846153854E-3</v>
      </c>
      <c r="P834">
        <f t="shared" si="105"/>
        <v>34.428071340315348</v>
      </c>
      <c r="R834">
        <f t="shared" si="110"/>
        <v>-1.247014020220827E-3</v>
      </c>
    </row>
    <row r="835" spans="1:19" x14ac:dyDescent="0.2">
      <c r="A835" t="s">
        <v>846</v>
      </c>
      <c r="B835">
        <v>5.82485622</v>
      </c>
      <c r="C835">
        <v>0.52178256000000001</v>
      </c>
      <c r="D835">
        <v>5.9881770000000003</v>
      </c>
      <c r="E835">
        <v>0.47410824000000001</v>
      </c>
      <c r="F835">
        <v>3.33552954</v>
      </c>
      <c r="G835">
        <v>1.3375347799999999</v>
      </c>
      <c r="H835">
        <v>2.8132233800000002</v>
      </c>
      <c r="I835">
        <v>9.6783300000000006E-3</v>
      </c>
      <c r="J835">
        <v>1</v>
      </c>
      <c r="K835">
        <v>950038</v>
      </c>
      <c r="L835">
        <f t="shared" si="106"/>
        <v>1.2828959769230769E-2</v>
      </c>
      <c r="M835">
        <f t="shared" si="107"/>
        <v>5.1443645384615377E-3</v>
      </c>
      <c r="N835">
        <f t="shared" si="108"/>
        <v>1.0820089923076924E-2</v>
      </c>
      <c r="O835">
        <f t="shared" si="109"/>
        <v>7.9822272307692316E-3</v>
      </c>
      <c r="P835">
        <f t="shared" ref="P835:P898" si="114">+C835*4/(PI()*0.15^2)</f>
        <v>29.526852850895455</v>
      </c>
      <c r="R835">
        <f t="shared" si="110"/>
        <v>-1.9601589736113873E-3</v>
      </c>
    </row>
    <row r="836" spans="1:19" x14ac:dyDescent="0.2">
      <c r="A836" t="s">
        <v>847</v>
      </c>
      <c r="B836">
        <v>5.7913755599999996</v>
      </c>
      <c r="C836">
        <v>0.42381629999999998</v>
      </c>
      <c r="D836">
        <v>5.9538857299999997</v>
      </c>
      <c r="E836">
        <v>0.47410824000000001</v>
      </c>
      <c r="F836">
        <v>3.33647436</v>
      </c>
      <c r="G836">
        <v>1.3333904400000001</v>
      </c>
      <c r="H836">
        <v>2.7792707800000001</v>
      </c>
      <c r="I836">
        <v>9.4957199999999992E-3</v>
      </c>
      <c r="J836">
        <v>1</v>
      </c>
      <c r="K836">
        <v>950038</v>
      </c>
      <c r="L836">
        <f t="shared" ref="L836:L899" si="115">+F836/260</f>
        <v>1.2832593692307692E-2</v>
      </c>
      <c r="M836">
        <f t="shared" ref="M836:M899" si="116">+G836/260</f>
        <v>5.1284247692307697E-3</v>
      </c>
      <c r="N836">
        <f t="shared" ref="N836:N899" si="117">+H836/260</f>
        <v>1.0689503E-2</v>
      </c>
      <c r="O836">
        <f t="shared" ref="O836:O899" si="118">(+G836+H836)/520</f>
        <v>7.9089638846153842E-3</v>
      </c>
      <c r="P836">
        <f t="shared" si="114"/>
        <v>23.983096571704049</v>
      </c>
      <c r="R836">
        <f t="shared" ref="R836:R899" si="119">+(P836+P837)/2*(O837-O836)</f>
        <v>-2.1999704243982122E-3</v>
      </c>
    </row>
    <row r="837" spans="1:19" x14ac:dyDescent="0.2">
      <c r="A837" t="s">
        <v>848</v>
      </c>
      <c r="B837">
        <v>5.7503682400000002</v>
      </c>
      <c r="C837">
        <v>0.32717034</v>
      </c>
      <c r="D837">
        <v>5.9011693000000003</v>
      </c>
      <c r="E837">
        <v>0.41484471000000001</v>
      </c>
      <c r="F837">
        <v>3.3374191799999999</v>
      </c>
      <c r="G837">
        <v>1.32591704</v>
      </c>
      <c r="H837">
        <v>2.7329059999999998</v>
      </c>
      <c r="I837">
        <v>9.4957199999999992E-3</v>
      </c>
      <c r="J837">
        <v>1</v>
      </c>
      <c r="K837">
        <v>950038</v>
      </c>
      <c r="L837">
        <f t="shared" si="115"/>
        <v>1.2836227615384615E-2</v>
      </c>
      <c r="M837">
        <f t="shared" si="116"/>
        <v>5.0996809230769227E-3</v>
      </c>
      <c r="N837">
        <f t="shared" si="117"/>
        <v>1.0511176923076923E-2</v>
      </c>
      <c r="O837">
        <f t="shared" si="118"/>
        <v>7.8054289230769236E-3</v>
      </c>
      <c r="P837">
        <f t="shared" si="114"/>
        <v>18.514053988997706</v>
      </c>
      <c r="R837">
        <f t="shared" si="119"/>
        <v>-2.0128173021255343E-3</v>
      </c>
    </row>
    <row r="838" spans="1:19" x14ac:dyDescent="0.2">
      <c r="A838" t="s">
        <v>849</v>
      </c>
      <c r="B838">
        <v>5.6994984000000004</v>
      </c>
      <c r="C838">
        <v>0.24214301999999999</v>
      </c>
      <c r="D838">
        <v>5.8464056299999996</v>
      </c>
      <c r="E838">
        <v>0.41484471000000001</v>
      </c>
      <c r="F838">
        <v>3.3326950800000001</v>
      </c>
      <c r="G838">
        <v>1.31409548</v>
      </c>
      <c r="H838">
        <v>2.6797507</v>
      </c>
      <c r="I838">
        <v>9.8609400000000003E-3</v>
      </c>
      <c r="J838">
        <v>1</v>
      </c>
      <c r="K838">
        <v>950038</v>
      </c>
      <c r="L838">
        <f t="shared" si="115"/>
        <v>1.2818058E-2</v>
      </c>
      <c r="M838">
        <f t="shared" si="116"/>
        <v>5.0542133846153848E-3</v>
      </c>
      <c r="N838">
        <f t="shared" si="117"/>
        <v>1.0306733461538462E-2</v>
      </c>
      <c r="O838">
        <f t="shared" si="118"/>
        <v>7.6804734230769235E-3</v>
      </c>
      <c r="P838">
        <f t="shared" si="114"/>
        <v>13.702491935359884</v>
      </c>
      <c r="R838">
        <f t="shared" si="119"/>
        <v>-1.5377535078985967E-3</v>
      </c>
    </row>
    <row r="839" spans="1:19" x14ac:dyDescent="0.2">
      <c r="A839" t="s">
        <v>850</v>
      </c>
      <c r="B839">
        <v>5.6473308600000003</v>
      </c>
      <c r="C839">
        <v>0.16714998</v>
      </c>
      <c r="D839">
        <v>5.7885711000000004</v>
      </c>
      <c r="E839">
        <v>0.47410824000000001</v>
      </c>
      <c r="F839">
        <v>3.3186802499999999</v>
      </c>
      <c r="G839">
        <v>1.2997601400000001</v>
      </c>
      <c r="H839">
        <v>2.6250369199999999</v>
      </c>
      <c r="I839">
        <v>9.8609400000000003E-3</v>
      </c>
      <c r="J839">
        <v>1</v>
      </c>
      <c r="K839">
        <v>950038</v>
      </c>
      <c r="L839">
        <f t="shared" si="115"/>
        <v>1.2764154807692307E-2</v>
      </c>
      <c r="M839">
        <f t="shared" si="116"/>
        <v>4.9990774615384622E-3</v>
      </c>
      <c r="N839">
        <f t="shared" si="117"/>
        <v>1.0096295846153847E-2</v>
      </c>
      <c r="O839">
        <f t="shared" si="118"/>
        <v>7.5476866538461539E-3</v>
      </c>
      <c r="P839">
        <f t="shared" si="114"/>
        <v>9.4587539750085128</v>
      </c>
      <c r="R839">
        <f t="shared" si="119"/>
        <v>-1.0123755391664687E-3</v>
      </c>
    </row>
    <row r="840" spans="1:19" x14ac:dyDescent="0.2">
      <c r="A840" t="s">
        <v>851</v>
      </c>
      <c r="B840">
        <v>5.5943847</v>
      </c>
      <c r="C840">
        <v>0.10192716</v>
      </c>
      <c r="D840">
        <v>5.732272</v>
      </c>
      <c r="E840">
        <v>0.79018040000000001</v>
      </c>
      <c r="F840">
        <v>3.3029332500000002</v>
      </c>
      <c r="G840">
        <v>1.28426982</v>
      </c>
      <c r="H840">
        <v>2.5713806799999999</v>
      </c>
      <c r="I840">
        <v>9.8609400000000003E-3</v>
      </c>
      <c r="J840">
        <v>1</v>
      </c>
      <c r="K840">
        <v>950038</v>
      </c>
      <c r="L840">
        <f t="shared" si="115"/>
        <v>1.2703589423076924E-2</v>
      </c>
      <c r="M840">
        <f t="shared" si="116"/>
        <v>4.9394993076923074E-3</v>
      </c>
      <c r="N840">
        <f t="shared" si="117"/>
        <v>9.8899256923076911E-3</v>
      </c>
      <c r="O840">
        <f t="shared" si="118"/>
        <v>7.4147125000000001E-3</v>
      </c>
      <c r="P840">
        <f t="shared" si="114"/>
        <v>5.7678973686465813</v>
      </c>
      <c r="R840">
        <f t="shared" si="119"/>
        <v>-4.1957244590700501E-4</v>
      </c>
    </row>
    <row r="841" spans="1:19" x14ac:dyDescent="0.2">
      <c r="A841" t="s">
        <v>852</v>
      </c>
      <c r="B841">
        <v>5.55078198</v>
      </c>
      <c r="C841">
        <v>5.3604180000000001E-2</v>
      </c>
      <c r="D841">
        <v>5.6918390099999998</v>
      </c>
      <c r="E841">
        <v>1.0864980500000001</v>
      </c>
      <c r="F841">
        <v>3.2851391400000001</v>
      </c>
      <c r="G841">
        <v>1.2732635400000001</v>
      </c>
      <c r="H841">
        <v>2.5328083000000001</v>
      </c>
      <c r="I841">
        <v>1.004355E-2</v>
      </c>
      <c r="J841">
        <v>1</v>
      </c>
      <c r="K841">
        <v>950038</v>
      </c>
      <c r="L841">
        <f t="shared" si="115"/>
        <v>1.2635150538461539E-2</v>
      </c>
      <c r="M841">
        <f t="shared" si="116"/>
        <v>4.897167461538462E-3</v>
      </c>
      <c r="N841">
        <f t="shared" si="117"/>
        <v>9.7415703846153844E-3</v>
      </c>
      <c r="O841">
        <f t="shared" si="118"/>
        <v>7.3193689230769236E-3</v>
      </c>
      <c r="P841">
        <f t="shared" si="114"/>
        <v>3.0333760772934095</v>
      </c>
      <c r="R841">
        <f t="shared" si="119"/>
        <v>-8.3111690110369144E-5</v>
      </c>
    </row>
    <row r="842" spans="1:19" x14ac:dyDescent="0.2">
      <c r="A842" t="s">
        <v>853</v>
      </c>
      <c r="B842">
        <v>5.5411789999999996</v>
      </c>
      <c r="C842">
        <v>4.951125E-2</v>
      </c>
      <c r="D842">
        <v>5.67443747</v>
      </c>
      <c r="E842">
        <v>1.0864980500000001</v>
      </c>
      <c r="F842">
        <v>3.2649829800000001</v>
      </c>
      <c r="G842">
        <v>1.2695268399999999</v>
      </c>
      <c r="H842">
        <v>2.5217319599999999</v>
      </c>
      <c r="I842">
        <v>9.8609400000000003E-3</v>
      </c>
      <c r="J842">
        <v>1</v>
      </c>
      <c r="K842">
        <v>950038</v>
      </c>
      <c r="L842">
        <f t="shared" si="115"/>
        <v>1.2557626846153847E-2</v>
      </c>
      <c r="M842">
        <f t="shared" si="116"/>
        <v>4.882795538461538E-3</v>
      </c>
      <c r="N842">
        <f t="shared" si="117"/>
        <v>9.6989690769230773E-3</v>
      </c>
      <c r="O842">
        <f t="shared" si="118"/>
        <v>7.2908823076923068E-3</v>
      </c>
      <c r="P842">
        <f t="shared" si="114"/>
        <v>2.8017636181897254</v>
      </c>
      <c r="R842">
        <f t="shared" si="119"/>
        <v>1.7008704687714531E-4</v>
      </c>
      <c r="S842">
        <f>ABS(SUMIFS($R:$R,$K:$K,K842))</f>
        <v>5.203180390982276E-3</v>
      </c>
    </row>
    <row r="843" spans="1:19" x14ac:dyDescent="0.2">
      <c r="A843" t="s">
        <v>854</v>
      </c>
      <c r="B843">
        <v>5.5577895599999998</v>
      </c>
      <c r="C843">
        <v>0.10720836</v>
      </c>
      <c r="D843">
        <v>5.7010515899999996</v>
      </c>
      <c r="E843">
        <v>1.0864980500000001</v>
      </c>
      <c r="F843">
        <v>3.2452992300000001</v>
      </c>
      <c r="G843">
        <v>1.2687115600000001</v>
      </c>
      <c r="H843">
        <v>2.5424931399999999</v>
      </c>
      <c r="I843">
        <v>9.8609400000000003E-3</v>
      </c>
      <c r="J843">
        <v>1</v>
      </c>
      <c r="K843">
        <v>950038</v>
      </c>
      <c r="L843">
        <f t="shared" si="115"/>
        <v>1.2481920115384616E-2</v>
      </c>
      <c r="M843">
        <f t="shared" si="116"/>
        <v>4.8796598461538464E-3</v>
      </c>
      <c r="N843">
        <f t="shared" si="117"/>
        <v>9.7788197692307687E-3</v>
      </c>
      <c r="O843">
        <f t="shared" si="118"/>
        <v>7.3292398076923084E-3</v>
      </c>
      <c r="P843">
        <f t="shared" si="114"/>
        <v>6.066752154586819</v>
      </c>
      <c r="R843">
        <f t="shared" si="119"/>
        <v>7.9490976978042029E-4</v>
      </c>
    </row>
    <row r="844" spans="1:19" x14ac:dyDescent="0.2">
      <c r="A844" t="s">
        <v>855</v>
      </c>
      <c r="B844">
        <v>5.5967205599999996</v>
      </c>
      <c r="C844">
        <v>0.18735056999999999</v>
      </c>
      <c r="D844">
        <v>5.7414845799999998</v>
      </c>
      <c r="E844">
        <v>1.0272345199999999</v>
      </c>
      <c r="F844">
        <v>3.2350636800000001</v>
      </c>
      <c r="G844">
        <v>1.27550556</v>
      </c>
      <c r="H844">
        <v>2.5852956800000002</v>
      </c>
      <c r="I844">
        <v>9.8609400000000003E-3</v>
      </c>
      <c r="J844">
        <v>1</v>
      </c>
      <c r="K844">
        <v>950039</v>
      </c>
      <c r="L844">
        <f t="shared" si="115"/>
        <v>1.2442552615384616E-2</v>
      </c>
      <c r="M844">
        <f t="shared" si="116"/>
        <v>4.9057906153846158E-3</v>
      </c>
      <c r="N844">
        <f t="shared" si="117"/>
        <v>9.9434449230769231E-3</v>
      </c>
      <c r="O844">
        <f t="shared" si="118"/>
        <v>7.4246177692307699E-3</v>
      </c>
      <c r="P844">
        <f t="shared" si="114"/>
        <v>10.601873531229922</v>
      </c>
      <c r="Q844">
        <f t="shared" ref="Q844" si="120">ABS(0.5*(SUMPRODUCT(O844:O862,P845:P863)+O863*P844-(SUMPRODUCT(O845:O863,P844:P862)+O844*P863)))</f>
        <v>5.1664918580485164E-3</v>
      </c>
      <c r="R844">
        <f t="shared" si="119"/>
        <v>1.8084841195177416E-3</v>
      </c>
    </row>
    <row r="845" spans="1:19" x14ac:dyDescent="0.2">
      <c r="A845" t="s">
        <v>856</v>
      </c>
      <c r="B845">
        <v>5.6504453400000001</v>
      </c>
      <c r="C845">
        <v>0.28201608</v>
      </c>
      <c r="D845">
        <v>5.8023899700000001</v>
      </c>
      <c r="E845">
        <v>0.84944392999999996</v>
      </c>
      <c r="F845">
        <v>3.22844994</v>
      </c>
      <c r="G845">
        <v>1.28943326</v>
      </c>
      <c r="H845">
        <v>2.6421801999999999</v>
      </c>
      <c r="I845">
        <v>1.004355E-2</v>
      </c>
      <c r="J845">
        <v>1</v>
      </c>
      <c r="K845">
        <v>950039</v>
      </c>
      <c r="L845">
        <f t="shared" si="115"/>
        <v>1.2417115153846154E-2</v>
      </c>
      <c r="M845">
        <f t="shared" si="116"/>
        <v>4.9593586923076926E-3</v>
      </c>
      <c r="N845">
        <f t="shared" si="117"/>
        <v>1.0162231538461538E-2</v>
      </c>
      <c r="O845">
        <f t="shared" si="118"/>
        <v>7.5607951153846154E-3</v>
      </c>
      <c r="P845">
        <f t="shared" si="114"/>
        <v>15.958845569208677</v>
      </c>
      <c r="R845">
        <f t="shared" si="119"/>
        <v>2.9054738028682745E-3</v>
      </c>
    </row>
    <row r="846" spans="1:19" x14ac:dyDescent="0.2">
      <c r="A846" t="s">
        <v>857</v>
      </c>
      <c r="B846">
        <v>5.7091013799999999</v>
      </c>
      <c r="C846">
        <v>0.39160097999999999</v>
      </c>
      <c r="D846">
        <v>5.8679016500000003</v>
      </c>
      <c r="E846">
        <v>0.61238981000000003</v>
      </c>
      <c r="F846">
        <v>3.22703271</v>
      </c>
      <c r="G846">
        <v>1.30519534</v>
      </c>
      <c r="H846">
        <v>2.7056882600000001</v>
      </c>
      <c r="I846">
        <v>1.004355E-2</v>
      </c>
      <c r="J846">
        <v>1</v>
      </c>
      <c r="K846">
        <v>950039</v>
      </c>
      <c r="L846">
        <f t="shared" si="115"/>
        <v>1.2411664269230769E-2</v>
      </c>
      <c r="M846">
        <f t="shared" si="116"/>
        <v>5.0199820769230774E-3</v>
      </c>
      <c r="N846">
        <f t="shared" si="117"/>
        <v>1.0406493307692308E-2</v>
      </c>
      <c r="O846">
        <f t="shared" si="118"/>
        <v>7.7132376923076916E-3</v>
      </c>
      <c r="P846">
        <f t="shared" si="114"/>
        <v>22.160082377468601</v>
      </c>
      <c r="R846">
        <f t="shared" si="119"/>
        <v>3.8345052439081079E-3</v>
      </c>
    </row>
    <row r="847" spans="1:19" x14ac:dyDescent="0.2">
      <c r="A847" t="s">
        <v>858</v>
      </c>
      <c r="B847">
        <v>5.7716505199999997</v>
      </c>
      <c r="C847">
        <v>0.52587549</v>
      </c>
      <c r="D847">
        <v>5.93546057</v>
      </c>
      <c r="E847">
        <v>0.53337177000000002</v>
      </c>
      <c r="F847">
        <v>3.2341188600000002</v>
      </c>
      <c r="G847">
        <v>1.3196665599999999</v>
      </c>
      <c r="H847">
        <v>2.7680274599999999</v>
      </c>
      <c r="I847">
        <v>9.8609400000000003E-3</v>
      </c>
      <c r="J847">
        <v>1</v>
      </c>
      <c r="K847">
        <v>950039</v>
      </c>
      <c r="L847">
        <f t="shared" si="115"/>
        <v>1.2438918692307692E-2</v>
      </c>
      <c r="M847">
        <f t="shared" si="116"/>
        <v>5.075640615384615E-3</v>
      </c>
      <c r="N847">
        <f t="shared" si="117"/>
        <v>1.0646259461538462E-2</v>
      </c>
      <c r="O847">
        <f t="shared" si="118"/>
        <v>7.860950038461538E-3</v>
      </c>
      <c r="P847">
        <f t="shared" si="114"/>
        <v>29.758465309999139</v>
      </c>
      <c r="R847">
        <f t="shared" si="119"/>
        <v>4.3598118703993089E-3</v>
      </c>
    </row>
    <row r="848" spans="1:19" x14ac:dyDescent="0.2">
      <c r="A848" t="s">
        <v>859</v>
      </c>
      <c r="B848">
        <v>5.8303065600000004</v>
      </c>
      <c r="C848">
        <v>0.70477614</v>
      </c>
      <c r="D848">
        <v>6.0025076799999999</v>
      </c>
      <c r="E848">
        <v>0.47410824000000001</v>
      </c>
      <c r="F848">
        <v>3.24813369</v>
      </c>
      <c r="G848">
        <v>1.3300613800000001</v>
      </c>
      <c r="H848">
        <v>2.82274124</v>
      </c>
      <c r="I848">
        <v>9.4957199999999992E-3</v>
      </c>
      <c r="J848">
        <v>1</v>
      </c>
      <c r="K848">
        <v>950039</v>
      </c>
      <c r="L848">
        <f t="shared" si="115"/>
        <v>1.2492821884615384E-2</v>
      </c>
      <c r="M848">
        <f t="shared" si="116"/>
        <v>5.1156206923076925E-3</v>
      </c>
      <c r="N848">
        <f t="shared" si="117"/>
        <v>1.0856697076923078E-2</v>
      </c>
      <c r="O848">
        <f t="shared" si="118"/>
        <v>7.9861588846153846E-3</v>
      </c>
      <c r="P848">
        <f t="shared" si="114"/>
        <v>39.88217118372468</v>
      </c>
      <c r="R848">
        <f t="shared" si="119"/>
        <v>2.8077690543940668E-3</v>
      </c>
    </row>
    <row r="849" spans="1:19" x14ac:dyDescent="0.2">
      <c r="A849" t="s">
        <v>860</v>
      </c>
      <c r="B849">
        <v>5.8700161800000004</v>
      </c>
      <c r="C849">
        <v>0.82399922999999997</v>
      </c>
      <c r="D849">
        <v>6.0398698099999999</v>
      </c>
      <c r="E849">
        <v>0.47410824000000001</v>
      </c>
      <c r="F849">
        <v>3.2619910499999998</v>
      </c>
      <c r="G849">
        <v>1.3354286399999999</v>
      </c>
      <c r="H849">
        <v>2.8511278400000002</v>
      </c>
      <c r="I849">
        <v>9.8609400000000003E-3</v>
      </c>
      <c r="J849">
        <v>1</v>
      </c>
      <c r="K849">
        <v>950039</v>
      </c>
      <c r="L849">
        <f t="shared" si="115"/>
        <v>1.2546119423076922E-2</v>
      </c>
      <c r="M849">
        <f t="shared" si="116"/>
        <v>5.1362639999999998E-3</v>
      </c>
      <c r="N849">
        <f t="shared" si="117"/>
        <v>1.0965876307692309E-2</v>
      </c>
      <c r="O849">
        <f t="shared" si="118"/>
        <v>8.0510701538461533E-3</v>
      </c>
      <c r="P849">
        <f t="shared" si="114"/>
        <v>46.628817976325536</v>
      </c>
      <c r="R849">
        <f t="shared" si="119"/>
        <v>9.6084136442403602E-4</v>
      </c>
    </row>
    <row r="850" spans="1:19" x14ac:dyDescent="0.2">
      <c r="A850" t="s">
        <v>861</v>
      </c>
      <c r="B850">
        <v>5.8850695000000002</v>
      </c>
      <c r="C850">
        <v>0.85304583</v>
      </c>
      <c r="D850">
        <v>6.04754696</v>
      </c>
      <c r="E850">
        <v>0.47410824000000001</v>
      </c>
      <c r="F850">
        <v>3.27647829</v>
      </c>
      <c r="G850">
        <v>1.3373309600000001</v>
      </c>
      <c r="H850">
        <v>2.8597551399999999</v>
      </c>
      <c r="I850">
        <v>9.8609400000000003E-3</v>
      </c>
      <c r="J850">
        <v>1</v>
      </c>
      <c r="K850">
        <v>950039</v>
      </c>
      <c r="L850">
        <f t="shared" si="115"/>
        <v>1.2601839576923077E-2</v>
      </c>
      <c r="M850">
        <f t="shared" si="116"/>
        <v>5.1435806153846157E-3</v>
      </c>
      <c r="N850">
        <f t="shared" si="117"/>
        <v>1.0999058230769231E-2</v>
      </c>
      <c r="O850">
        <f t="shared" si="118"/>
        <v>8.0713194230769229E-3</v>
      </c>
      <c r="P850">
        <f t="shared" si="114"/>
        <v>48.272519298996841</v>
      </c>
      <c r="R850">
        <f t="shared" si="119"/>
        <v>2.7920365098587919E-4</v>
      </c>
    </row>
    <row r="851" spans="1:19" x14ac:dyDescent="0.2">
      <c r="A851" t="s">
        <v>862</v>
      </c>
      <c r="B851">
        <v>5.8824740999999996</v>
      </c>
      <c r="C851">
        <v>0.85463018999999996</v>
      </c>
      <c r="D851">
        <v>6.0526650599999998</v>
      </c>
      <c r="E851">
        <v>0.47410824000000001</v>
      </c>
      <c r="F851">
        <v>3.2933275800000001</v>
      </c>
      <c r="G851">
        <v>1.3379424200000001</v>
      </c>
      <c r="H851">
        <v>2.8621485199999999</v>
      </c>
      <c r="I851">
        <v>9.4957199999999992E-3</v>
      </c>
      <c r="J851">
        <v>1</v>
      </c>
      <c r="K851">
        <v>950039</v>
      </c>
      <c r="L851">
        <f t="shared" si="115"/>
        <v>1.2666644538461539E-2</v>
      </c>
      <c r="M851">
        <f t="shared" si="116"/>
        <v>5.1459323846153853E-3</v>
      </c>
      <c r="N851">
        <f t="shared" si="117"/>
        <v>1.1008263538461538E-2</v>
      </c>
      <c r="O851">
        <f t="shared" si="118"/>
        <v>8.0770979615384618E-3</v>
      </c>
      <c r="P851">
        <f t="shared" si="114"/>
        <v>48.362175734778916</v>
      </c>
      <c r="R851">
        <f t="shared" si="119"/>
        <v>-1.1464781552724684E-4</v>
      </c>
    </row>
    <row r="852" spans="1:19" x14ac:dyDescent="0.2">
      <c r="A852" t="s">
        <v>863</v>
      </c>
      <c r="B852">
        <v>5.8778023800000003</v>
      </c>
      <c r="C852">
        <v>0.81475713000000005</v>
      </c>
      <c r="D852">
        <v>6.0511296300000001</v>
      </c>
      <c r="E852">
        <v>0.47410824000000001</v>
      </c>
      <c r="F852">
        <v>3.3090745799999999</v>
      </c>
      <c r="G852">
        <v>1.33835006</v>
      </c>
      <c r="H852">
        <v>2.8604787200000001</v>
      </c>
      <c r="I852">
        <v>9.3131099999999994E-3</v>
      </c>
      <c r="J852">
        <v>1</v>
      </c>
      <c r="K852">
        <v>950039</v>
      </c>
      <c r="L852">
        <f t="shared" si="115"/>
        <v>1.2727209923076922E-2</v>
      </c>
      <c r="M852">
        <f t="shared" si="116"/>
        <v>5.1475002307692311E-3</v>
      </c>
      <c r="N852">
        <f t="shared" si="117"/>
        <v>1.1001841230769232E-2</v>
      </c>
      <c r="O852">
        <f t="shared" si="118"/>
        <v>8.0746707307692307E-3</v>
      </c>
      <c r="P852">
        <f t="shared" si="114"/>
        <v>46.105822100930126</v>
      </c>
      <c r="R852">
        <f t="shared" si="119"/>
        <v>-1.0140766869883066E-3</v>
      </c>
    </row>
    <row r="853" spans="1:19" x14ac:dyDescent="0.2">
      <c r="A853" t="s">
        <v>864</v>
      </c>
      <c r="B853">
        <v>5.8611918200000002</v>
      </c>
      <c r="C853">
        <v>0.70266366000000002</v>
      </c>
      <c r="D853">
        <v>6.0337280900000003</v>
      </c>
      <c r="E853">
        <v>0.47410824000000001</v>
      </c>
      <c r="F853">
        <v>3.3186802499999999</v>
      </c>
      <c r="G853">
        <v>1.3381462399999999</v>
      </c>
      <c r="H853">
        <v>2.8484004999999999</v>
      </c>
      <c r="I853">
        <v>9.3131099999999994E-3</v>
      </c>
      <c r="J853">
        <v>1</v>
      </c>
      <c r="K853">
        <v>950039</v>
      </c>
      <c r="L853">
        <f t="shared" si="115"/>
        <v>1.2764154807692307E-2</v>
      </c>
      <c r="M853">
        <f t="shared" si="116"/>
        <v>5.1467163076923074E-3</v>
      </c>
      <c r="N853">
        <f t="shared" si="117"/>
        <v>1.0955386538461538E-2</v>
      </c>
      <c r="O853">
        <f t="shared" si="118"/>
        <v>8.0510514230769225E-3</v>
      </c>
      <c r="P853">
        <f t="shared" si="114"/>
        <v>39.762629269348587</v>
      </c>
      <c r="R853">
        <f t="shared" si="119"/>
        <v>-9.083285465809589E-4</v>
      </c>
    </row>
    <row r="854" spans="1:19" x14ac:dyDescent="0.2">
      <c r="A854" t="s">
        <v>865</v>
      </c>
      <c r="B854">
        <v>5.8469171199999996</v>
      </c>
      <c r="C854">
        <v>0.62054100000000001</v>
      </c>
      <c r="D854">
        <v>6.0193974099999998</v>
      </c>
      <c r="E854">
        <v>0.47410824000000001</v>
      </c>
      <c r="F854">
        <v>3.3278135099999999</v>
      </c>
      <c r="G854">
        <v>1.3379424200000001</v>
      </c>
      <c r="H854">
        <v>2.8359883199999998</v>
      </c>
      <c r="I854">
        <v>9.3131099999999994E-3</v>
      </c>
      <c r="J854">
        <v>1</v>
      </c>
      <c r="K854">
        <v>950039</v>
      </c>
      <c r="L854">
        <f t="shared" si="115"/>
        <v>1.279928273076923E-2</v>
      </c>
      <c r="M854">
        <f t="shared" si="116"/>
        <v>5.1459323846153853E-3</v>
      </c>
      <c r="N854">
        <f t="shared" si="117"/>
        <v>1.0907647384615384E-2</v>
      </c>
      <c r="O854">
        <f t="shared" si="118"/>
        <v>8.0267898846153839E-3</v>
      </c>
      <c r="P854">
        <f t="shared" si="114"/>
        <v>35.115437347977895</v>
      </c>
      <c r="R854">
        <f t="shared" si="119"/>
        <v>-1.4671778971667268E-3</v>
      </c>
    </row>
    <row r="855" spans="1:19" x14ac:dyDescent="0.2">
      <c r="A855" t="s">
        <v>866</v>
      </c>
      <c r="B855">
        <v>5.8264134600000004</v>
      </c>
      <c r="C855">
        <v>0.52297083</v>
      </c>
      <c r="D855">
        <v>5.98971243</v>
      </c>
      <c r="E855">
        <v>0.47410824000000001</v>
      </c>
      <c r="F855">
        <v>3.33694677</v>
      </c>
      <c r="G855">
        <v>1.33712714</v>
      </c>
      <c r="H855">
        <v>2.8132233800000002</v>
      </c>
      <c r="I855">
        <v>9.6783300000000006E-3</v>
      </c>
      <c r="J855">
        <v>1</v>
      </c>
      <c r="K855">
        <v>950039</v>
      </c>
      <c r="L855">
        <f t="shared" si="115"/>
        <v>1.2834410653846154E-2</v>
      </c>
      <c r="M855">
        <f t="shared" si="116"/>
        <v>5.1427966923076919E-3</v>
      </c>
      <c r="N855">
        <f t="shared" si="117"/>
        <v>1.0820089923076924E-2</v>
      </c>
      <c r="O855">
        <f t="shared" si="118"/>
        <v>7.9814433076923069E-3</v>
      </c>
      <c r="P855">
        <f t="shared" si="114"/>
        <v>29.594095177732008</v>
      </c>
      <c r="R855">
        <f t="shared" si="119"/>
        <v>-2.0288771159278273E-3</v>
      </c>
    </row>
    <row r="856" spans="1:19" x14ac:dyDescent="0.2">
      <c r="A856" t="s">
        <v>867</v>
      </c>
      <c r="B856">
        <v>5.7913755599999996</v>
      </c>
      <c r="C856">
        <v>0.41906322000000001</v>
      </c>
      <c r="D856">
        <v>5.9492794399999998</v>
      </c>
      <c r="E856">
        <v>0.47410824000000001</v>
      </c>
      <c r="F856">
        <v>3.3385214699999999</v>
      </c>
      <c r="G856">
        <v>1.3333904400000001</v>
      </c>
      <c r="H856">
        <v>2.7773783399999998</v>
      </c>
      <c r="I856">
        <v>9.6783300000000006E-3</v>
      </c>
      <c r="J856">
        <v>1</v>
      </c>
      <c r="K856">
        <v>950039</v>
      </c>
      <c r="L856">
        <f t="shared" si="115"/>
        <v>1.2840467192307692E-2</v>
      </c>
      <c r="M856">
        <f t="shared" si="116"/>
        <v>5.1284247692307697E-3</v>
      </c>
      <c r="N856">
        <f t="shared" si="117"/>
        <v>1.0682224384615384E-2</v>
      </c>
      <c r="O856">
        <f t="shared" si="118"/>
        <v>7.9053245769230771E-3</v>
      </c>
      <c r="P856">
        <f t="shared" si="114"/>
        <v>23.714127264357838</v>
      </c>
      <c r="R856">
        <f t="shared" si="119"/>
        <v>-2.2358354771942605E-3</v>
      </c>
    </row>
    <row r="857" spans="1:19" x14ac:dyDescent="0.2">
      <c r="A857" t="s">
        <v>868</v>
      </c>
      <c r="B857">
        <v>5.7446583599999999</v>
      </c>
      <c r="C857">
        <v>0.32320944000000001</v>
      </c>
      <c r="D857">
        <v>5.8975866300000002</v>
      </c>
      <c r="E857">
        <v>0.47410824000000001</v>
      </c>
      <c r="F857">
        <v>3.33552954</v>
      </c>
      <c r="G857">
        <v>1.3248979400000001</v>
      </c>
      <c r="H857">
        <v>2.7305126199999998</v>
      </c>
      <c r="I857">
        <v>9.8609400000000003E-3</v>
      </c>
      <c r="J857">
        <v>1</v>
      </c>
      <c r="K857">
        <v>950039</v>
      </c>
      <c r="L857">
        <f t="shared" si="115"/>
        <v>1.2828959769230769E-2</v>
      </c>
      <c r="M857">
        <f t="shared" si="116"/>
        <v>5.0957613076923081E-3</v>
      </c>
      <c r="N857">
        <f t="shared" si="117"/>
        <v>1.0501971615384615E-2</v>
      </c>
      <c r="O857">
        <f t="shared" si="118"/>
        <v>7.7988664615384617E-3</v>
      </c>
      <c r="P857">
        <f t="shared" si="114"/>
        <v>18.289912899542529</v>
      </c>
      <c r="R857">
        <f t="shared" si="119"/>
        <v>-1.9753263574531989E-3</v>
      </c>
    </row>
    <row r="858" spans="1:19" x14ac:dyDescent="0.2">
      <c r="A858" t="s">
        <v>869</v>
      </c>
      <c r="B858">
        <v>5.6979411600000001</v>
      </c>
      <c r="C858">
        <v>0.24016256999999999</v>
      </c>
      <c r="D858">
        <v>5.8417993399999997</v>
      </c>
      <c r="E858">
        <v>0.47410824000000001</v>
      </c>
      <c r="F858">
        <v>3.3317502600000002</v>
      </c>
      <c r="G858">
        <v>1.3132801999999999</v>
      </c>
      <c r="H858">
        <v>2.6776912799999999</v>
      </c>
      <c r="I858">
        <v>9.8609400000000003E-3</v>
      </c>
      <c r="J858">
        <v>1</v>
      </c>
      <c r="K858">
        <v>950039</v>
      </c>
      <c r="L858">
        <f t="shared" si="115"/>
        <v>1.2814424076923077E-2</v>
      </c>
      <c r="M858">
        <f t="shared" si="116"/>
        <v>5.0510776923076922E-3</v>
      </c>
      <c r="N858">
        <f t="shared" si="117"/>
        <v>1.0298812615384616E-2</v>
      </c>
      <c r="O858">
        <f t="shared" si="118"/>
        <v>7.6749451538461536E-3</v>
      </c>
      <c r="P858">
        <f t="shared" si="114"/>
        <v>13.590421390632295</v>
      </c>
      <c r="R858">
        <f t="shared" si="119"/>
        <v>-1.5168402856196317E-3</v>
      </c>
    </row>
    <row r="859" spans="1:19" x14ac:dyDescent="0.2">
      <c r="A859" t="s">
        <v>870</v>
      </c>
      <c r="B859">
        <v>5.6449949999999998</v>
      </c>
      <c r="C859">
        <v>0.16596171000000001</v>
      </c>
      <c r="D859">
        <v>5.7855002400000002</v>
      </c>
      <c r="E859">
        <v>0.47410824000000001</v>
      </c>
      <c r="F859">
        <v>3.3197825399999998</v>
      </c>
      <c r="G859">
        <v>1.2993524999999999</v>
      </c>
      <c r="H859">
        <v>2.6229775000000002</v>
      </c>
      <c r="I859">
        <v>1.004355E-2</v>
      </c>
      <c r="J859">
        <v>1</v>
      </c>
      <c r="K859">
        <v>950039</v>
      </c>
      <c r="L859">
        <f t="shared" si="115"/>
        <v>1.2768394384615384E-2</v>
      </c>
      <c r="M859">
        <f t="shared" si="116"/>
        <v>4.9975096153846155E-3</v>
      </c>
      <c r="N859">
        <f t="shared" si="117"/>
        <v>1.0088375E-2</v>
      </c>
      <c r="O859">
        <f t="shared" si="118"/>
        <v>7.5429423076923078E-3</v>
      </c>
      <c r="P859">
        <f t="shared" si="114"/>
        <v>9.39151164817196</v>
      </c>
      <c r="R859">
        <f t="shared" si="119"/>
        <v>-9.9710860464023482E-4</v>
      </c>
    </row>
    <row r="860" spans="1:19" x14ac:dyDescent="0.2">
      <c r="A860" t="s">
        <v>871</v>
      </c>
      <c r="B860">
        <v>5.5959419400000003</v>
      </c>
      <c r="C860">
        <v>0.10113498</v>
      </c>
      <c r="D860">
        <v>5.732272</v>
      </c>
      <c r="E860">
        <v>0.79018040000000001</v>
      </c>
      <c r="F860">
        <v>3.3015160200000002</v>
      </c>
      <c r="G860">
        <v>1.2840659999999999</v>
      </c>
      <c r="H860">
        <v>2.56965522</v>
      </c>
      <c r="I860">
        <v>9.8609400000000003E-3</v>
      </c>
      <c r="J860">
        <v>1</v>
      </c>
      <c r="K860">
        <v>950039</v>
      </c>
      <c r="L860">
        <f t="shared" si="115"/>
        <v>1.2698138538461539E-2</v>
      </c>
      <c r="M860">
        <f t="shared" si="116"/>
        <v>4.9387153846153845E-3</v>
      </c>
      <c r="N860">
        <f t="shared" si="117"/>
        <v>9.8832893076923074E-3</v>
      </c>
      <c r="O860">
        <f t="shared" si="118"/>
        <v>7.4110023461538459E-3</v>
      </c>
      <c r="P860">
        <f t="shared" si="114"/>
        <v>5.7230691507555456</v>
      </c>
      <c r="R860">
        <f t="shared" si="119"/>
        <v>-4.0497028698389568E-4</v>
      </c>
    </row>
    <row r="861" spans="1:19" x14ac:dyDescent="0.2">
      <c r="A861" t="s">
        <v>872</v>
      </c>
      <c r="B861">
        <v>5.5562323200000003</v>
      </c>
      <c r="C861">
        <v>5.4396359999999998E-2</v>
      </c>
      <c r="D861">
        <v>5.6903035800000001</v>
      </c>
      <c r="E861">
        <v>0.96797098999999998</v>
      </c>
      <c r="F861">
        <v>3.2837219100000001</v>
      </c>
      <c r="G861">
        <v>1.27305972</v>
      </c>
      <c r="H861">
        <v>2.5328083000000001</v>
      </c>
      <c r="I861">
        <v>9.6783300000000006E-3</v>
      </c>
      <c r="J861">
        <v>1</v>
      </c>
      <c r="K861">
        <v>950039</v>
      </c>
      <c r="L861">
        <f t="shared" si="115"/>
        <v>1.2629699653846154E-2</v>
      </c>
      <c r="M861">
        <f t="shared" si="116"/>
        <v>4.8963835384615382E-3</v>
      </c>
      <c r="N861">
        <f t="shared" si="117"/>
        <v>9.7415703846153844E-3</v>
      </c>
      <c r="O861">
        <f t="shared" si="118"/>
        <v>7.3189769615384622E-3</v>
      </c>
      <c r="P861">
        <f t="shared" si="114"/>
        <v>3.0782042951844448</v>
      </c>
      <c r="R861">
        <f t="shared" si="119"/>
        <v>-7.6605475441379547E-5</v>
      </c>
    </row>
    <row r="862" spans="1:19" x14ac:dyDescent="0.2">
      <c r="A862" t="s">
        <v>873</v>
      </c>
      <c r="B862">
        <v>5.5419576199999998</v>
      </c>
      <c r="C862">
        <v>5.2415910000000003E-2</v>
      </c>
      <c r="D862">
        <v>5.6805791899999996</v>
      </c>
      <c r="E862">
        <v>1.0864980500000001</v>
      </c>
      <c r="F862">
        <v>3.2649829800000001</v>
      </c>
      <c r="G862">
        <v>1.26973066</v>
      </c>
      <c r="H862">
        <v>2.5229564799999999</v>
      </c>
      <c r="I862">
        <v>9.6783300000000006E-3</v>
      </c>
      <c r="J862">
        <v>1</v>
      </c>
      <c r="K862">
        <v>950039</v>
      </c>
      <c r="L862">
        <f t="shared" si="115"/>
        <v>1.2557626846153847E-2</v>
      </c>
      <c r="M862">
        <f t="shared" si="116"/>
        <v>4.8835794615384618E-3</v>
      </c>
      <c r="N862">
        <f t="shared" si="117"/>
        <v>9.7036787692307697E-3</v>
      </c>
      <c r="O862">
        <f t="shared" si="118"/>
        <v>7.2936291153846153E-3</v>
      </c>
      <c r="P862">
        <f t="shared" si="114"/>
        <v>2.9661337504568563</v>
      </c>
      <c r="R862">
        <f t="shared" si="119"/>
        <v>1.8488617208148737E-4</v>
      </c>
    </row>
    <row r="863" spans="1:19" x14ac:dyDescent="0.2">
      <c r="A863" t="s">
        <v>874</v>
      </c>
      <c r="B863">
        <v>5.55856818</v>
      </c>
      <c r="C863">
        <v>0.11037708</v>
      </c>
      <c r="D863">
        <v>5.7025870200000002</v>
      </c>
      <c r="E863">
        <v>1.0864980500000001</v>
      </c>
      <c r="F863">
        <v>3.2452992300000001</v>
      </c>
      <c r="G863">
        <v>1.26973066</v>
      </c>
      <c r="H863">
        <v>2.5438289799999998</v>
      </c>
      <c r="I863">
        <v>9.6783300000000006E-3</v>
      </c>
      <c r="J863">
        <v>1</v>
      </c>
      <c r="K863">
        <v>950039</v>
      </c>
      <c r="L863">
        <f t="shared" si="115"/>
        <v>1.2481920115384616E-2</v>
      </c>
      <c r="M863">
        <f t="shared" si="116"/>
        <v>4.8835794615384618E-3</v>
      </c>
      <c r="N863">
        <f t="shared" si="117"/>
        <v>9.7839576153846142E-3</v>
      </c>
      <c r="O863">
        <f t="shared" si="118"/>
        <v>7.3337685384615384E-3</v>
      </c>
      <c r="P863">
        <f t="shared" si="114"/>
        <v>6.2460650261509612</v>
      </c>
      <c r="R863">
        <f t="shared" si="119"/>
        <v>7.8524079588914201E-4</v>
      </c>
      <c r="S863">
        <f>ABS(SUMIFS($R:$R,$K:$K,K863))</f>
        <v>5.1864215249443823E-3</v>
      </c>
    </row>
    <row r="864" spans="1:19" x14ac:dyDescent="0.2">
      <c r="A864" t="s">
        <v>875</v>
      </c>
      <c r="B864">
        <v>5.5982778</v>
      </c>
      <c r="C864">
        <v>0.18972711</v>
      </c>
      <c r="D864">
        <v>5.7414845799999998</v>
      </c>
      <c r="E864">
        <v>0.96797098999999998</v>
      </c>
      <c r="F864">
        <v>3.2331740400000002</v>
      </c>
      <c r="G864">
        <v>1.2761849599999999</v>
      </c>
      <c r="H864">
        <v>2.5854626600000001</v>
      </c>
      <c r="I864">
        <v>9.6783300000000006E-3</v>
      </c>
      <c r="J864">
        <v>1</v>
      </c>
      <c r="K864">
        <v>950040</v>
      </c>
      <c r="L864">
        <f t="shared" si="115"/>
        <v>1.2435284769230771E-2</v>
      </c>
      <c r="M864">
        <f t="shared" si="116"/>
        <v>4.9084036923076916E-3</v>
      </c>
      <c r="N864">
        <f t="shared" si="117"/>
        <v>9.9440871538461536E-3</v>
      </c>
      <c r="O864">
        <f t="shared" si="118"/>
        <v>7.4262454230769239E-3</v>
      </c>
      <c r="P864">
        <f t="shared" si="114"/>
        <v>10.736358184903029</v>
      </c>
      <c r="Q864">
        <f t="shared" ref="Q864" si="121">ABS(0.5*(SUMPRODUCT(O864:O882,P865:P883)+O883*P864-(SUMPRODUCT(O865:O883,P864:P882)+O864*P883)))</f>
        <v>5.2591823776757529E-3</v>
      </c>
      <c r="R864">
        <f t="shared" si="119"/>
        <v>1.784199784649483E-3</v>
      </c>
    </row>
    <row r="865" spans="1:18" x14ac:dyDescent="0.2">
      <c r="A865" t="s">
        <v>876</v>
      </c>
      <c r="B865">
        <v>5.6488880999999997</v>
      </c>
      <c r="C865">
        <v>0.28320434999999999</v>
      </c>
      <c r="D865">
        <v>5.7993191099999999</v>
      </c>
      <c r="E865">
        <v>0.84944392999999996</v>
      </c>
      <c r="F865">
        <v>3.22844994</v>
      </c>
      <c r="G865">
        <v>1.2896370800000001</v>
      </c>
      <c r="H865">
        <v>2.6413452999999998</v>
      </c>
      <c r="I865">
        <v>9.6783300000000006E-3</v>
      </c>
      <c r="J865">
        <v>1</v>
      </c>
      <c r="K865">
        <v>950040</v>
      </c>
      <c r="L865">
        <f t="shared" si="115"/>
        <v>1.2417115153846154E-2</v>
      </c>
      <c r="M865">
        <f t="shared" si="116"/>
        <v>4.9601426153846155E-3</v>
      </c>
      <c r="N865">
        <f t="shared" si="117"/>
        <v>1.0159020384615384E-2</v>
      </c>
      <c r="O865">
        <f t="shared" si="118"/>
        <v>7.559581499999999E-3</v>
      </c>
      <c r="P865">
        <f t="shared" si="114"/>
        <v>16.02608789604523</v>
      </c>
      <c r="R865">
        <f t="shared" si="119"/>
        <v>2.8939319428156647E-3</v>
      </c>
    </row>
    <row r="866" spans="1:18" x14ac:dyDescent="0.2">
      <c r="A866" t="s">
        <v>877</v>
      </c>
      <c r="B866">
        <v>5.7122158599999997</v>
      </c>
      <c r="C866">
        <v>0.39120489000000003</v>
      </c>
      <c r="D866">
        <v>5.8679016500000003</v>
      </c>
      <c r="E866">
        <v>0.79018040000000001</v>
      </c>
      <c r="F866">
        <v>3.2265603</v>
      </c>
      <c r="G866">
        <v>1.30499152</v>
      </c>
      <c r="H866">
        <v>2.70485336</v>
      </c>
      <c r="I866">
        <v>9.6783300000000006E-3</v>
      </c>
      <c r="J866">
        <v>1</v>
      </c>
      <c r="K866">
        <v>950040</v>
      </c>
      <c r="L866">
        <f t="shared" si="115"/>
        <v>1.2409847307692307E-2</v>
      </c>
      <c r="M866">
        <f t="shared" si="116"/>
        <v>5.0191981538461536E-3</v>
      </c>
      <c r="N866">
        <f t="shared" si="117"/>
        <v>1.0403282153846154E-2</v>
      </c>
      <c r="O866">
        <f t="shared" si="118"/>
        <v>7.711240153846154E-3</v>
      </c>
      <c r="P866">
        <f t="shared" si="114"/>
        <v>22.137668268523086</v>
      </c>
      <c r="R866">
        <f t="shared" si="119"/>
        <v>3.8151538455049876E-3</v>
      </c>
    </row>
    <row r="867" spans="1:18" x14ac:dyDescent="0.2">
      <c r="A867" t="s">
        <v>878</v>
      </c>
      <c r="B867">
        <v>5.7708719000000004</v>
      </c>
      <c r="C867">
        <v>0.52495128000000002</v>
      </c>
      <c r="D867">
        <v>5.9385314300000003</v>
      </c>
      <c r="E867">
        <v>0.53337177000000002</v>
      </c>
      <c r="F867">
        <v>3.2303395799999999</v>
      </c>
      <c r="G867">
        <v>1.3188512800000001</v>
      </c>
      <c r="H867">
        <v>2.7675265200000001</v>
      </c>
      <c r="I867">
        <v>9.8609400000000003E-3</v>
      </c>
      <c r="J867">
        <v>1</v>
      </c>
      <c r="K867">
        <v>950040</v>
      </c>
      <c r="L867">
        <f t="shared" si="115"/>
        <v>1.2424382999999999E-2</v>
      </c>
      <c r="M867">
        <f t="shared" si="116"/>
        <v>5.0725049230769233E-3</v>
      </c>
      <c r="N867">
        <f t="shared" si="117"/>
        <v>1.0644332769230769E-2</v>
      </c>
      <c r="O867">
        <f t="shared" si="118"/>
        <v>7.8584188461538473E-3</v>
      </c>
      <c r="P867">
        <f t="shared" si="114"/>
        <v>29.706165722459598</v>
      </c>
      <c r="R867">
        <f t="shared" si="119"/>
        <v>4.4102375841198263E-3</v>
      </c>
    </row>
    <row r="868" spans="1:18" x14ac:dyDescent="0.2">
      <c r="A868" t="s">
        <v>879</v>
      </c>
      <c r="B868">
        <v>5.83264242</v>
      </c>
      <c r="C868">
        <v>0.70385193000000001</v>
      </c>
      <c r="D868">
        <v>5.99790139</v>
      </c>
      <c r="E868">
        <v>0.47410824000000001</v>
      </c>
      <c r="F868">
        <v>3.24624405</v>
      </c>
      <c r="G868">
        <v>1.3302651999999999</v>
      </c>
      <c r="H868">
        <v>2.8220733199999999</v>
      </c>
      <c r="I868">
        <v>9.8609400000000003E-3</v>
      </c>
      <c r="J868">
        <v>1</v>
      </c>
      <c r="K868">
        <v>950040</v>
      </c>
      <c r="L868">
        <f t="shared" si="115"/>
        <v>1.2485554038461539E-2</v>
      </c>
      <c r="M868">
        <f t="shared" si="116"/>
        <v>5.1164046153846154E-3</v>
      </c>
      <c r="N868">
        <f t="shared" si="117"/>
        <v>1.0854128153846154E-2</v>
      </c>
      <c r="O868">
        <f t="shared" si="118"/>
        <v>7.9852663846153842E-3</v>
      </c>
      <c r="P868">
        <f t="shared" si="114"/>
        <v>39.829871596185136</v>
      </c>
      <c r="R868">
        <f t="shared" si="119"/>
        <v>2.8676313141617594E-3</v>
      </c>
    </row>
    <row r="869" spans="1:18" x14ac:dyDescent="0.2">
      <c r="A869" t="s">
        <v>880</v>
      </c>
      <c r="B869">
        <v>5.8707947999999996</v>
      </c>
      <c r="C869">
        <v>0.82558359000000003</v>
      </c>
      <c r="D869">
        <v>6.0398698099999999</v>
      </c>
      <c r="E869">
        <v>0.47410824000000001</v>
      </c>
      <c r="F869">
        <v>3.2634082800000002</v>
      </c>
      <c r="G869">
        <v>1.3358362800000001</v>
      </c>
      <c r="H869">
        <v>2.8509608599999998</v>
      </c>
      <c r="I869">
        <v>9.6783300000000006E-3</v>
      </c>
      <c r="J869">
        <v>1</v>
      </c>
      <c r="K869">
        <v>950040</v>
      </c>
      <c r="L869">
        <f t="shared" si="115"/>
        <v>1.2551570307692309E-2</v>
      </c>
      <c r="M869">
        <f t="shared" si="116"/>
        <v>5.1378318461538465E-3</v>
      </c>
      <c r="N869">
        <f t="shared" si="117"/>
        <v>1.0965234076923076E-2</v>
      </c>
      <c r="O869">
        <f t="shared" si="118"/>
        <v>8.0515329615384601E-3</v>
      </c>
      <c r="P869">
        <f t="shared" si="114"/>
        <v>46.718474412107611</v>
      </c>
      <c r="R869">
        <f t="shared" si="119"/>
        <v>9.3750771838322874E-4</v>
      </c>
    </row>
    <row r="870" spans="1:18" x14ac:dyDescent="0.2">
      <c r="A870" t="s">
        <v>881</v>
      </c>
      <c r="B870">
        <v>5.88013824</v>
      </c>
      <c r="C870">
        <v>0.85502628000000003</v>
      </c>
      <c r="D870">
        <v>6.0526650599999998</v>
      </c>
      <c r="E870">
        <v>0.47410824000000001</v>
      </c>
      <c r="F870">
        <v>3.27600588</v>
      </c>
      <c r="G870">
        <v>1.33712714</v>
      </c>
      <c r="H870">
        <v>2.8599221199999998</v>
      </c>
      <c r="I870">
        <v>9.6783300000000006E-3</v>
      </c>
      <c r="J870">
        <v>1</v>
      </c>
      <c r="K870">
        <v>950040</v>
      </c>
      <c r="L870">
        <f t="shared" si="115"/>
        <v>1.2600022615384615E-2</v>
      </c>
      <c r="M870">
        <f t="shared" si="116"/>
        <v>5.1427966923076919E-3</v>
      </c>
      <c r="N870">
        <f t="shared" si="117"/>
        <v>1.0999700461538461E-2</v>
      </c>
      <c r="O870">
        <f t="shared" si="118"/>
        <v>8.0712485769230766E-3</v>
      </c>
      <c r="P870">
        <f t="shared" si="114"/>
        <v>48.384589843724434</v>
      </c>
      <c r="R870">
        <f t="shared" si="119"/>
        <v>3.2978388527467621E-4</v>
      </c>
    </row>
    <row r="871" spans="1:18" x14ac:dyDescent="0.2">
      <c r="A871" t="s">
        <v>882</v>
      </c>
      <c r="B871">
        <v>5.8816954800000003</v>
      </c>
      <c r="C871">
        <v>0.85581845999999995</v>
      </c>
      <c r="D871">
        <v>6.05573592</v>
      </c>
      <c r="E871">
        <v>0.47410824000000001</v>
      </c>
      <c r="F871">
        <v>3.2923827600000002</v>
      </c>
      <c r="G871">
        <v>1.3379424200000001</v>
      </c>
      <c r="H871">
        <v>2.8626494600000001</v>
      </c>
      <c r="I871">
        <v>9.3131099999999994E-3</v>
      </c>
      <c r="J871">
        <v>1</v>
      </c>
      <c r="K871">
        <v>950040</v>
      </c>
      <c r="L871">
        <f t="shared" si="115"/>
        <v>1.2663010615384615E-2</v>
      </c>
      <c r="M871">
        <f t="shared" si="116"/>
        <v>5.1459323846153853E-3</v>
      </c>
      <c r="N871">
        <f t="shared" si="117"/>
        <v>1.1010190230769231E-2</v>
      </c>
      <c r="O871">
        <f t="shared" si="118"/>
        <v>8.0780613076923084E-3</v>
      </c>
      <c r="P871">
        <f t="shared" si="114"/>
        <v>48.429418061615465</v>
      </c>
      <c r="R871">
        <f t="shared" si="119"/>
        <v>-1.1830211960704843E-4</v>
      </c>
    </row>
    <row r="872" spans="1:18" x14ac:dyDescent="0.2">
      <c r="A872" t="s">
        <v>883</v>
      </c>
      <c r="B872">
        <v>5.88013824</v>
      </c>
      <c r="C872">
        <v>0.81792584999999995</v>
      </c>
      <c r="D872">
        <v>6.04754696</v>
      </c>
      <c r="E872">
        <v>0.47410824000000001</v>
      </c>
      <c r="F872">
        <v>3.30671253</v>
      </c>
      <c r="G872">
        <v>1.3381462399999999</v>
      </c>
      <c r="H872">
        <v>2.8611466399999999</v>
      </c>
      <c r="I872">
        <v>9.3131099999999994E-3</v>
      </c>
      <c r="J872">
        <v>1</v>
      </c>
      <c r="K872">
        <v>950040</v>
      </c>
      <c r="L872">
        <f t="shared" si="115"/>
        <v>1.2718125115384615E-2</v>
      </c>
      <c r="M872">
        <f t="shared" si="116"/>
        <v>5.1467163076923074E-3</v>
      </c>
      <c r="N872">
        <f t="shared" si="117"/>
        <v>1.1004410153846154E-2</v>
      </c>
      <c r="O872">
        <f t="shared" si="118"/>
        <v>8.075563230769231E-3</v>
      </c>
      <c r="P872">
        <f t="shared" si="114"/>
        <v>46.285134972494262</v>
      </c>
      <c r="R872">
        <f t="shared" si="119"/>
        <v>-1.0545931247245759E-3</v>
      </c>
    </row>
    <row r="873" spans="1:18" x14ac:dyDescent="0.2">
      <c r="A873" t="s">
        <v>884</v>
      </c>
      <c r="B873">
        <v>5.8627490599999996</v>
      </c>
      <c r="C873">
        <v>0.70266366000000002</v>
      </c>
      <c r="D873">
        <v>6.0321926599999998</v>
      </c>
      <c r="E873">
        <v>0.47410824000000001</v>
      </c>
      <c r="F873">
        <v>3.31726302</v>
      </c>
      <c r="G873">
        <v>1.3381462399999999</v>
      </c>
      <c r="H873">
        <v>2.8484004999999999</v>
      </c>
      <c r="I873">
        <v>9.3131099999999994E-3</v>
      </c>
      <c r="J873">
        <v>1</v>
      </c>
      <c r="K873">
        <v>950040</v>
      </c>
      <c r="L873">
        <f t="shared" si="115"/>
        <v>1.2758703923076924E-2</v>
      </c>
      <c r="M873">
        <f t="shared" si="116"/>
        <v>5.1467163076923074E-3</v>
      </c>
      <c r="N873">
        <f t="shared" si="117"/>
        <v>1.0955386538461538E-2</v>
      </c>
      <c r="O873">
        <f t="shared" si="118"/>
        <v>8.0510514230769225E-3</v>
      </c>
      <c r="P873">
        <f t="shared" si="114"/>
        <v>39.762629269348587</v>
      </c>
      <c r="R873">
        <f t="shared" si="119"/>
        <v>-9.9635602981135727E-4</v>
      </c>
    </row>
    <row r="874" spans="1:18" x14ac:dyDescent="0.2">
      <c r="A874" t="s">
        <v>885</v>
      </c>
      <c r="B874">
        <v>5.8430240199999997</v>
      </c>
      <c r="C874">
        <v>0.61327935</v>
      </c>
      <c r="D874">
        <v>6.0193974099999998</v>
      </c>
      <c r="E874">
        <v>0.53337177000000002</v>
      </c>
      <c r="F874">
        <v>3.32592387</v>
      </c>
      <c r="G874">
        <v>1.3381462399999999</v>
      </c>
      <c r="H874">
        <v>2.8344855</v>
      </c>
      <c r="I874">
        <v>9.3131099999999994E-3</v>
      </c>
      <c r="J874">
        <v>1</v>
      </c>
      <c r="K874">
        <v>950040</v>
      </c>
      <c r="L874">
        <f t="shared" si="115"/>
        <v>1.2792014884615385E-2</v>
      </c>
      <c r="M874">
        <f t="shared" si="116"/>
        <v>5.1467163076923074E-3</v>
      </c>
      <c r="N874">
        <f t="shared" si="117"/>
        <v>1.0901867307692308E-2</v>
      </c>
      <c r="O874">
        <f t="shared" si="118"/>
        <v>8.0242918076923082E-3</v>
      </c>
      <c r="P874">
        <f t="shared" si="114"/>
        <v>34.704512017310066</v>
      </c>
      <c r="R874">
        <f t="shared" si="119"/>
        <v>-1.3401519332220948E-3</v>
      </c>
    </row>
    <row r="875" spans="1:18" x14ac:dyDescent="0.2">
      <c r="A875" t="s">
        <v>886</v>
      </c>
      <c r="B875">
        <v>5.8240775999999999</v>
      </c>
      <c r="C875">
        <v>0.52138647000000005</v>
      </c>
      <c r="D875">
        <v>5.9932951000000001</v>
      </c>
      <c r="E875">
        <v>0.53337177000000002</v>
      </c>
      <c r="F875">
        <v>3.3341123100000001</v>
      </c>
      <c r="G875">
        <v>1.3375347799999999</v>
      </c>
      <c r="H875">
        <v>2.8133903600000001</v>
      </c>
      <c r="I875">
        <v>9.3131099999999994E-3</v>
      </c>
      <c r="J875">
        <v>1</v>
      </c>
      <c r="K875">
        <v>950040</v>
      </c>
      <c r="L875">
        <f t="shared" si="115"/>
        <v>1.2823508884615385E-2</v>
      </c>
      <c r="M875">
        <f t="shared" si="116"/>
        <v>5.1443645384615377E-3</v>
      </c>
      <c r="N875">
        <f t="shared" si="117"/>
        <v>1.0820732153846154E-2</v>
      </c>
      <c r="O875">
        <f t="shared" si="118"/>
        <v>7.9825483461538459E-3</v>
      </c>
      <c r="P875">
        <f t="shared" si="114"/>
        <v>29.50443874194994</v>
      </c>
      <c r="R875">
        <f t="shared" si="119"/>
        <v>-2.0454626276551068E-3</v>
      </c>
    </row>
    <row r="876" spans="1:18" x14ac:dyDescent="0.2">
      <c r="A876" t="s">
        <v>887</v>
      </c>
      <c r="B876">
        <v>5.7913755599999996</v>
      </c>
      <c r="C876">
        <v>0.41866713</v>
      </c>
      <c r="D876">
        <v>5.9492794399999998</v>
      </c>
      <c r="E876">
        <v>0.53337177000000002</v>
      </c>
      <c r="F876">
        <v>3.33694677</v>
      </c>
      <c r="G876">
        <v>1.3333904400000001</v>
      </c>
      <c r="H876">
        <v>2.7775453200000002</v>
      </c>
      <c r="I876">
        <v>9.4957199999999992E-3</v>
      </c>
      <c r="J876">
        <v>1</v>
      </c>
      <c r="K876">
        <v>950040</v>
      </c>
      <c r="L876">
        <f t="shared" si="115"/>
        <v>1.2834410653846154E-2</v>
      </c>
      <c r="M876">
        <f t="shared" si="116"/>
        <v>5.1284247692307697E-3</v>
      </c>
      <c r="N876">
        <f t="shared" si="117"/>
        <v>1.0682866615384616E-2</v>
      </c>
      <c r="O876">
        <f t="shared" si="118"/>
        <v>7.9056456923076932E-3</v>
      </c>
      <c r="P876">
        <f t="shared" si="114"/>
        <v>23.691713155412319</v>
      </c>
      <c r="R876">
        <f t="shared" si="119"/>
        <v>-2.2232296021483535E-3</v>
      </c>
    </row>
    <row r="877" spans="1:18" x14ac:dyDescent="0.2">
      <c r="A877" t="s">
        <v>888</v>
      </c>
      <c r="B877">
        <v>5.7472537600000004</v>
      </c>
      <c r="C877">
        <v>0.32439771000000001</v>
      </c>
      <c r="D877">
        <v>5.90270473</v>
      </c>
      <c r="E877">
        <v>0.53337177000000002</v>
      </c>
      <c r="F877">
        <v>3.3336399000000001</v>
      </c>
      <c r="G877">
        <v>1.3251017599999999</v>
      </c>
      <c r="H877">
        <v>2.7308465800000001</v>
      </c>
      <c r="I877">
        <v>9.4957199999999992E-3</v>
      </c>
      <c r="J877">
        <v>1</v>
      </c>
      <c r="K877">
        <v>950040</v>
      </c>
      <c r="L877">
        <f t="shared" si="115"/>
        <v>1.2821691923076924E-2</v>
      </c>
      <c r="M877">
        <f t="shared" si="116"/>
        <v>5.0965452307692302E-3</v>
      </c>
      <c r="N877">
        <f t="shared" si="117"/>
        <v>1.0503256076923078E-2</v>
      </c>
      <c r="O877">
        <f t="shared" si="118"/>
        <v>7.7999006538461545E-3</v>
      </c>
      <c r="P877">
        <f t="shared" si="114"/>
        <v>18.357155226379081</v>
      </c>
      <c r="R877">
        <f t="shared" si="119"/>
        <v>-1.99001510926318E-3</v>
      </c>
    </row>
    <row r="878" spans="1:18" x14ac:dyDescent="0.2">
      <c r="A878" t="s">
        <v>889</v>
      </c>
      <c r="B878">
        <v>5.6987197800000002</v>
      </c>
      <c r="C878">
        <v>0.24055866000000001</v>
      </c>
      <c r="D878">
        <v>5.84026391</v>
      </c>
      <c r="E878">
        <v>0.53337177000000002</v>
      </c>
      <c r="F878">
        <v>3.32686869</v>
      </c>
      <c r="G878">
        <v>1.3136878400000001</v>
      </c>
      <c r="H878">
        <v>2.6775243</v>
      </c>
      <c r="I878">
        <v>9.6783300000000006E-3</v>
      </c>
      <c r="J878">
        <v>1</v>
      </c>
      <c r="K878">
        <v>950040</v>
      </c>
      <c r="L878">
        <f t="shared" si="115"/>
        <v>1.2795648807692307E-2</v>
      </c>
      <c r="M878">
        <f t="shared" si="116"/>
        <v>5.052645538461539E-3</v>
      </c>
      <c r="N878">
        <f t="shared" si="117"/>
        <v>1.0298170384615385E-2</v>
      </c>
      <c r="O878">
        <f t="shared" si="118"/>
        <v>7.6754079615384612E-3</v>
      </c>
      <c r="P878">
        <f t="shared" si="114"/>
        <v>13.612835499577812</v>
      </c>
      <c r="R878">
        <f t="shared" si="119"/>
        <v>-1.5237865748806117E-3</v>
      </c>
    </row>
    <row r="879" spans="1:18" x14ac:dyDescent="0.2">
      <c r="A879" t="s">
        <v>890</v>
      </c>
      <c r="B879">
        <v>5.6465522400000001</v>
      </c>
      <c r="C879">
        <v>0.16556562</v>
      </c>
      <c r="D879">
        <v>5.7839648099999996</v>
      </c>
      <c r="E879">
        <v>0.53337177000000002</v>
      </c>
      <c r="F879">
        <v>3.31679061</v>
      </c>
      <c r="G879">
        <v>1.29894486</v>
      </c>
      <c r="H879">
        <v>2.62331146</v>
      </c>
      <c r="I879">
        <v>9.6783300000000006E-3</v>
      </c>
      <c r="J879">
        <v>1</v>
      </c>
      <c r="K879">
        <v>950040</v>
      </c>
      <c r="L879">
        <f t="shared" si="115"/>
        <v>1.2756886961538462E-2</v>
      </c>
      <c r="M879">
        <f t="shared" si="116"/>
        <v>4.9959417692307688E-3</v>
      </c>
      <c r="N879">
        <f t="shared" si="117"/>
        <v>1.0089659461538461E-2</v>
      </c>
      <c r="O879">
        <f t="shared" si="118"/>
        <v>7.5428006153846153E-3</v>
      </c>
      <c r="P879">
        <f t="shared" si="114"/>
        <v>9.3690975392264413</v>
      </c>
      <c r="R879">
        <f t="shared" si="119"/>
        <v>-9.9218236683274309E-4</v>
      </c>
    </row>
    <row r="880" spans="1:18" x14ac:dyDescent="0.2">
      <c r="A880" t="s">
        <v>891</v>
      </c>
      <c r="B880">
        <v>5.5917893000000003</v>
      </c>
      <c r="C880">
        <v>0.10073889</v>
      </c>
      <c r="D880">
        <v>5.7353428600000003</v>
      </c>
      <c r="E880">
        <v>0.79018040000000001</v>
      </c>
      <c r="F880">
        <v>3.2999413199999998</v>
      </c>
      <c r="G880">
        <v>1.28379424</v>
      </c>
      <c r="H880">
        <v>2.5699891799999999</v>
      </c>
      <c r="I880">
        <v>1.004355E-2</v>
      </c>
      <c r="J880">
        <v>1</v>
      </c>
      <c r="K880">
        <v>950040</v>
      </c>
      <c r="L880">
        <f t="shared" si="115"/>
        <v>1.2692081999999999E-2</v>
      </c>
      <c r="M880">
        <f t="shared" si="116"/>
        <v>4.9376701538461536E-3</v>
      </c>
      <c r="N880">
        <f t="shared" si="117"/>
        <v>9.8845737692307683E-3</v>
      </c>
      <c r="O880">
        <f t="shared" si="118"/>
        <v>7.4111219615384614E-3</v>
      </c>
      <c r="P880">
        <f t="shared" si="114"/>
        <v>5.7006550418100277</v>
      </c>
      <c r="R880">
        <f t="shared" si="119"/>
        <v>-4.0751410874898501E-4</v>
      </c>
    </row>
    <row r="881" spans="1:19" x14ac:dyDescent="0.2">
      <c r="A881" t="s">
        <v>892</v>
      </c>
      <c r="B881">
        <v>5.5500033599999998</v>
      </c>
      <c r="C881">
        <v>5.2019820000000001E-2</v>
      </c>
      <c r="D881">
        <v>5.6918390099999998</v>
      </c>
      <c r="E881">
        <v>1.0864980500000001</v>
      </c>
      <c r="F881">
        <v>3.2797851599999999</v>
      </c>
      <c r="G881">
        <v>1.27244826</v>
      </c>
      <c r="H881">
        <v>2.5323073599999999</v>
      </c>
      <c r="I881">
        <v>1.004355E-2</v>
      </c>
      <c r="J881">
        <v>1</v>
      </c>
      <c r="K881">
        <v>950040</v>
      </c>
      <c r="L881">
        <f t="shared" si="115"/>
        <v>1.2614558307692307E-2</v>
      </c>
      <c r="M881">
        <f t="shared" si="116"/>
        <v>4.8940317692307694E-3</v>
      </c>
      <c r="N881">
        <f t="shared" si="117"/>
        <v>9.7396436923076913E-3</v>
      </c>
      <c r="O881">
        <f t="shared" si="118"/>
        <v>7.3168377307692304E-3</v>
      </c>
      <c r="P881">
        <f t="shared" si="114"/>
        <v>2.9437196415113385</v>
      </c>
      <c r="R881">
        <f t="shared" si="119"/>
        <v>-7.5739006478903461E-5</v>
      </c>
    </row>
    <row r="882" spans="1:19" x14ac:dyDescent="0.2">
      <c r="A882" t="s">
        <v>893</v>
      </c>
      <c r="B882">
        <v>5.5396217600000002</v>
      </c>
      <c r="C882">
        <v>5.0831550000000003E-2</v>
      </c>
      <c r="D882">
        <v>5.6821146200000001</v>
      </c>
      <c r="E882">
        <v>1.20502511</v>
      </c>
      <c r="F882">
        <v>3.2615186399999998</v>
      </c>
      <c r="G882">
        <v>1.2693230200000001</v>
      </c>
      <c r="H882">
        <v>2.5218989399999998</v>
      </c>
      <c r="I882">
        <v>9.8609400000000003E-3</v>
      </c>
      <c r="J882">
        <v>1</v>
      </c>
      <c r="K882">
        <v>950040</v>
      </c>
      <c r="L882">
        <f t="shared" si="115"/>
        <v>1.254430246153846E-2</v>
      </c>
      <c r="M882">
        <f t="shared" si="116"/>
        <v>4.882011615384616E-3</v>
      </c>
      <c r="N882">
        <f t="shared" si="117"/>
        <v>9.6996113076923077E-3</v>
      </c>
      <c r="O882">
        <f t="shared" si="118"/>
        <v>7.2908114615384606E-3</v>
      </c>
      <c r="P882">
        <f t="shared" si="114"/>
        <v>2.8764773146747848</v>
      </c>
      <c r="R882">
        <f t="shared" si="119"/>
        <v>1.8572381707458312E-4</v>
      </c>
    </row>
    <row r="883" spans="1:19" x14ac:dyDescent="0.2">
      <c r="A883" t="s">
        <v>894</v>
      </c>
      <c r="B883">
        <v>5.55856818</v>
      </c>
      <c r="C883">
        <v>0.10998099</v>
      </c>
      <c r="D883">
        <v>5.7056578800000004</v>
      </c>
      <c r="E883">
        <v>1.20502511</v>
      </c>
      <c r="F883">
        <v>3.2446693500000001</v>
      </c>
      <c r="G883">
        <v>1.2691192</v>
      </c>
      <c r="H883">
        <v>2.54332804</v>
      </c>
      <c r="I883">
        <v>9.6783300000000006E-3</v>
      </c>
      <c r="J883">
        <v>1</v>
      </c>
      <c r="K883">
        <v>950040</v>
      </c>
      <c r="L883">
        <f t="shared" si="115"/>
        <v>1.2479497500000001E-2</v>
      </c>
      <c r="M883">
        <f t="shared" si="116"/>
        <v>4.8812276923076922E-3</v>
      </c>
      <c r="N883">
        <f t="shared" si="117"/>
        <v>9.7820309230769228E-3</v>
      </c>
      <c r="O883">
        <f t="shared" si="118"/>
        <v>7.3316293076923075E-3</v>
      </c>
      <c r="P883">
        <f t="shared" si="114"/>
        <v>6.2236509172054433</v>
      </c>
      <c r="R883">
        <f t="shared" si="119"/>
        <v>7.9186641267168438E-4</v>
      </c>
    </row>
    <row r="884" spans="1:19" x14ac:dyDescent="0.2">
      <c r="A884" t="s">
        <v>895</v>
      </c>
      <c r="B884">
        <v>5.5974991799999998</v>
      </c>
      <c r="C884">
        <v>0.18972711</v>
      </c>
      <c r="D884">
        <v>5.7445554400000001</v>
      </c>
      <c r="E884">
        <v>1.0864980500000001</v>
      </c>
      <c r="F884">
        <v>3.2298671699999999</v>
      </c>
      <c r="G884">
        <v>1.2757093799999999</v>
      </c>
      <c r="H884">
        <v>2.5852956800000002</v>
      </c>
      <c r="I884">
        <v>1.004355E-2</v>
      </c>
      <c r="J884">
        <v>1</v>
      </c>
      <c r="K884">
        <v>950041</v>
      </c>
      <c r="L884">
        <f t="shared" si="115"/>
        <v>1.2422566038461537E-2</v>
      </c>
      <c r="M884">
        <f t="shared" si="116"/>
        <v>4.9065745384615379E-3</v>
      </c>
      <c r="N884">
        <f t="shared" si="117"/>
        <v>9.9434449230769231E-3</v>
      </c>
      <c r="O884">
        <f t="shared" si="118"/>
        <v>7.4250097307692314E-3</v>
      </c>
      <c r="P884">
        <f t="shared" si="114"/>
        <v>10.736358184903029</v>
      </c>
      <c r="Q884">
        <f t="shared" ref="Q884" si="122">ABS(0.5*(SUMPRODUCT(O884:O902,P885:P903)+O903*P884-(SUMPRODUCT(O885:O903,P884:P902)+O884*P903)))</f>
        <v>5.2187862656303263E-3</v>
      </c>
      <c r="R884">
        <f t="shared" si="119"/>
        <v>1.8191671480718434E-3</v>
      </c>
      <c r="S884">
        <f>ABS(SUMIFS($R:$R,$K:$K,K884))</f>
        <v>5.2162112473040072E-3</v>
      </c>
    </row>
    <row r="885" spans="1:19" x14ac:dyDescent="0.2">
      <c r="A885" t="s">
        <v>896</v>
      </c>
      <c r="B885">
        <v>5.6481094799999996</v>
      </c>
      <c r="C885">
        <v>0.28241217000000002</v>
      </c>
      <c r="D885">
        <v>5.7993191099999999</v>
      </c>
      <c r="E885">
        <v>0.84944392999999996</v>
      </c>
      <c r="F885">
        <v>3.2245131900000001</v>
      </c>
      <c r="G885">
        <v>1.2896370800000001</v>
      </c>
      <c r="H885">
        <v>2.6421801999999999</v>
      </c>
      <c r="I885">
        <v>1.004355E-2</v>
      </c>
      <c r="J885">
        <v>1</v>
      </c>
      <c r="K885">
        <v>950041</v>
      </c>
      <c r="L885">
        <f t="shared" si="115"/>
        <v>1.2401973807692309E-2</v>
      </c>
      <c r="M885">
        <f t="shared" si="116"/>
        <v>4.9601426153846155E-3</v>
      </c>
      <c r="N885">
        <f t="shared" si="117"/>
        <v>1.0162231538461538E-2</v>
      </c>
      <c r="O885">
        <f t="shared" si="118"/>
        <v>7.561187076923076E-3</v>
      </c>
      <c r="P885">
        <f t="shared" si="114"/>
        <v>15.981259678154196</v>
      </c>
      <c r="R885">
        <f t="shared" si="119"/>
        <v>2.8874594938523837E-3</v>
      </c>
    </row>
    <row r="886" spans="1:19" x14ac:dyDescent="0.2">
      <c r="A886" t="s">
        <v>897</v>
      </c>
      <c r="B886">
        <v>5.7083227599999997</v>
      </c>
      <c r="C886">
        <v>0.39160097999999999</v>
      </c>
      <c r="D886">
        <v>5.8714843200000004</v>
      </c>
      <c r="E886">
        <v>0.79018040000000001</v>
      </c>
      <c r="F886">
        <v>3.22797753</v>
      </c>
      <c r="G886">
        <v>1.30519534</v>
      </c>
      <c r="H886">
        <v>2.7053543000000002</v>
      </c>
      <c r="I886">
        <v>9.6783300000000006E-3</v>
      </c>
      <c r="J886">
        <v>1</v>
      </c>
      <c r="K886">
        <v>950041</v>
      </c>
      <c r="L886">
        <f t="shared" si="115"/>
        <v>1.2415298192307692E-2</v>
      </c>
      <c r="M886">
        <f t="shared" si="116"/>
        <v>5.0199820769230774E-3</v>
      </c>
      <c r="N886">
        <f t="shared" si="117"/>
        <v>1.0405208846153848E-2</v>
      </c>
      <c r="O886">
        <f t="shared" si="118"/>
        <v>7.7125954615384629E-3</v>
      </c>
      <c r="P886">
        <f t="shared" si="114"/>
        <v>22.160082377468601</v>
      </c>
      <c r="R886">
        <f t="shared" si="119"/>
        <v>3.8021410184602192E-3</v>
      </c>
    </row>
    <row r="887" spans="1:19" x14ac:dyDescent="0.2">
      <c r="A887" t="s">
        <v>898</v>
      </c>
      <c r="B887">
        <v>5.7700932800000002</v>
      </c>
      <c r="C887">
        <v>0.52587549</v>
      </c>
      <c r="D887">
        <v>5.9431377200000002</v>
      </c>
      <c r="E887">
        <v>0.53337177000000002</v>
      </c>
      <c r="F887">
        <v>3.2317568099999998</v>
      </c>
      <c r="G887">
        <v>1.3188512800000001</v>
      </c>
      <c r="H887">
        <v>2.76786048</v>
      </c>
      <c r="I887">
        <v>9.6783300000000006E-3</v>
      </c>
      <c r="J887">
        <v>1</v>
      </c>
      <c r="K887">
        <v>950041</v>
      </c>
      <c r="L887">
        <f t="shared" si="115"/>
        <v>1.2429833884615384E-2</v>
      </c>
      <c r="M887">
        <f t="shared" si="116"/>
        <v>5.0725049230769233E-3</v>
      </c>
      <c r="N887">
        <f t="shared" si="117"/>
        <v>1.0645617230769231E-2</v>
      </c>
      <c r="O887">
        <f t="shared" si="118"/>
        <v>7.8590610769230778E-3</v>
      </c>
      <c r="P887">
        <f t="shared" si="114"/>
        <v>29.758465309999139</v>
      </c>
      <c r="R887">
        <f t="shared" si="119"/>
        <v>4.4406631226228512E-3</v>
      </c>
    </row>
    <row r="888" spans="1:19" x14ac:dyDescent="0.2">
      <c r="A888" t="s">
        <v>899</v>
      </c>
      <c r="B888">
        <v>5.8303065600000004</v>
      </c>
      <c r="C888">
        <v>0.70517222999999996</v>
      </c>
      <c r="D888">
        <v>6.0071139699999998</v>
      </c>
      <c r="E888">
        <v>0.53337177000000002</v>
      </c>
      <c r="F888">
        <v>3.2427797100000002</v>
      </c>
      <c r="G888">
        <v>1.3302651999999999</v>
      </c>
      <c r="H888">
        <v>2.82274124</v>
      </c>
      <c r="I888">
        <v>9.8609400000000003E-3</v>
      </c>
      <c r="J888">
        <v>1</v>
      </c>
      <c r="K888">
        <v>950041</v>
      </c>
      <c r="L888">
        <f t="shared" si="115"/>
        <v>1.2472229653846154E-2</v>
      </c>
      <c r="M888">
        <f t="shared" si="116"/>
        <v>5.1164046153846154E-3</v>
      </c>
      <c r="N888">
        <f t="shared" si="117"/>
        <v>1.0856697076923078E-2</v>
      </c>
      <c r="O888">
        <f t="shared" si="118"/>
        <v>7.9865508461538469E-3</v>
      </c>
      <c r="P888">
        <f t="shared" si="114"/>
        <v>39.904585292670191</v>
      </c>
      <c r="R888">
        <f t="shared" si="119"/>
        <v>2.7960506457329155E-3</v>
      </c>
    </row>
    <row r="889" spans="1:19" x14ac:dyDescent="0.2">
      <c r="A889" t="s">
        <v>900</v>
      </c>
      <c r="B889">
        <v>5.8715734199999998</v>
      </c>
      <c r="C889">
        <v>0.82479141</v>
      </c>
      <c r="D889">
        <v>6.0398698099999999</v>
      </c>
      <c r="E889">
        <v>0.53337177000000002</v>
      </c>
      <c r="F889">
        <v>3.2610462299999998</v>
      </c>
      <c r="G889">
        <v>1.33563246</v>
      </c>
      <c r="H889">
        <v>2.8509608599999998</v>
      </c>
      <c r="I889">
        <v>9.8609400000000003E-3</v>
      </c>
      <c r="J889">
        <v>1</v>
      </c>
      <c r="K889">
        <v>950041</v>
      </c>
      <c r="L889">
        <f t="shared" si="115"/>
        <v>1.2542485499999999E-2</v>
      </c>
      <c r="M889">
        <f t="shared" si="116"/>
        <v>5.1370479230769235E-3</v>
      </c>
      <c r="N889">
        <f t="shared" si="117"/>
        <v>1.0965234076923076E-2</v>
      </c>
      <c r="O889">
        <f t="shared" si="118"/>
        <v>8.0511409999999995E-3</v>
      </c>
      <c r="P889">
        <f t="shared" si="114"/>
        <v>46.673646194216573</v>
      </c>
      <c r="R889">
        <f t="shared" si="119"/>
        <v>9.4357777891777492E-4</v>
      </c>
    </row>
    <row r="890" spans="1:19" x14ac:dyDescent="0.2">
      <c r="A890" t="s">
        <v>901</v>
      </c>
      <c r="B890">
        <v>5.88429088</v>
      </c>
      <c r="C890">
        <v>0.85463018999999996</v>
      </c>
      <c r="D890">
        <v>6.0460115300000004</v>
      </c>
      <c r="E890">
        <v>0.53337177000000002</v>
      </c>
      <c r="F890">
        <v>3.27789552</v>
      </c>
      <c r="G890">
        <v>1.3373309600000001</v>
      </c>
      <c r="H890">
        <v>2.8595881599999999</v>
      </c>
      <c r="I890">
        <v>9.8609400000000003E-3</v>
      </c>
      <c r="J890">
        <v>1</v>
      </c>
      <c r="K890">
        <v>950041</v>
      </c>
      <c r="L890">
        <f t="shared" si="115"/>
        <v>1.2607290461538462E-2</v>
      </c>
      <c r="M890">
        <f t="shared" si="116"/>
        <v>5.1435806153846157E-3</v>
      </c>
      <c r="N890">
        <f t="shared" si="117"/>
        <v>1.0998416E-2</v>
      </c>
      <c r="O890">
        <f t="shared" si="118"/>
        <v>8.0709983076923085E-3</v>
      </c>
      <c r="P890">
        <f t="shared" si="114"/>
        <v>48.362175734778916</v>
      </c>
      <c r="R890">
        <f t="shared" si="119"/>
        <v>2.9156625708654145E-4</v>
      </c>
    </row>
    <row r="891" spans="1:19" x14ac:dyDescent="0.2">
      <c r="A891" t="s">
        <v>902</v>
      </c>
      <c r="B891">
        <v>5.8850695000000002</v>
      </c>
      <c r="C891">
        <v>0.85463018999999996</v>
      </c>
      <c r="D891">
        <v>6.0542004900000004</v>
      </c>
      <c r="E891">
        <v>0.53337177000000002</v>
      </c>
      <c r="F891">
        <v>3.2903356499999998</v>
      </c>
      <c r="G891">
        <v>1.3377386</v>
      </c>
      <c r="H891">
        <v>2.8623154999999998</v>
      </c>
      <c r="I891">
        <v>9.6783300000000006E-3</v>
      </c>
      <c r="J891">
        <v>1</v>
      </c>
      <c r="K891">
        <v>950041</v>
      </c>
      <c r="L891">
        <f t="shared" si="115"/>
        <v>1.2655137115384615E-2</v>
      </c>
      <c r="M891">
        <f t="shared" si="116"/>
        <v>5.1451484615384615E-3</v>
      </c>
      <c r="N891">
        <f t="shared" si="117"/>
        <v>1.1008905769230769E-2</v>
      </c>
      <c r="O891">
        <f t="shared" si="118"/>
        <v>8.0770271153846156E-3</v>
      </c>
      <c r="P891">
        <f t="shared" si="114"/>
        <v>48.362175734778916</v>
      </c>
      <c r="R891">
        <f t="shared" si="119"/>
        <v>-1.0639966783526499E-4</v>
      </c>
    </row>
    <row r="892" spans="1:19" x14ac:dyDescent="0.2">
      <c r="A892" t="s">
        <v>903</v>
      </c>
      <c r="B892">
        <v>5.8809168600000001</v>
      </c>
      <c r="C892">
        <v>0.81832194000000003</v>
      </c>
      <c r="D892">
        <v>6.0490823899999997</v>
      </c>
      <c r="E892">
        <v>0.53337177000000002</v>
      </c>
      <c r="F892">
        <v>3.3052953</v>
      </c>
      <c r="G892">
        <v>1.3377386</v>
      </c>
      <c r="H892">
        <v>2.8611466399999999</v>
      </c>
      <c r="I892">
        <v>9.6783300000000006E-3</v>
      </c>
      <c r="J892">
        <v>1</v>
      </c>
      <c r="K892">
        <v>950041</v>
      </c>
      <c r="L892">
        <f t="shared" si="115"/>
        <v>1.271267423076923E-2</v>
      </c>
      <c r="M892">
        <f t="shared" si="116"/>
        <v>5.1451484615384615E-3</v>
      </c>
      <c r="N892">
        <f t="shared" si="117"/>
        <v>1.1004410153846154E-2</v>
      </c>
      <c r="O892">
        <f t="shared" si="118"/>
        <v>8.0747793076923081E-3</v>
      </c>
      <c r="P892">
        <f t="shared" si="114"/>
        <v>46.307549081439781</v>
      </c>
      <c r="R892">
        <f t="shared" si="119"/>
        <v>-1.0822243856343759E-3</v>
      </c>
    </row>
    <row r="893" spans="1:19" x14ac:dyDescent="0.2">
      <c r="A893" t="s">
        <v>904</v>
      </c>
      <c r="B893">
        <v>5.8643063</v>
      </c>
      <c r="C893">
        <v>0.70226756999999995</v>
      </c>
      <c r="D893">
        <v>6.03526352</v>
      </c>
      <c r="E893">
        <v>0.53337177000000002</v>
      </c>
      <c r="F893">
        <v>3.3182078399999999</v>
      </c>
      <c r="G893">
        <v>1.3377386</v>
      </c>
      <c r="H893">
        <v>2.84806654</v>
      </c>
      <c r="I893">
        <v>9.4957199999999992E-3</v>
      </c>
      <c r="J893">
        <v>1</v>
      </c>
      <c r="K893">
        <v>950041</v>
      </c>
      <c r="L893">
        <f t="shared" si="115"/>
        <v>1.2762337846153845E-2</v>
      </c>
      <c r="M893">
        <f t="shared" si="116"/>
        <v>5.1451484615384615E-3</v>
      </c>
      <c r="N893">
        <f t="shared" si="117"/>
        <v>1.0954102076923078E-2</v>
      </c>
      <c r="O893">
        <f t="shared" si="118"/>
        <v>8.0496252692307691E-3</v>
      </c>
      <c r="P893">
        <f t="shared" si="114"/>
        <v>39.740215160403061</v>
      </c>
      <c r="R893">
        <f t="shared" si="119"/>
        <v>-9.8291826890526822E-4</v>
      </c>
    </row>
    <row r="894" spans="1:19" x14ac:dyDescent="0.2">
      <c r="A894" t="s">
        <v>905</v>
      </c>
      <c r="B894">
        <v>5.8492529800000002</v>
      </c>
      <c r="C894">
        <v>0.61169499000000005</v>
      </c>
      <c r="D894">
        <v>6.0193974099999998</v>
      </c>
      <c r="E894">
        <v>0.53337177000000002</v>
      </c>
      <c r="F894">
        <v>3.32592387</v>
      </c>
      <c r="G894">
        <v>1.3377386</v>
      </c>
      <c r="H894">
        <v>2.8343185200000001</v>
      </c>
      <c r="I894">
        <v>9.4957199999999992E-3</v>
      </c>
      <c r="J894">
        <v>1</v>
      </c>
      <c r="K894">
        <v>950041</v>
      </c>
      <c r="L894">
        <f t="shared" si="115"/>
        <v>1.2792014884615385E-2</v>
      </c>
      <c r="M894">
        <f t="shared" si="116"/>
        <v>5.1451484615384615E-3</v>
      </c>
      <c r="N894">
        <f t="shared" si="117"/>
        <v>1.0901225076923078E-2</v>
      </c>
      <c r="O894">
        <f t="shared" si="118"/>
        <v>8.0231867692307692E-3</v>
      </c>
      <c r="P894">
        <f t="shared" si="114"/>
        <v>34.614855581527998</v>
      </c>
      <c r="R894">
        <f t="shared" si="119"/>
        <v>-1.3895931355122513E-3</v>
      </c>
    </row>
    <row r="895" spans="1:19" x14ac:dyDescent="0.2">
      <c r="A895" t="s">
        <v>906</v>
      </c>
      <c r="B895">
        <v>5.8240775999999999</v>
      </c>
      <c r="C895">
        <v>0.51940602000000002</v>
      </c>
      <c r="D895">
        <v>5.98971243</v>
      </c>
      <c r="E895">
        <v>0.47410824000000001</v>
      </c>
      <c r="F895">
        <v>3.3331674900000001</v>
      </c>
      <c r="G895">
        <v>1.3369233199999999</v>
      </c>
      <c r="H895">
        <v>2.81255546</v>
      </c>
      <c r="I895">
        <v>9.6783300000000006E-3</v>
      </c>
      <c r="J895">
        <v>1</v>
      </c>
      <c r="K895">
        <v>950041</v>
      </c>
      <c r="L895">
        <f t="shared" si="115"/>
        <v>1.2819874961538462E-2</v>
      </c>
      <c r="M895">
        <f t="shared" si="116"/>
        <v>5.142012769230769E-3</v>
      </c>
      <c r="N895">
        <f t="shared" si="117"/>
        <v>1.0817521E-2</v>
      </c>
      <c r="O895">
        <f t="shared" si="118"/>
        <v>7.9797668846153837E-3</v>
      </c>
      <c r="P895">
        <f t="shared" si="114"/>
        <v>29.39236819722235</v>
      </c>
      <c r="R895">
        <f t="shared" si="119"/>
        <v>-1.9956195459950835E-3</v>
      </c>
    </row>
    <row r="896" spans="1:19" x14ac:dyDescent="0.2">
      <c r="A896" t="s">
        <v>907</v>
      </c>
      <c r="B896">
        <v>5.7898183200000002</v>
      </c>
      <c r="C896">
        <v>0.41906322000000001</v>
      </c>
      <c r="D896">
        <v>5.9462085800000004</v>
      </c>
      <c r="E896">
        <v>0.47410824000000001</v>
      </c>
      <c r="F896">
        <v>3.3389938799999999</v>
      </c>
      <c r="G896">
        <v>1.33318662</v>
      </c>
      <c r="H896">
        <v>2.7772113599999999</v>
      </c>
      <c r="I896">
        <v>9.6783300000000006E-3</v>
      </c>
      <c r="J896">
        <v>1</v>
      </c>
      <c r="K896">
        <v>950041</v>
      </c>
      <c r="L896">
        <f t="shared" si="115"/>
        <v>1.2842284153846154E-2</v>
      </c>
      <c r="M896">
        <f t="shared" si="116"/>
        <v>5.1276408461538459E-3</v>
      </c>
      <c r="N896">
        <f t="shared" si="117"/>
        <v>1.0681582153846153E-2</v>
      </c>
      <c r="O896">
        <f t="shared" si="118"/>
        <v>7.9046115000000004E-3</v>
      </c>
      <c r="P896">
        <f t="shared" si="114"/>
        <v>23.714127264357838</v>
      </c>
      <c r="R896">
        <f t="shared" si="119"/>
        <v>-2.2018015002002954E-3</v>
      </c>
    </row>
    <row r="897" spans="1:19" x14ac:dyDescent="0.2">
      <c r="A897" t="s">
        <v>908</v>
      </c>
      <c r="B897">
        <v>5.7480323799999997</v>
      </c>
      <c r="C897">
        <v>0.32360552999999997</v>
      </c>
      <c r="D897">
        <v>5.8945157699999999</v>
      </c>
      <c r="E897">
        <v>0.47410824000000001</v>
      </c>
      <c r="F897">
        <v>3.33552954</v>
      </c>
      <c r="G897">
        <v>1.3248979400000001</v>
      </c>
      <c r="H897">
        <v>2.7310135600000001</v>
      </c>
      <c r="I897">
        <v>9.6783300000000006E-3</v>
      </c>
      <c r="J897">
        <v>1</v>
      </c>
      <c r="K897">
        <v>950041</v>
      </c>
      <c r="L897">
        <f t="shared" si="115"/>
        <v>1.2828959769230769E-2</v>
      </c>
      <c r="M897">
        <f t="shared" si="116"/>
        <v>5.0957613076923081E-3</v>
      </c>
      <c r="N897">
        <f t="shared" si="117"/>
        <v>1.0503898307692308E-2</v>
      </c>
      <c r="O897">
        <f t="shared" si="118"/>
        <v>7.7998298076923092E-3</v>
      </c>
      <c r="P897">
        <f t="shared" si="114"/>
        <v>18.312327008488044</v>
      </c>
      <c r="R897">
        <f t="shared" si="119"/>
        <v>-1.969482997526958E-3</v>
      </c>
    </row>
    <row r="898" spans="1:19" x14ac:dyDescent="0.2">
      <c r="A898" t="s">
        <v>909</v>
      </c>
      <c r="B898">
        <v>5.6994984000000004</v>
      </c>
      <c r="C898">
        <v>0.24135084000000001</v>
      </c>
      <c r="D898">
        <v>5.84026391</v>
      </c>
      <c r="E898">
        <v>0.47410824000000001</v>
      </c>
      <c r="F898">
        <v>3.3273410999999999</v>
      </c>
      <c r="G898">
        <v>1.31348402</v>
      </c>
      <c r="H898">
        <v>2.6783592000000001</v>
      </c>
      <c r="I898">
        <v>9.6783300000000006E-3</v>
      </c>
      <c r="J898">
        <v>1</v>
      </c>
      <c r="K898">
        <v>950041</v>
      </c>
      <c r="L898">
        <f t="shared" si="115"/>
        <v>1.2797465769230769E-2</v>
      </c>
      <c r="M898">
        <f t="shared" si="116"/>
        <v>5.0518616153846152E-3</v>
      </c>
      <c r="N898">
        <f t="shared" si="117"/>
        <v>1.0301381538461539E-2</v>
      </c>
      <c r="O898">
        <f t="shared" si="118"/>
        <v>7.6766215769230768E-3</v>
      </c>
      <c r="P898">
        <f t="shared" si="114"/>
        <v>13.65766371746885</v>
      </c>
      <c r="R898">
        <f t="shared" si="119"/>
        <v>-1.5408440893796831E-3</v>
      </c>
    </row>
    <row r="899" spans="1:19" x14ac:dyDescent="0.2">
      <c r="A899" t="s">
        <v>910</v>
      </c>
      <c r="B899">
        <v>5.6449949999999998</v>
      </c>
      <c r="C899">
        <v>0.1663578</v>
      </c>
      <c r="D899">
        <v>5.7839648099999996</v>
      </c>
      <c r="E899">
        <v>0.47410824000000001</v>
      </c>
      <c r="F899">
        <v>3.3177354299999999</v>
      </c>
      <c r="G899">
        <v>1.2987410399999999</v>
      </c>
      <c r="H899">
        <v>2.6236454199999999</v>
      </c>
      <c r="I899">
        <v>9.6783300000000006E-3</v>
      </c>
      <c r="J899">
        <v>1</v>
      </c>
      <c r="K899">
        <v>950041</v>
      </c>
      <c r="L899">
        <f t="shared" si="115"/>
        <v>1.2760520884615384E-2</v>
      </c>
      <c r="M899">
        <f t="shared" si="116"/>
        <v>4.9951578461538458E-3</v>
      </c>
      <c r="N899">
        <f t="shared" si="117"/>
        <v>1.0090943923076922E-2</v>
      </c>
      <c r="O899">
        <f t="shared" si="118"/>
        <v>7.5430508846153843E-3</v>
      </c>
      <c r="P899">
        <f t="shared" ref="P899:P962" si="123">+C899*4/(PI()*0.15^2)</f>
        <v>9.413925757117477</v>
      </c>
      <c r="R899">
        <f t="shared" si="119"/>
        <v>-9.8525993595393289E-4</v>
      </c>
    </row>
    <row r="900" spans="1:19" x14ac:dyDescent="0.2">
      <c r="A900" t="s">
        <v>911</v>
      </c>
      <c r="B900">
        <v>5.5943847</v>
      </c>
      <c r="C900">
        <v>0.10073889</v>
      </c>
      <c r="D900">
        <v>5.7338074299999997</v>
      </c>
      <c r="E900">
        <v>0.73091687000000005</v>
      </c>
      <c r="F900">
        <v>3.3034056600000001</v>
      </c>
      <c r="G900">
        <v>1.28426982</v>
      </c>
      <c r="H900">
        <v>2.5703231400000002</v>
      </c>
      <c r="I900">
        <v>9.4957199999999992E-3</v>
      </c>
      <c r="J900">
        <v>1</v>
      </c>
      <c r="K900">
        <v>950041</v>
      </c>
      <c r="L900">
        <f t="shared" ref="L900:L963" si="124">+F900/260</f>
        <v>1.2705406384615385E-2</v>
      </c>
      <c r="M900">
        <f t="shared" ref="M900:M963" si="125">+G900/260</f>
        <v>4.9394993076923074E-3</v>
      </c>
      <c r="N900">
        <f t="shared" ref="N900:N963" si="126">+H900/260</f>
        <v>9.885858230769231E-3</v>
      </c>
      <c r="O900">
        <f t="shared" ref="O900:O963" si="127">(+G900+H900)/520</f>
        <v>7.4126787692307692E-3</v>
      </c>
      <c r="P900">
        <f t="shared" si="123"/>
        <v>5.7006550418100277</v>
      </c>
      <c r="R900">
        <f t="shared" ref="R900:R963" si="128">+(P900+P901)/2*(O901-O900)</f>
        <v>-4.0499030450734912E-4</v>
      </c>
    </row>
    <row r="901" spans="1:19" x14ac:dyDescent="0.2">
      <c r="A901" t="s">
        <v>912</v>
      </c>
      <c r="B901">
        <v>5.5531178399999996</v>
      </c>
      <c r="C901">
        <v>5.3604180000000001E-2</v>
      </c>
      <c r="D901">
        <v>5.6903035800000001</v>
      </c>
      <c r="E901">
        <v>1.0864980500000001</v>
      </c>
      <c r="F901">
        <v>3.2816747999999998</v>
      </c>
      <c r="G901">
        <v>1.27305972</v>
      </c>
      <c r="H901">
        <v>2.5333092399999999</v>
      </c>
      <c r="I901">
        <v>9.4957199999999992E-3</v>
      </c>
      <c r="J901">
        <v>1</v>
      </c>
      <c r="K901">
        <v>950041</v>
      </c>
      <c r="L901">
        <f t="shared" si="124"/>
        <v>1.2621826153846154E-2</v>
      </c>
      <c r="M901">
        <f t="shared" si="125"/>
        <v>4.8963835384615382E-3</v>
      </c>
      <c r="N901">
        <f t="shared" si="126"/>
        <v>9.7434970769230758E-3</v>
      </c>
      <c r="O901">
        <f t="shared" si="127"/>
        <v>7.3199403076923079E-3</v>
      </c>
      <c r="P901">
        <f t="shared" si="123"/>
        <v>3.0333760772934095</v>
      </c>
      <c r="R901">
        <f t="shared" si="128"/>
        <v>-8.5770432316658479E-5</v>
      </c>
    </row>
    <row r="902" spans="1:19" x14ac:dyDescent="0.2">
      <c r="A902" t="s">
        <v>913</v>
      </c>
      <c r="B902">
        <v>5.5380645199999998</v>
      </c>
      <c r="C902">
        <v>5.162373E-2</v>
      </c>
      <c r="D902">
        <v>5.6821146200000001</v>
      </c>
      <c r="E902">
        <v>1.0864980500000001</v>
      </c>
      <c r="F902">
        <v>3.2624634600000002</v>
      </c>
      <c r="G902">
        <v>1.2693230200000001</v>
      </c>
      <c r="H902">
        <v>2.5220659200000002</v>
      </c>
      <c r="I902">
        <v>9.4957199999999992E-3</v>
      </c>
      <c r="J902">
        <v>1</v>
      </c>
      <c r="K902">
        <v>950041</v>
      </c>
      <c r="L902">
        <f t="shared" si="124"/>
        <v>1.2547936384615386E-2</v>
      </c>
      <c r="M902">
        <f t="shared" si="125"/>
        <v>4.882011615384616E-3</v>
      </c>
      <c r="N902">
        <f t="shared" si="126"/>
        <v>9.7002535384615399E-3</v>
      </c>
      <c r="O902">
        <f t="shared" si="127"/>
        <v>7.2911325769230767E-3</v>
      </c>
      <c r="P902">
        <f t="shared" si="123"/>
        <v>2.9213055325658206</v>
      </c>
      <c r="R902">
        <f t="shared" si="128"/>
        <v>1.7592840447633152E-4</v>
      </c>
    </row>
    <row r="903" spans="1:19" x14ac:dyDescent="0.2">
      <c r="A903" t="s">
        <v>914</v>
      </c>
      <c r="B903">
        <v>5.5562323200000003</v>
      </c>
      <c r="C903">
        <v>0.1095849</v>
      </c>
      <c r="D903">
        <v>5.7025870200000002</v>
      </c>
      <c r="E903">
        <v>1.0864980500000001</v>
      </c>
      <c r="F903">
        <v>3.24766128</v>
      </c>
      <c r="G903">
        <v>1.2691192</v>
      </c>
      <c r="H903">
        <v>2.54232616</v>
      </c>
      <c r="I903">
        <v>9.8609400000000003E-3</v>
      </c>
      <c r="J903">
        <v>1</v>
      </c>
      <c r="K903">
        <v>950041</v>
      </c>
      <c r="L903">
        <f t="shared" si="124"/>
        <v>1.2491004923076922E-2</v>
      </c>
      <c r="M903">
        <f t="shared" si="125"/>
        <v>4.8812276923076922E-3</v>
      </c>
      <c r="N903">
        <f t="shared" si="126"/>
        <v>9.7781775384615383E-3</v>
      </c>
      <c r="O903">
        <f t="shared" si="127"/>
        <v>7.3297026153846152E-3</v>
      </c>
      <c r="P903">
        <f t="shared" si="123"/>
        <v>6.2012368082599254</v>
      </c>
      <c r="R903">
        <f t="shared" si="128"/>
        <v>8.045616418502654E-4</v>
      </c>
    </row>
    <row r="904" spans="1:19" x14ac:dyDescent="0.2">
      <c r="A904" t="s">
        <v>915</v>
      </c>
      <c r="B904">
        <v>5.5925679199999996</v>
      </c>
      <c r="C904">
        <v>0.18814275</v>
      </c>
      <c r="D904">
        <v>5.7430200100000004</v>
      </c>
      <c r="E904">
        <v>0.90870746000000002</v>
      </c>
      <c r="F904">
        <v>3.2341188600000002</v>
      </c>
      <c r="G904">
        <v>1.2759811400000001</v>
      </c>
      <c r="H904">
        <v>2.5851286999999998</v>
      </c>
      <c r="I904">
        <v>9.8609400000000003E-3</v>
      </c>
      <c r="J904">
        <v>1</v>
      </c>
      <c r="K904">
        <v>950042</v>
      </c>
      <c r="L904">
        <f t="shared" si="124"/>
        <v>1.2438918692307692E-2</v>
      </c>
      <c r="M904">
        <f t="shared" si="125"/>
        <v>4.9076197692307696E-3</v>
      </c>
      <c r="N904">
        <f t="shared" si="126"/>
        <v>9.9428026923076909E-3</v>
      </c>
      <c r="O904">
        <f t="shared" si="127"/>
        <v>7.4252112307692311E-3</v>
      </c>
      <c r="P904">
        <f t="shared" si="123"/>
        <v>10.646701749120957</v>
      </c>
      <c r="Q904">
        <f t="shared" ref="Q904" si="129">ABS(0.5*(SUMPRODUCT(O904:O922,P905:P923)+O923*P904-(SUMPRODUCT(O905:O923,P904:P922)+O904*P923)))</f>
        <v>5.1789356719018631E-3</v>
      </c>
      <c r="R904">
        <f t="shared" si="128"/>
        <v>1.8366327482064097E-3</v>
      </c>
    </row>
    <row r="905" spans="1:19" x14ac:dyDescent="0.2">
      <c r="A905" t="s">
        <v>916</v>
      </c>
      <c r="B905">
        <v>5.6457736199999999</v>
      </c>
      <c r="C905">
        <v>0.28452464999999999</v>
      </c>
      <c r="D905">
        <v>5.8023899700000001</v>
      </c>
      <c r="E905">
        <v>0.84944392999999996</v>
      </c>
      <c r="F905">
        <v>3.2245131900000001</v>
      </c>
      <c r="G905">
        <v>1.2898409</v>
      </c>
      <c r="H905">
        <v>2.6426811400000001</v>
      </c>
      <c r="I905">
        <v>9.8609400000000003E-3</v>
      </c>
      <c r="J905">
        <v>1</v>
      </c>
      <c r="K905">
        <v>950042</v>
      </c>
      <c r="L905">
        <f t="shared" si="124"/>
        <v>1.2401973807692309E-2</v>
      </c>
      <c r="M905">
        <f t="shared" si="125"/>
        <v>4.9609265384615384E-3</v>
      </c>
      <c r="N905">
        <f t="shared" si="126"/>
        <v>1.0164158230769231E-2</v>
      </c>
      <c r="O905">
        <f t="shared" si="127"/>
        <v>7.5625423846153849E-3</v>
      </c>
      <c r="P905">
        <f t="shared" si="123"/>
        <v>16.100801592530289</v>
      </c>
      <c r="R905">
        <f t="shared" si="128"/>
        <v>2.9356871965715106E-3</v>
      </c>
      <c r="S905">
        <f>ABS(SUMIFS($R:$R,$K:$K,K905))</f>
        <v>5.1842882240502354E-3</v>
      </c>
    </row>
    <row r="906" spans="1:19" x14ac:dyDescent="0.2">
      <c r="A906" t="s">
        <v>917</v>
      </c>
      <c r="B906">
        <v>5.7106586200000002</v>
      </c>
      <c r="C906">
        <v>0.39450563999999999</v>
      </c>
      <c r="D906">
        <v>5.8699488899999999</v>
      </c>
      <c r="E906">
        <v>0.61238981000000003</v>
      </c>
      <c r="F906">
        <v>3.22797753</v>
      </c>
      <c r="G906">
        <v>1.3053991599999999</v>
      </c>
      <c r="H906">
        <v>2.7065788199999998</v>
      </c>
      <c r="I906">
        <v>9.8609400000000003E-3</v>
      </c>
      <c r="J906">
        <v>1</v>
      </c>
      <c r="K906">
        <v>950042</v>
      </c>
      <c r="L906">
        <f t="shared" si="124"/>
        <v>1.2415298192307692E-2</v>
      </c>
      <c r="M906">
        <f t="shared" si="125"/>
        <v>5.0207659999999994E-3</v>
      </c>
      <c r="N906">
        <f t="shared" si="126"/>
        <v>1.0409918538461538E-2</v>
      </c>
      <c r="O906">
        <f t="shared" si="127"/>
        <v>7.7153422692307679E-3</v>
      </c>
      <c r="P906">
        <f t="shared" si="123"/>
        <v>22.324452509735732</v>
      </c>
      <c r="R906">
        <f t="shared" si="128"/>
        <v>3.8326555039062699E-3</v>
      </c>
    </row>
    <row r="907" spans="1:19" x14ac:dyDescent="0.2">
      <c r="A907" t="s">
        <v>918</v>
      </c>
      <c r="B907">
        <v>5.7724291399999998</v>
      </c>
      <c r="C907">
        <v>0.52944029999999997</v>
      </c>
      <c r="D907">
        <v>5.9385314300000003</v>
      </c>
      <c r="E907">
        <v>0.53337177000000002</v>
      </c>
      <c r="F907">
        <v>3.2345912700000001</v>
      </c>
      <c r="G907">
        <v>1.3194627400000001</v>
      </c>
      <c r="H907">
        <v>2.7687510400000002</v>
      </c>
      <c r="I907">
        <v>9.6783300000000006E-3</v>
      </c>
      <c r="J907">
        <v>1</v>
      </c>
      <c r="K907">
        <v>950042</v>
      </c>
      <c r="L907">
        <f t="shared" si="124"/>
        <v>1.2440735653846154E-2</v>
      </c>
      <c r="M907">
        <f t="shared" si="125"/>
        <v>5.0748566923076929E-3</v>
      </c>
      <c r="N907">
        <f t="shared" si="126"/>
        <v>1.0649042461538463E-2</v>
      </c>
      <c r="O907">
        <f t="shared" si="127"/>
        <v>7.861949576923077E-3</v>
      </c>
      <c r="P907">
        <f t="shared" si="123"/>
        <v>29.960192290508797</v>
      </c>
      <c r="R907">
        <f t="shared" si="128"/>
        <v>4.4401319108270882E-3</v>
      </c>
    </row>
    <row r="908" spans="1:19" x14ac:dyDescent="0.2">
      <c r="A908" t="s">
        <v>919</v>
      </c>
      <c r="B908">
        <v>5.8318637999999998</v>
      </c>
      <c r="C908">
        <v>0.70873704000000004</v>
      </c>
      <c r="D908">
        <v>6.0040431099999996</v>
      </c>
      <c r="E908">
        <v>0.47410824000000001</v>
      </c>
      <c r="F908">
        <v>3.2452992300000001</v>
      </c>
      <c r="G908">
        <v>1.3308766599999999</v>
      </c>
      <c r="H908">
        <v>2.8232421799999998</v>
      </c>
      <c r="I908">
        <v>9.4957199999999992E-3</v>
      </c>
      <c r="J908">
        <v>1</v>
      </c>
      <c r="K908">
        <v>950042</v>
      </c>
      <c r="L908">
        <f t="shared" si="124"/>
        <v>1.2481920115384616E-2</v>
      </c>
      <c r="M908">
        <f t="shared" si="125"/>
        <v>5.1187563846153842E-3</v>
      </c>
      <c r="N908">
        <f t="shared" si="126"/>
        <v>1.0858623769230769E-2</v>
      </c>
      <c r="O908">
        <f t="shared" si="127"/>
        <v>7.988690076923077E-3</v>
      </c>
      <c r="P908">
        <f t="shared" si="123"/>
        <v>40.10631227317986</v>
      </c>
      <c r="R908">
        <f t="shared" si="128"/>
        <v>2.7780114469984963E-3</v>
      </c>
    </row>
    <row r="909" spans="1:19" x14ac:dyDescent="0.2">
      <c r="A909" t="s">
        <v>920</v>
      </c>
      <c r="B909">
        <v>5.8692375600000002</v>
      </c>
      <c r="C909">
        <v>0.82518749999999996</v>
      </c>
      <c r="D909">
        <v>6.0383343800000002</v>
      </c>
      <c r="E909">
        <v>0.47410824000000001</v>
      </c>
      <c r="F909">
        <v>3.2615186399999998</v>
      </c>
      <c r="G909">
        <v>1.3361080400000001</v>
      </c>
      <c r="H909">
        <v>2.8512948200000001</v>
      </c>
      <c r="I909">
        <v>9.6783300000000006E-3</v>
      </c>
      <c r="J909">
        <v>1</v>
      </c>
      <c r="K909">
        <v>950042</v>
      </c>
      <c r="L909">
        <f t="shared" si="124"/>
        <v>1.254430246153846E-2</v>
      </c>
      <c r="M909">
        <f t="shared" si="125"/>
        <v>5.1388770769230773E-3</v>
      </c>
      <c r="N909">
        <f t="shared" si="126"/>
        <v>1.0966518538461539E-2</v>
      </c>
      <c r="O909">
        <f t="shared" si="127"/>
        <v>8.0526978076923082E-3</v>
      </c>
      <c r="P909">
        <f t="shared" si="123"/>
        <v>46.696060303162092</v>
      </c>
      <c r="R909">
        <f t="shared" si="128"/>
        <v>8.4594397497758406E-4</v>
      </c>
    </row>
    <row r="910" spans="1:19" x14ac:dyDescent="0.2">
      <c r="A910" t="s">
        <v>921</v>
      </c>
      <c r="B910">
        <v>5.8793596199999998</v>
      </c>
      <c r="C910">
        <v>0.85093335000000003</v>
      </c>
      <c r="D910">
        <v>6.0490823899999997</v>
      </c>
      <c r="E910">
        <v>0.47410824000000001</v>
      </c>
      <c r="F910">
        <v>3.2797851599999999</v>
      </c>
      <c r="G910">
        <v>1.3369233199999999</v>
      </c>
      <c r="H910">
        <v>2.8597551399999999</v>
      </c>
      <c r="I910">
        <v>9.6783300000000006E-3</v>
      </c>
      <c r="J910">
        <v>1</v>
      </c>
      <c r="K910">
        <v>950042</v>
      </c>
      <c r="L910">
        <f t="shared" si="124"/>
        <v>1.2614558307692307E-2</v>
      </c>
      <c r="M910">
        <f t="shared" si="125"/>
        <v>5.142012769230769E-3</v>
      </c>
      <c r="N910">
        <f t="shared" si="126"/>
        <v>1.0999058230769231E-2</v>
      </c>
      <c r="O910">
        <f t="shared" si="127"/>
        <v>8.0705354999999982E-3</v>
      </c>
      <c r="P910">
        <f t="shared" si="123"/>
        <v>48.152977384620748</v>
      </c>
      <c r="R910">
        <f t="shared" si="128"/>
        <v>2.2532227937552287E-4</v>
      </c>
    </row>
    <row r="911" spans="1:19" x14ac:dyDescent="0.2">
      <c r="A911" t="s">
        <v>922</v>
      </c>
      <c r="B911">
        <v>5.8824740999999996</v>
      </c>
      <c r="C911">
        <v>0.85304583</v>
      </c>
      <c r="D911">
        <v>6.0511296300000001</v>
      </c>
      <c r="E911">
        <v>0.47410824000000001</v>
      </c>
      <c r="F911">
        <v>3.2952172200000001</v>
      </c>
      <c r="G911">
        <v>1.33712714</v>
      </c>
      <c r="H911">
        <v>2.8619815399999999</v>
      </c>
      <c r="I911">
        <v>9.6783300000000006E-3</v>
      </c>
      <c r="J911">
        <v>1</v>
      </c>
      <c r="K911">
        <v>950042</v>
      </c>
      <c r="L911">
        <f t="shared" si="124"/>
        <v>1.2673912384615385E-2</v>
      </c>
      <c r="M911">
        <f t="shared" si="125"/>
        <v>5.1427966923076919E-3</v>
      </c>
      <c r="N911">
        <f t="shared" si="126"/>
        <v>1.1007621307692308E-2</v>
      </c>
      <c r="O911">
        <f t="shared" si="127"/>
        <v>8.0752089999999999E-3</v>
      </c>
      <c r="P911">
        <f t="shared" si="123"/>
        <v>48.272519298996841</v>
      </c>
      <c r="R911">
        <f t="shared" si="128"/>
        <v>-3.5539378810343777E-5</v>
      </c>
    </row>
    <row r="912" spans="1:19" x14ac:dyDescent="0.2">
      <c r="A912" t="s">
        <v>923</v>
      </c>
      <c r="B912">
        <v>5.8809168600000001</v>
      </c>
      <c r="C912">
        <v>0.81990629999999998</v>
      </c>
      <c r="D912">
        <v>6.0444760999999998</v>
      </c>
      <c r="E912">
        <v>0.47410824000000001</v>
      </c>
      <c r="F912">
        <v>3.30671253</v>
      </c>
      <c r="G912">
        <v>1.3377386</v>
      </c>
      <c r="H912">
        <v>2.8609796599999999</v>
      </c>
      <c r="I912">
        <v>9.6783300000000006E-3</v>
      </c>
      <c r="J912">
        <v>1</v>
      </c>
      <c r="K912">
        <v>950042</v>
      </c>
      <c r="L912">
        <f t="shared" si="124"/>
        <v>1.2718125115384615E-2</v>
      </c>
      <c r="M912">
        <f t="shared" si="125"/>
        <v>5.1451484615384615E-3</v>
      </c>
      <c r="N912">
        <f t="shared" si="126"/>
        <v>1.1003767923076923E-2</v>
      </c>
      <c r="O912">
        <f t="shared" si="127"/>
        <v>8.074458192307692E-3</v>
      </c>
      <c r="P912">
        <f t="shared" si="123"/>
        <v>46.397205517221856</v>
      </c>
      <c r="R912">
        <f t="shared" si="128"/>
        <v>-1.0610390240321556E-3</v>
      </c>
    </row>
    <row r="913" spans="1:19" x14ac:dyDescent="0.2">
      <c r="A913" t="s">
        <v>924</v>
      </c>
      <c r="B913">
        <v>5.8643063</v>
      </c>
      <c r="C913">
        <v>0.70556832000000003</v>
      </c>
      <c r="D913">
        <v>6.0306572300000001</v>
      </c>
      <c r="E913">
        <v>0.47410824000000001</v>
      </c>
      <c r="F913">
        <v>3.3207273599999998</v>
      </c>
      <c r="G913">
        <v>1.3375347799999999</v>
      </c>
      <c r="H913">
        <v>2.8484004999999999</v>
      </c>
      <c r="I913">
        <v>9.3131099999999994E-3</v>
      </c>
      <c r="J913">
        <v>1</v>
      </c>
      <c r="K913">
        <v>950042</v>
      </c>
      <c r="L913">
        <f t="shared" si="124"/>
        <v>1.2772028307692307E-2</v>
      </c>
      <c r="M913">
        <f t="shared" si="125"/>
        <v>5.1443645384615377E-3</v>
      </c>
      <c r="N913">
        <f t="shared" si="126"/>
        <v>1.0955386538461538E-2</v>
      </c>
      <c r="O913">
        <f t="shared" si="127"/>
        <v>8.0498755384615372E-3</v>
      </c>
      <c r="P913">
        <f t="shared" si="123"/>
        <v>39.926999401615717</v>
      </c>
      <c r="R913">
        <f t="shared" si="128"/>
        <v>-1.0195706192894793E-3</v>
      </c>
    </row>
    <row r="914" spans="1:19" x14ac:dyDescent="0.2">
      <c r="A914" t="s">
        <v>925</v>
      </c>
      <c r="B914">
        <v>5.8492529800000002</v>
      </c>
      <c r="C914">
        <v>0.61288326000000004</v>
      </c>
      <c r="D914">
        <v>6.0117202599999997</v>
      </c>
      <c r="E914">
        <v>0.47410824000000001</v>
      </c>
      <c r="F914">
        <v>3.3308054399999998</v>
      </c>
      <c r="G914">
        <v>1.3377386</v>
      </c>
      <c r="H914">
        <v>2.8339845600000002</v>
      </c>
      <c r="I914">
        <v>9.4957199999999992E-3</v>
      </c>
      <c r="J914">
        <v>1</v>
      </c>
      <c r="K914">
        <v>950042</v>
      </c>
      <c r="L914">
        <f t="shared" si="124"/>
        <v>1.2810790153846154E-2</v>
      </c>
      <c r="M914">
        <f t="shared" si="125"/>
        <v>5.1451484615384615E-3</v>
      </c>
      <c r="N914">
        <f t="shared" si="126"/>
        <v>1.0899940615384617E-2</v>
      </c>
      <c r="O914">
        <f t="shared" si="127"/>
        <v>8.0225445384615388E-3</v>
      </c>
      <c r="P914">
        <f t="shared" si="123"/>
        <v>34.682097908364554</v>
      </c>
      <c r="R914">
        <f t="shared" si="128"/>
        <v>-1.296187858542333E-3</v>
      </c>
    </row>
    <row r="915" spans="1:19" x14ac:dyDescent="0.2">
      <c r="A915" t="s">
        <v>926</v>
      </c>
      <c r="B915">
        <v>5.8256348400000002</v>
      </c>
      <c r="C915">
        <v>0.52138647000000005</v>
      </c>
      <c r="D915">
        <v>5.98971243</v>
      </c>
      <c r="E915">
        <v>0.47410824000000001</v>
      </c>
      <c r="F915">
        <v>3.3345847200000001</v>
      </c>
      <c r="G915">
        <v>1.3373309600000001</v>
      </c>
      <c r="H915">
        <v>2.8133903600000001</v>
      </c>
      <c r="I915">
        <v>9.4957199999999992E-3</v>
      </c>
      <c r="J915">
        <v>1</v>
      </c>
      <c r="K915">
        <v>950042</v>
      </c>
      <c r="L915">
        <f t="shared" si="124"/>
        <v>1.2825325846153847E-2</v>
      </c>
      <c r="M915">
        <f t="shared" si="125"/>
        <v>5.1435806153846157E-3</v>
      </c>
      <c r="N915">
        <f t="shared" si="126"/>
        <v>1.0820732153846154E-2</v>
      </c>
      <c r="O915">
        <f t="shared" si="127"/>
        <v>7.9821563846153853E-3</v>
      </c>
      <c r="P915">
        <f t="shared" si="123"/>
        <v>29.50443874194994</v>
      </c>
      <c r="R915">
        <f t="shared" si="128"/>
        <v>-1.9947255425929607E-3</v>
      </c>
    </row>
    <row r="916" spans="1:19" x14ac:dyDescent="0.2">
      <c r="A916" t="s">
        <v>927</v>
      </c>
      <c r="B916">
        <v>5.7955281999999997</v>
      </c>
      <c r="C916">
        <v>0.42025149000000001</v>
      </c>
      <c r="D916">
        <v>5.9477440100000001</v>
      </c>
      <c r="E916">
        <v>0.47410824000000001</v>
      </c>
      <c r="F916">
        <v>3.3394662899999998</v>
      </c>
      <c r="G916">
        <v>1.33318662</v>
      </c>
      <c r="H916">
        <v>2.7786028599999999</v>
      </c>
      <c r="I916">
        <v>9.4957199999999992E-3</v>
      </c>
      <c r="J916">
        <v>1</v>
      </c>
      <c r="K916">
        <v>950042</v>
      </c>
      <c r="L916">
        <f t="shared" si="124"/>
        <v>1.2844101115384615E-2</v>
      </c>
      <c r="M916">
        <f t="shared" si="125"/>
        <v>5.1276408461538459E-3</v>
      </c>
      <c r="N916">
        <f t="shared" si="126"/>
        <v>1.0686934076923076E-2</v>
      </c>
      <c r="O916">
        <f t="shared" si="127"/>
        <v>7.9072874615384609E-3</v>
      </c>
      <c r="P916">
        <f t="shared" si="123"/>
        <v>23.781369591194391</v>
      </c>
      <c r="R916">
        <f t="shared" si="128"/>
        <v>-2.2258249033744498E-3</v>
      </c>
    </row>
    <row r="917" spans="1:19" x14ac:dyDescent="0.2">
      <c r="A917" t="s">
        <v>928</v>
      </c>
      <c r="B917">
        <v>5.7511468600000004</v>
      </c>
      <c r="C917">
        <v>0.32518988999999998</v>
      </c>
      <c r="D917">
        <v>5.8975866300000002</v>
      </c>
      <c r="E917">
        <v>0.47410824000000001</v>
      </c>
      <c r="F917">
        <v>3.3399386999999998</v>
      </c>
      <c r="G917">
        <v>1.3248979400000001</v>
      </c>
      <c r="H917">
        <v>2.7320154400000001</v>
      </c>
      <c r="I917">
        <v>9.6783300000000006E-3</v>
      </c>
      <c r="J917">
        <v>1</v>
      </c>
      <c r="K917">
        <v>950042</v>
      </c>
      <c r="L917">
        <f t="shared" si="124"/>
        <v>1.2845918076923077E-2</v>
      </c>
      <c r="M917">
        <f t="shared" si="125"/>
        <v>5.0957613076923081E-3</v>
      </c>
      <c r="N917">
        <f t="shared" si="126"/>
        <v>1.0507751692307693E-2</v>
      </c>
      <c r="O917">
        <f t="shared" si="127"/>
        <v>7.8017565000000006E-3</v>
      </c>
      <c r="P917">
        <f t="shared" si="123"/>
        <v>18.401983444270115</v>
      </c>
      <c r="R917">
        <f t="shared" si="128"/>
        <v>-2.0072157697448648E-3</v>
      </c>
    </row>
    <row r="918" spans="1:19" x14ac:dyDescent="0.2">
      <c r="A918" t="s">
        <v>929</v>
      </c>
      <c r="B918">
        <v>5.6994984000000004</v>
      </c>
      <c r="C918">
        <v>0.24253911</v>
      </c>
      <c r="D918">
        <v>5.84026391</v>
      </c>
      <c r="E918">
        <v>0.47410824000000001</v>
      </c>
      <c r="F918">
        <v>3.3303330299999998</v>
      </c>
      <c r="G918">
        <v>1.31307638</v>
      </c>
      <c r="H918">
        <v>2.6788601399999998</v>
      </c>
      <c r="I918">
        <v>9.6783300000000006E-3</v>
      </c>
      <c r="J918">
        <v>1</v>
      </c>
      <c r="K918">
        <v>950042</v>
      </c>
      <c r="L918">
        <f t="shared" si="124"/>
        <v>1.2808973192307692E-2</v>
      </c>
      <c r="M918">
        <f t="shared" si="125"/>
        <v>5.0502937692307693E-3</v>
      </c>
      <c r="N918">
        <f t="shared" si="126"/>
        <v>1.0303308230769231E-2</v>
      </c>
      <c r="O918">
        <f t="shared" si="127"/>
        <v>7.6768009999999996E-3</v>
      </c>
      <c r="P918">
        <f t="shared" si="123"/>
        <v>13.724906044305403</v>
      </c>
      <c r="R918">
        <f t="shared" si="128"/>
        <v>-1.5414704324010198E-3</v>
      </c>
    </row>
    <row r="919" spans="1:19" x14ac:dyDescent="0.2">
      <c r="A919" t="s">
        <v>930</v>
      </c>
      <c r="B919">
        <v>5.6473308600000003</v>
      </c>
      <c r="C919">
        <v>0.16807419000000001</v>
      </c>
      <c r="D919">
        <v>5.78242938</v>
      </c>
      <c r="E919">
        <v>0.47410824000000001</v>
      </c>
      <c r="F919">
        <v>3.3191526599999999</v>
      </c>
      <c r="G919">
        <v>1.2987410399999999</v>
      </c>
      <c r="H919">
        <v>2.6242020199999998</v>
      </c>
      <c r="I919">
        <v>1.004355E-2</v>
      </c>
      <c r="J919">
        <v>1</v>
      </c>
      <c r="K919">
        <v>950042</v>
      </c>
      <c r="L919">
        <f t="shared" si="124"/>
        <v>1.2765971769230769E-2</v>
      </c>
      <c r="M919">
        <f t="shared" si="125"/>
        <v>4.9951578461538458E-3</v>
      </c>
      <c r="N919">
        <f t="shared" si="126"/>
        <v>1.0093084692307691E-2</v>
      </c>
      <c r="O919">
        <f t="shared" si="127"/>
        <v>7.5441212692307687E-3</v>
      </c>
      <c r="P919">
        <f t="shared" si="123"/>
        <v>9.5110535625480548</v>
      </c>
      <c r="R919">
        <f t="shared" si="128"/>
        <v>-1.0056686584514513E-3</v>
      </c>
    </row>
    <row r="920" spans="1:19" x14ac:dyDescent="0.2">
      <c r="A920" t="s">
        <v>931</v>
      </c>
      <c r="B920">
        <v>5.5951633200000002</v>
      </c>
      <c r="C920">
        <v>0.10153107</v>
      </c>
      <c r="D920">
        <v>5.7338074299999997</v>
      </c>
      <c r="E920">
        <v>0.67165333999999999</v>
      </c>
      <c r="F920">
        <v>3.30576771</v>
      </c>
      <c r="G920">
        <v>1.2840659999999999</v>
      </c>
      <c r="H920">
        <v>2.5703231400000002</v>
      </c>
      <c r="I920">
        <v>9.6783300000000006E-3</v>
      </c>
      <c r="J920">
        <v>1</v>
      </c>
      <c r="K920">
        <v>950042</v>
      </c>
      <c r="L920">
        <f t="shared" si="124"/>
        <v>1.2714491192307692E-2</v>
      </c>
      <c r="M920">
        <f t="shared" si="125"/>
        <v>4.9387153846153845E-3</v>
      </c>
      <c r="N920">
        <f t="shared" si="126"/>
        <v>9.885858230769231E-3</v>
      </c>
      <c r="O920">
        <f t="shared" si="127"/>
        <v>7.4122868076923086E-3</v>
      </c>
      <c r="P920">
        <f t="shared" si="123"/>
        <v>5.7454832597010634</v>
      </c>
      <c r="R920">
        <f t="shared" si="128"/>
        <v>-4.1411652146892443E-4</v>
      </c>
    </row>
    <row r="921" spans="1:19" x14ac:dyDescent="0.2">
      <c r="A921" t="s">
        <v>932</v>
      </c>
      <c r="B921">
        <v>5.55078198</v>
      </c>
      <c r="C921">
        <v>5.3604180000000001E-2</v>
      </c>
      <c r="D921">
        <v>5.6903035800000001</v>
      </c>
      <c r="E921">
        <v>1.0272345199999999</v>
      </c>
      <c r="F921">
        <v>3.28561155</v>
      </c>
      <c r="G921">
        <v>1.2728558999999999</v>
      </c>
      <c r="H921">
        <v>2.5324743399999998</v>
      </c>
      <c r="I921">
        <v>9.6783300000000006E-3</v>
      </c>
      <c r="J921">
        <v>1</v>
      </c>
      <c r="K921">
        <v>950042</v>
      </c>
      <c r="L921">
        <f t="shared" si="124"/>
        <v>1.26369675E-2</v>
      </c>
      <c r="M921">
        <f t="shared" si="125"/>
        <v>4.8955996153846153E-3</v>
      </c>
      <c r="N921">
        <f t="shared" si="126"/>
        <v>9.7402859230769218E-3</v>
      </c>
      <c r="O921">
        <f t="shared" si="127"/>
        <v>7.3179427692307694E-3</v>
      </c>
      <c r="P921">
        <f t="shared" si="123"/>
        <v>3.0333760772934095</v>
      </c>
      <c r="R921">
        <f t="shared" si="128"/>
        <v>-7.679877213068142E-5</v>
      </c>
    </row>
    <row r="922" spans="1:19" x14ac:dyDescent="0.2">
      <c r="A922" t="s">
        <v>933</v>
      </c>
      <c r="B922">
        <v>5.5396217600000002</v>
      </c>
      <c r="C922">
        <v>5.0831550000000003E-2</v>
      </c>
      <c r="D922">
        <v>5.6759728999999997</v>
      </c>
      <c r="E922">
        <v>1.1457615800000001</v>
      </c>
      <c r="F922">
        <v>3.2634082800000002</v>
      </c>
      <c r="G922">
        <v>1.2695268399999999</v>
      </c>
      <c r="H922">
        <v>2.5222885599999998</v>
      </c>
      <c r="I922">
        <v>9.4957199999999992E-3</v>
      </c>
      <c r="J922">
        <v>1</v>
      </c>
      <c r="K922">
        <v>950042</v>
      </c>
      <c r="L922">
        <f t="shared" si="124"/>
        <v>1.2551570307692309E-2</v>
      </c>
      <c r="M922">
        <f t="shared" si="125"/>
        <v>4.882795538461538E-3</v>
      </c>
      <c r="N922">
        <f t="shared" si="126"/>
        <v>9.7011098461538461E-3</v>
      </c>
      <c r="O922">
        <f t="shared" si="127"/>
        <v>7.2919526923076921E-3</v>
      </c>
      <c r="P922">
        <f t="shared" si="123"/>
        <v>2.8764773146747848</v>
      </c>
      <c r="R922">
        <f t="shared" si="128"/>
        <v>1.6938568814356519E-4</v>
      </c>
    </row>
    <row r="923" spans="1:19" x14ac:dyDescent="0.2">
      <c r="A923" t="s">
        <v>934</v>
      </c>
      <c r="B923">
        <v>5.5562323200000003</v>
      </c>
      <c r="C923">
        <v>0.10641618</v>
      </c>
      <c r="D923">
        <v>5.7025870200000002</v>
      </c>
      <c r="E923">
        <v>1.0864980500000001</v>
      </c>
      <c r="F923">
        <v>3.24671646</v>
      </c>
      <c r="G923">
        <v>1.2691192</v>
      </c>
      <c r="H923">
        <v>2.5424931399999999</v>
      </c>
      <c r="I923">
        <v>9.4957199999999992E-3</v>
      </c>
      <c r="J923">
        <v>1</v>
      </c>
      <c r="K923">
        <v>950042</v>
      </c>
      <c r="L923">
        <f t="shared" si="124"/>
        <v>1.2487371000000001E-2</v>
      </c>
      <c r="M923">
        <f t="shared" si="125"/>
        <v>4.8812276923076922E-3</v>
      </c>
      <c r="N923">
        <f t="shared" si="126"/>
        <v>9.7788197692307687E-3</v>
      </c>
      <c r="O923">
        <f t="shared" si="127"/>
        <v>7.3300237307692305E-3</v>
      </c>
      <c r="P923">
        <f t="shared" si="123"/>
        <v>6.0219239366957833</v>
      </c>
      <c r="R923">
        <f t="shared" si="128"/>
        <v>7.9867495588245444E-4</v>
      </c>
    </row>
    <row r="924" spans="1:19" x14ac:dyDescent="0.2">
      <c r="A924" t="s">
        <v>935</v>
      </c>
      <c r="B924">
        <v>5.5943847</v>
      </c>
      <c r="C924">
        <v>0.18814275</v>
      </c>
      <c r="D924">
        <v>5.7445554400000001</v>
      </c>
      <c r="E924">
        <v>1.0864980500000001</v>
      </c>
      <c r="F924">
        <v>3.2361659700000001</v>
      </c>
      <c r="G924">
        <v>1.2759811400000001</v>
      </c>
      <c r="H924">
        <v>2.5854626600000001</v>
      </c>
      <c r="I924">
        <v>9.4957199999999992E-3</v>
      </c>
      <c r="J924">
        <v>1</v>
      </c>
      <c r="K924">
        <v>950043</v>
      </c>
      <c r="L924">
        <f t="shared" si="124"/>
        <v>1.2446792192307692E-2</v>
      </c>
      <c r="M924">
        <f t="shared" si="125"/>
        <v>4.9076197692307696E-3</v>
      </c>
      <c r="N924">
        <f t="shared" si="126"/>
        <v>9.9440871538461536E-3</v>
      </c>
      <c r="O924">
        <f t="shared" si="127"/>
        <v>7.4258534615384616E-3</v>
      </c>
      <c r="P924">
        <f t="shared" si="123"/>
        <v>10.646701749120957</v>
      </c>
      <c r="Q924">
        <f t="shared" ref="Q924" si="130">ABS(0.5*(SUMPRODUCT(O924:O942,P925:P943)+O943*P924-(SUMPRODUCT(O925:O943,P924:P942)+O924*P943)))</f>
        <v>5.2230997110374044E-3</v>
      </c>
      <c r="R924">
        <f t="shared" si="128"/>
        <v>1.779509280623572E-3</v>
      </c>
    </row>
    <row r="925" spans="1:19" x14ac:dyDescent="0.2">
      <c r="A925" t="s">
        <v>936</v>
      </c>
      <c r="B925">
        <v>5.6473308600000003</v>
      </c>
      <c r="C925">
        <v>0.28241217000000002</v>
      </c>
      <c r="D925">
        <v>5.7977836800000002</v>
      </c>
      <c r="E925">
        <v>0.90870746000000002</v>
      </c>
      <c r="F925">
        <v>3.22703271</v>
      </c>
      <c r="G925">
        <v>1.28943326</v>
      </c>
      <c r="H925">
        <v>2.6415122800000002</v>
      </c>
      <c r="I925">
        <v>9.6783300000000006E-3</v>
      </c>
      <c r="J925">
        <v>1</v>
      </c>
      <c r="K925">
        <v>950043</v>
      </c>
      <c r="L925">
        <f t="shared" si="124"/>
        <v>1.2411664269230769E-2</v>
      </c>
      <c r="M925">
        <f t="shared" si="125"/>
        <v>4.9593586923076926E-3</v>
      </c>
      <c r="N925">
        <f t="shared" si="126"/>
        <v>1.0159662615384616E-2</v>
      </c>
      <c r="O925">
        <f t="shared" si="127"/>
        <v>7.5595106538461545E-3</v>
      </c>
      <c r="P925">
        <f t="shared" si="123"/>
        <v>15.981259678154196</v>
      </c>
      <c r="R925">
        <f t="shared" si="128"/>
        <v>2.8976486822579954E-3</v>
      </c>
    </row>
    <row r="926" spans="1:19" x14ac:dyDescent="0.2">
      <c r="A926" t="s">
        <v>937</v>
      </c>
      <c r="B926">
        <v>5.7067655200000003</v>
      </c>
      <c r="C926">
        <v>0.39080880000000001</v>
      </c>
      <c r="D926">
        <v>5.8699488899999999</v>
      </c>
      <c r="E926">
        <v>0.67165333999999999</v>
      </c>
      <c r="F926">
        <v>3.22750512</v>
      </c>
      <c r="G926">
        <v>1.30519534</v>
      </c>
      <c r="H926">
        <v>2.70485336</v>
      </c>
      <c r="I926">
        <v>9.6783300000000006E-3</v>
      </c>
      <c r="J926">
        <v>1</v>
      </c>
      <c r="K926">
        <v>950043</v>
      </c>
      <c r="L926">
        <f t="shared" si="124"/>
        <v>1.2413481230769231E-2</v>
      </c>
      <c r="M926">
        <f t="shared" si="125"/>
        <v>5.0199820769230774E-3</v>
      </c>
      <c r="N926">
        <f t="shared" si="126"/>
        <v>1.0403282153846154E-2</v>
      </c>
      <c r="O926">
        <f t="shared" si="127"/>
        <v>7.7116321153846163E-3</v>
      </c>
      <c r="P926">
        <f t="shared" si="123"/>
        <v>22.115254159577567</v>
      </c>
      <c r="R926">
        <f t="shared" si="128"/>
        <v>3.7637056966873662E-3</v>
      </c>
      <c r="S926">
        <f>ABS(SUMIFS($R:$R,$K:$K,K926))</f>
        <v>5.2175114389011795E-3</v>
      </c>
    </row>
    <row r="927" spans="1:19" x14ac:dyDescent="0.2">
      <c r="A927" t="s">
        <v>938</v>
      </c>
      <c r="B927">
        <v>5.7677574199999997</v>
      </c>
      <c r="C927">
        <v>0.52587549</v>
      </c>
      <c r="D927">
        <v>5.9400668599999999</v>
      </c>
      <c r="E927">
        <v>0.53337177000000002</v>
      </c>
      <c r="F927">
        <v>3.2355360900000001</v>
      </c>
      <c r="G927">
        <v>1.31864746</v>
      </c>
      <c r="H927">
        <v>2.7668585999999999</v>
      </c>
      <c r="I927">
        <v>9.6783300000000006E-3</v>
      </c>
      <c r="J927">
        <v>1</v>
      </c>
      <c r="K927">
        <v>950043</v>
      </c>
      <c r="L927">
        <f t="shared" si="124"/>
        <v>1.2444369576923077E-2</v>
      </c>
      <c r="M927">
        <f t="shared" si="125"/>
        <v>5.0717210000000004E-3</v>
      </c>
      <c r="N927">
        <f t="shared" si="126"/>
        <v>1.0641763846153845E-2</v>
      </c>
      <c r="O927">
        <f t="shared" si="127"/>
        <v>7.8567424230769241E-3</v>
      </c>
      <c r="P927">
        <f t="shared" si="123"/>
        <v>29.758465309999139</v>
      </c>
      <c r="R927">
        <f t="shared" si="128"/>
        <v>4.4334354736499833E-3</v>
      </c>
    </row>
    <row r="928" spans="1:19" x14ac:dyDescent="0.2">
      <c r="A928" t="s">
        <v>939</v>
      </c>
      <c r="B928">
        <v>5.8279706999999998</v>
      </c>
      <c r="C928">
        <v>0.70385193000000001</v>
      </c>
      <c r="D928">
        <v>6.0071139699999998</v>
      </c>
      <c r="E928">
        <v>0.53337177000000002</v>
      </c>
      <c r="F928">
        <v>3.24766128</v>
      </c>
      <c r="G928">
        <v>1.32985756</v>
      </c>
      <c r="H928">
        <v>2.82190634</v>
      </c>
      <c r="I928">
        <v>9.6783300000000006E-3</v>
      </c>
      <c r="J928">
        <v>1</v>
      </c>
      <c r="K928">
        <v>950043</v>
      </c>
      <c r="L928">
        <f t="shared" si="124"/>
        <v>1.2491004923076922E-2</v>
      </c>
      <c r="M928">
        <f t="shared" si="125"/>
        <v>5.1148367692307696E-3</v>
      </c>
      <c r="N928">
        <f t="shared" si="126"/>
        <v>1.0853485923076923E-2</v>
      </c>
      <c r="O928">
        <f t="shared" si="127"/>
        <v>7.9841613461538452E-3</v>
      </c>
      <c r="P928">
        <f t="shared" si="123"/>
        <v>39.829871596185136</v>
      </c>
      <c r="R928">
        <f t="shared" si="128"/>
        <v>2.8946734689255841E-3</v>
      </c>
    </row>
    <row r="929" spans="1:18" x14ac:dyDescent="0.2">
      <c r="A929" t="s">
        <v>940</v>
      </c>
      <c r="B929">
        <v>5.8658635400000003</v>
      </c>
      <c r="C929">
        <v>0.82518749999999996</v>
      </c>
      <c r="D929">
        <v>6.0444760999999998</v>
      </c>
      <c r="E929">
        <v>0.53337177000000002</v>
      </c>
      <c r="F929">
        <v>3.2610462299999998</v>
      </c>
      <c r="G929">
        <v>1.3354286399999999</v>
      </c>
      <c r="H929">
        <v>2.8511278400000002</v>
      </c>
      <c r="I929">
        <v>9.6783300000000006E-3</v>
      </c>
      <c r="J929">
        <v>1</v>
      </c>
      <c r="K929">
        <v>950043</v>
      </c>
      <c r="L929">
        <f t="shared" si="124"/>
        <v>1.2542485499999999E-2</v>
      </c>
      <c r="M929">
        <f t="shared" si="125"/>
        <v>5.1362639999999998E-3</v>
      </c>
      <c r="N929">
        <f t="shared" si="126"/>
        <v>1.0965876307692309E-2</v>
      </c>
      <c r="O929">
        <f t="shared" si="127"/>
        <v>8.0510701538461533E-3</v>
      </c>
      <c r="P929">
        <f t="shared" si="123"/>
        <v>46.696060303162092</v>
      </c>
      <c r="R929">
        <f t="shared" si="128"/>
        <v>9.7769223808019906E-4</v>
      </c>
    </row>
    <row r="930" spans="1:18" x14ac:dyDescent="0.2">
      <c r="A930" t="s">
        <v>941</v>
      </c>
      <c r="B930">
        <v>5.8793596199999998</v>
      </c>
      <c r="C930">
        <v>0.85463018999999996</v>
      </c>
      <c r="D930">
        <v>6.0542004900000004</v>
      </c>
      <c r="E930">
        <v>0.47410824000000001</v>
      </c>
      <c r="F930">
        <v>3.2788403399999999</v>
      </c>
      <c r="G930">
        <v>1.3373309600000001</v>
      </c>
      <c r="H930">
        <v>2.8599221199999998</v>
      </c>
      <c r="I930">
        <v>9.6783300000000006E-3</v>
      </c>
      <c r="J930">
        <v>1</v>
      </c>
      <c r="K930">
        <v>950043</v>
      </c>
      <c r="L930">
        <f t="shared" si="124"/>
        <v>1.2610924384615384E-2</v>
      </c>
      <c r="M930">
        <f t="shared" si="125"/>
        <v>5.1435806153846157E-3</v>
      </c>
      <c r="N930">
        <f t="shared" si="126"/>
        <v>1.0999700461538461E-2</v>
      </c>
      <c r="O930">
        <f t="shared" si="127"/>
        <v>8.0716405384615372E-3</v>
      </c>
      <c r="P930">
        <f t="shared" si="123"/>
        <v>48.362175734778916</v>
      </c>
      <c r="R930">
        <f t="shared" si="128"/>
        <v>2.9170138743905231E-4</v>
      </c>
    </row>
    <row r="931" spans="1:18" x14ac:dyDescent="0.2">
      <c r="A931" t="s">
        <v>942</v>
      </c>
      <c r="B931">
        <v>5.8832527199999998</v>
      </c>
      <c r="C931">
        <v>0.85542236999999999</v>
      </c>
      <c r="D931">
        <v>6.0511296300000001</v>
      </c>
      <c r="E931">
        <v>0.41484471000000001</v>
      </c>
      <c r="F931">
        <v>3.2947448100000001</v>
      </c>
      <c r="G931">
        <v>1.3377386</v>
      </c>
      <c r="H931">
        <v>2.8626494600000001</v>
      </c>
      <c r="I931">
        <v>9.4957199999999992E-3</v>
      </c>
      <c r="J931">
        <v>1</v>
      </c>
      <c r="K931">
        <v>950043</v>
      </c>
      <c r="L931">
        <f t="shared" si="124"/>
        <v>1.2672095423076924E-2</v>
      </c>
      <c r="M931">
        <f t="shared" si="125"/>
        <v>5.1451484615384615E-3</v>
      </c>
      <c r="N931">
        <f t="shared" si="126"/>
        <v>1.1010190230769231E-2</v>
      </c>
      <c r="O931">
        <f t="shared" si="127"/>
        <v>8.077669346153846E-3</v>
      </c>
      <c r="P931">
        <f t="shared" si="123"/>
        <v>48.407003952669953</v>
      </c>
      <c r="R931">
        <f t="shared" si="128"/>
        <v>-1.9358670201007134E-4</v>
      </c>
    </row>
    <row r="932" spans="1:18" x14ac:dyDescent="0.2">
      <c r="A932" t="s">
        <v>943</v>
      </c>
      <c r="B932">
        <v>5.88013824</v>
      </c>
      <c r="C932">
        <v>0.81185247000000005</v>
      </c>
      <c r="D932">
        <v>6.0460115300000004</v>
      </c>
      <c r="E932">
        <v>0.41484471000000001</v>
      </c>
      <c r="F932">
        <v>3.30624012</v>
      </c>
      <c r="G932">
        <v>1.3379424200000001</v>
      </c>
      <c r="H932">
        <v>2.8603117400000002</v>
      </c>
      <c r="I932">
        <v>1.004355E-2</v>
      </c>
      <c r="J932">
        <v>1</v>
      </c>
      <c r="K932">
        <v>950043</v>
      </c>
      <c r="L932">
        <f t="shared" si="124"/>
        <v>1.2716308153846154E-2</v>
      </c>
      <c r="M932">
        <f t="shared" si="125"/>
        <v>5.1459323846153853E-3</v>
      </c>
      <c r="N932">
        <f t="shared" si="126"/>
        <v>1.1001199000000001E-2</v>
      </c>
      <c r="O932">
        <f t="shared" si="127"/>
        <v>8.0735656923076934E-3</v>
      </c>
      <c r="P932">
        <f t="shared" si="123"/>
        <v>45.941451968662996</v>
      </c>
      <c r="R932">
        <f t="shared" si="128"/>
        <v>-9.5663614223633021E-4</v>
      </c>
    </row>
    <row r="933" spans="1:18" x14ac:dyDescent="0.2">
      <c r="A933" t="s">
        <v>944</v>
      </c>
      <c r="B933">
        <v>5.8635276799999998</v>
      </c>
      <c r="C933">
        <v>0.70675659000000002</v>
      </c>
      <c r="D933">
        <v>6.0306572300000001</v>
      </c>
      <c r="E933">
        <v>0.41484471000000001</v>
      </c>
      <c r="F933">
        <v>3.3177354299999999</v>
      </c>
      <c r="G933">
        <v>1.3379424200000001</v>
      </c>
      <c r="H933">
        <v>2.8487344600000002</v>
      </c>
      <c r="I933">
        <v>1.004355E-2</v>
      </c>
      <c r="J933">
        <v>1</v>
      </c>
      <c r="K933">
        <v>950043</v>
      </c>
      <c r="L933">
        <f t="shared" si="124"/>
        <v>1.2760520884615384E-2</v>
      </c>
      <c r="M933">
        <f t="shared" si="125"/>
        <v>5.1459323846153853E-3</v>
      </c>
      <c r="N933">
        <f t="shared" si="126"/>
        <v>1.0956671000000001E-2</v>
      </c>
      <c r="O933">
        <f t="shared" si="127"/>
        <v>8.0513016923076924E-3</v>
      </c>
      <c r="P933">
        <f t="shared" si="123"/>
        <v>39.994241728452266</v>
      </c>
      <c r="R933">
        <f t="shared" si="128"/>
        <v>-9.4352826744412773E-4</v>
      </c>
    </row>
    <row r="934" spans="1:18" x14ac:dyDescent="0.2">
      <c r="A934" t="s">
        <v>945</v>
      </c>
      <c r="B934">
        <v>5.84847436</v>
      </c>
      <c r="C934">
        <v>0.61895663999999995</v>
      </c>
      <c r="D934">
        <v>6.02298008</v>
      </c>
      <c r="E934">
        <v>0.41484471000000001</v>
      </c>
      <c r="F934">
        <v>3.3278135099999999</v>
      </c>
      <c r="G934">
        <v>1.3379424200000001</v>
      </c>
      <c r="H934">
        <v>2.8356543599999999</v>
      </c>
      <c r="I934">
        <v>9.8609400000000003E-3</v>
      </c>
      <c r="J934">
        <v>1</v>
      </c>
      <c r="K934">
        <v>950043</v>
      </c>
      <c r="L934">
        <f t="shared" si="124"/>
        <v>1.279928273076923E-2</v>
      </c>
      <c r="M934">
        <f t="shared" si="125"/>
        <v>5.1459323846153853E-3</v>
      </c>
      <c r="N934">
        <f t="shared" si="126"/>
        <v>1.0906362923076923E-2</v>
      </c>
      <c r="O934">
        <f t="shared" si="127"/>
        <v>8.0261476538461551E-3</v>
      </c>
      <c r="P934">
        <f t="shared" si="123"/>
        <v>35.02578091219582</v>
      </c>
      <c r="R934">
        <f t="shared" si="128"/>
        <v>-1.431233790239528E-3</v>
      </c>
    </row>
    <row r="935" spans="1:18" x14ac:dyDescent="0.2">
      <c r="A935" t="s">
        <v>946</v>
      </c>
      <c r="B935">
        <v>5.8256348400000002</v>
      </c>
      <c r="C935">
        <v>0.52257474000000004</v>
      </c>
      <c r="D935">
        <v>5.9963659600000003</v>
      </c>
      <c r="E935">
        <v>0.35558118</v>
      </c>
      <c r="F935">
        <v>3.3341123100000001</v>
      </c>
      <c r="G935">
        <v>1.3373309600000001</v>
      </c>
      <c r="H935">
        <v>2.8132233800000002</v>
      </c>
      <c r="I935">
        <v>9.8609400000000003E-3</v>
      </c>
      <c r="J935">
        <v>1</v>
      </c>
      <c r="K935">
        <v>950043</v>
      </c>
      <c r="L935">
        <f t="shared" si="124"/>
        <v>1.2823508884615385E-2</v>
      </c>
      <c r="M935">
        <f t="shared" si="125"/>
        <v>5.1435806153846157E-3</v>
      </c>
      <c r="N935">
        <f t="shared" si="126"/>
        <v>1.0820089923076924E-2</v>
      </c>
      <c r="O935">
        <f t="shared" si="127"/>
        <v>7.9818352692307692E-3</v>
      </c>
      <c r="P935">
        <f t="shared" si="123"/>
        <v>29.571681068786493</v>
      </c>
      <c r="R935">
        <f t="shared" si="128"/>
        <v>-2.1022477442058339E-3</v>
      </c>
    </row>
    <row r="936" spans="1:18" x14ac:dyDescent="0.2">
      <c r="A936" t="s">
        <v>947</v>
      </c>
      <c r="B936">
        <v>5.7913755599999996</v>
      </c>
      <c r="C936">
        <v>0.41827103999999998</v>
      </c>
      <c r="D936">
        <v>5.9523503</v>
      </c>
      <c r="E936">
        <v>0.35558118</v>
      </c>
      <c r="F936">
        <v>3.33694677</v>
      </c>
      <c r="G936">
        <v>1.3327789800000001</v>
      </c>
      <c r="H936">
        <v>2.7767104200000001</v>
      </c>
      <c r="I936">
        <v>9.6783300000000006E-3</v>
      </c>
      <c r="J936">
        <v>1</v>
      </c>
      <c r="K936">
        <v>950043</v>
      </c>
      <c r="L936">
        <f t="shared" si="124"/>
        <v>1.2834410653846154E-2</v>
      </c>
      <c r="M936">
        <f t="shared" si="125"/>
        <v>5.1260730000000001E-3</v>
      </c>
      <c r="N936">
        <f t="shared" si="126"/>
        <v>1.0679655461538462E-2</v>
      </c>
      <c r="O936">
        <f t="shared" si="127"/>
        <v>7.9028642307692309E-3</v>
      </c>
      <c r="P936">
        <f t="shared" si="123"/>
        <v>23.669299046466801</v>
      </c>
      <c r="R936">
        <f t="shared" si="128"/>
        <v>-2.2087797174973945E-3</v>
      </c>
    </row>
    <row r="937" spans="1:18" x14ac:dyDescent="0.2">
      <c r="A937" t="s">
        <v>948</v>
      </c>
      <c r="B937">
        <v>5.7438797399999997</v>
      </c>
      <c r="C937">
        <v>0.32320944000000001</v>
      </c>
      <c r="D937">
        <v>5.90270473</v>
      </c>
      <c r="E937">
        <v>0.35558118</v>
      </c>
      <c r="F937">
        <v>3.33694677</v>
      </c>
      <c r="G937">
        <v>1.3248979400000001</v>
      </c>
      <c r="H937">
        <v>2.7298447000000001</v>
      </c>
      <c r="I937">
        <v>9.6783300000000006E-3</v>
      </c>
      <c r="J937">
        <v>1</v>
      </c>
      <c r="K937">
        <v>950043</v>
      </c>
      <c r="L937">
        <f t="shared" si="124"/>
        <v>1.2834410653846154E-2</v>
      </c>
      <c r="M937">
        <f t="shared" si="125"/>
        <v>5.0957613076923081E-3</v>
      </c>
      <c r="N937">
        <f t="shared" si="126"/>
        <v>1.0499402692307694E-2</v>
      </c>
      <c r="O937">
        <f t="shared" si="127"/>
        <v>7.7975820000000008E-3</v>
      </c>
      <c r="P937">
        <f t="shared" si="123"/>
        <v>18.289912899542529</v>
      </c>
      <c r="R937">
        <f t="shared" si="128"/>
        <v>-1.9836294873854352E-3</v>
      </c>
    </row>
    <row r="938" spans="1:18" x14ac:dyDescent="0.2">
      <c r="A938" t="s">
        <v>949</v>
      </c>
      <c r="B938">
        <v>5.6932694399999999</v>
      </c>
      <c r="C938">
        <v>0.2389743</v>
      </c>
      <c r="D938">
        <v>5.8464056299999996</v>
      </c>
      <c r="E938">
        <v>0.35558118</v>
      </c>
      <c r="F938">
        <v>3.3317502600000002</v>
      </c>
      <c r="G938">
        <v>1.31287256</v>
      </c>
      <c r="H938">
        <v>2.6770233600000002</v>
      </c>
      <c r="I938">
        <v>9.6783300000000006E-3</v>
      </c>
      <c r="J938">
        <v>1</v>
      </c>
      <c r="K938">
        <v>950043</v>
      </c>
      <c r="L938">
        <f t="shared" si="124"/>
        <v>1.2814424076923077E-2</v>
      </c>
      <c r="M938">
        <f t="shared" si="125"/>
        <v>5.0495098461538464E-3</v>
      </c>
      <c r="N938">
        <f t="shared" si="126"/>
        <v>1.0296243692307694E-2</v>
      </c>
      <c r="O938">
        <f t="shared" si="127"/>
        <v>7.6728767692307697E-3</v>
      </c>
      <c r="P938">
        <f t="shared" si="123"/>
        <v>13.523179063795741</v>
      </c>
      <c r="R938">
        <f t="shared" si="128"/>
        <v>-1.5250654222114851E-3</v>
      </c>
    </row>
    <row r="939" spans="1:18" x14ac:dyDescent="0.2">
      <c r="A939" t="s">
        <v>950</v>
      </c>
      <c r="B939">
        <v>5.6426591400000001</v>
      </c>
      <c r="C939">
        <v>0.16477343999999999</v>
      </c>
      <c r="D939">
        <v>5.7839648099999996</v>
      </c>
      <c r="E939">
        <v>0.41484471000000001</v>
      </c>
      <c r="F939">
        <v>3.3186802499999999</v>
      </c>
      <c r="G939">
        <v>1.2983334</v>
      </c>
      <c r="H939">
        <v>2.6221426000000001</v>
      </c>
      <c r="I939">
        <v>9.8609400000000003E-3</v>
      </c>
      <c r="J939">
        <v>1</v>
      </c>
      <c r="K939">
        <v>950043</v>
      </c>
      <c r="L939">
        <f t="shared" si="124"/>
        <v>1.2764154807692307E-2</v>
      </c>
      <c r="M939">
        <f t="shared" si="125"/>
        <v>4.99359E-3</v>
      </c>
      <c r="N939">
        <f t="shared" si="126"/>
        <v>1.0085163846153846E-2</v>
      </c>
      <c r="O939">
        <f t="shared" si="127"/>
        <v>7.5393769230769226E-3</v>
      </c>
      <c r="P939">
        <f t="shared" si="123"/>
        <v>9.3242693213354055</v>
      </c>
      <c r="R939">
        <f t="shared" si="128"/>
        <v>-9.7559748657987191E-4</v>
      </c>
    </row>
    <row r="940" spans="1:18" x14ac:dyDescent="0.2">
      <c r="A940" t="s">
        <v>951</v>
      </c>
      <c r="B940">
        <v>5.5936060799999998</v>
      </c>
      <c r="C940">
        <v>9.9946709999999994E-2</v>
      </c>
      <c r="D940">
        <v>5.7292011399999998</v>
      </c>
      <c r="E940">
        <v>0.73091687000000005</v>
      </c>
      <c r="F940">
        <v>3.3029332500000002</v>
      </c>
      <c r="G940">
        <v>1.2835904199999999</v>
      </c>
      <c r="H940">
        <v>2.5691542799999998</v>
      </c>
      <c r="I940">
        <v>9.8609400000000003E-3</v>
      </c>
      <c r="J940">
        <v>1</v>
      </c>
      <c r="K940">
        <v>950043</v>
      </c>
      <c r="L940">
        <f t="shared" si="124"/>
        <v>1.2703589423076924E-2</v>
      </c>
      <c r="M940">
        <f t="shared" si="125"/>
        <v>4.9368862307692307E-3</v>
      </c>
      <c r="N940">
        <f t="shared" si="126"/>
        <v>9.8813626153846142E-3</v>
      </c>
      <c r="O940">
        <f t="shared" si="127"/>
        <v>7.4091244230769229E-3</v>
      </c>
      <c r="P940">
        <f t="shared" si="123"/>
        <v>5.6558268239189919</v>
      </c>
      <c r="R940">
        <f t="shared" si="128"/>
        <v>-3.9549211089613109E-4</v>
      </c>
    </row>
    <row r="941" spans="1:18" x14ac:dyDescent="0.2">
      <c r="A941" t="s">
        <v>952</v>
      </c>
      <c r="B941">
        <v>5.5523392200000004</v>
      </c>
      <c r="C941">
        <v>5.2811999999999998E-2</v>
      </c>
      <c r="D941">
        <v>5.6918390099999998</v>
      </c>
      <c r="E941">
        <v>1.1457615800000001</v>
      </c>
      <c r="F941">
        <v>3.28561155</v>
      </c>
      <c r="G941">
        <v>1.2728558999999999</v>
      </c>
      <c r="H941">
        <v>2.5323073599999999</v>
      </c>
      <c r="I941">
        <v>9.8609400000000003E-3</v>
      </c>
      <c r="J941">
        <v>1</v>
      </c>
      <c r="K941">
        <v>950043</v>
      </c>
      <c r="L941">
        <f t="shared" si="124"/>
        <v>1.26369675E-2</v>
      </c>
      <c r="M941">
        <f t="shared" si="125"/>
        <v>4.8955996153846153E-3</v>
      </c>
      <c r="N941">
        <f t="shared" si="126"/>
        <v>9.7396436923076913E-3</v>
      </c>
      <c r="O941">
        <f t="shared" si="127"/>
        <v>7.3176216538461533E-3</v>
      </c>
      <c r="P941">
        <f t="shared" si="123"/>
        <v>2.9885478594023738</v>
      </c>
      <c r="R941">
        <f t="shared" si="128"/>
        <v>-7.7115062938174064E-5</v>
      </c>
    </row>
    <row r="942" spans="1:18" x14ac:dyDescent="0.2">
      <c r="A942" t="s">
        <v>953</v>
      </c>
      <c r="B942">
        <v>5.5411789999999996</v>
      </c>
      <c r="C942">
        <v>5.162373E-2</v>
      </c>
      <c r="D942">
        <v>5.6821146200000001</v>
      </c>
      <c r="E942">
        <v>1.20502511</v>
      </c>
      <c r="F942">
        <v>3.2645105700000001</v>
      </c>
      <c r="G942">
        <v>1.2695268399999999</v>
      </c>
      <c r="H942">
        <v>2.5220659200000002</v>
      </c>
      <c r="I942">
        <v>9.6783300000000006E-3</v>
      </c>
      <c r="J942">
        <v>1</v>
      </c>
      <c r="K942">
        <v>950043</v>
      </c>
      <c r="L942">
        <f t="shared" si="124"/>
        <v>1.2555809884615386E-2</v>
      </c>
      <c r="M942">
        <f t="shared" si="125"/>
        <v>4.882795538461538E-3</v>
      </c>
      <c r="N942">
        <f t="shared" si="126"/>
        <v>9.7002535384615399E-3</v>
      </c>
      <c r="O942">
        <f t="shared" si="127"/>
        <v>7.291524538461539E-3</v>
      </c>
      <c r="P942">
        <f t="shared" si="123"/>
        <v>2.9213055325658206</v>
      </c>
      <c r="R942">
        <f t="shared" si="128"/>
        <v>1.7955708017775081E-4</v>
      </c>
    </row>
    <row r="943" spans="1:18" x14ac:dyDescent="0.2">
      <c r="A943" t="s">
        <v>954</v>
      </c>
      <c r="B943">
        <v>5.55856818</v>
      </c>
      <c r="C943">
        <v>0.10918881</v>
      </c>
      <c r="D943">
        <v>5.7025870200000002</v>
      </c>
      <c r="E943">
        <v>1.20502511</v>
      </c>
      <c r="F943">
        <v>3.2457716400000001</v>
      </c>
      <c r="G943">
        <v>1.2691192</v>
      </c>
      <c r="H943">
        <v>2.5429940800000002</v>
      </c>
      <c r="I943">
        <v>9.6783300000000006E-3</v>
      </c>
      <c r="J943">
        <v>1</v>
      </c>
      <c r="K943">
        <v>950043</v>
      </c>
      <c r="L943">
        <f t="shared" si="124"/>
        <v>1.2483737076923077E-2</v>
      </c>
      <c r="M943">
        <f t="shared" si="125"/>
        <v>4.8812276923076922E-3</v>
      </c>
      <c r="N943">
        <f t="shared" si="126"/>
        <v>9.7807464615384618E-3</v>
      </c>
      <c r="O943">
        <f t="shared" si="127"/>
        <v>7.330987076923077E-3</v>
      </c>
      <c r="P943">
        <f t="shared" si="123"/>
        <v>6.1788226993144075</v>
      </c>
      <c r="R943">
        <f t="shared" si="128"/>
        <v>7.9250006470405767E-4</v>
      </c>
    </row>
    <row r="944" spans="1:18" x14ac:dyDescent="0.2">
      <c r="A944" t="s">
        <v>955</v>
      </c>
      <c r="B944">
        <v>5.5936060799999998</v>
      </c>
      <c r="C944">
        <v>0.18893493</v>
      </c>
      <c r="D944">
        <v>5.7430200100000004</v>
      </c>
      <c r="E944">
        <v>0.96797098999999998</v>
      </c>
      <c r="F944">
        <v>3.2355360900000001</v>
      </c>
      <c r="G944">
        <v>1.27550556</v>
      </c>
      <c r="H944">
        <v>2.5854626600000001</v>
      </c>
      <c r="I944">
        <v>9.8609400000000003E-3</v>
      </c>
      <c r="J944">
        <v>1</v>
      </c>
      <c r="K944">
        <v>950044</v>
      </c>
      <c r="L944">
        <f t="shared" si="124"/>
        <v>1.2444369576923077E-2</v>
      </c>
      <c r="M944">
        <f t="shared" si="125"/>
        <v>4.9057906153846158E-3</v>
      </c>
      <c r="N944">
        <f t="shared" si="126"/>
        <v>9.9440871538461536E-3</v>
      </c>
      <c r="O944">
        <f t="shared" si="127"/>
        <v>7.4249388846153851E-3</v>
      </c>
      <c r="P944">
        <f t="shared" si="123"/>
        <v>10.691529967011993</v>
      </c>
      <c r="Q944">
        <f t="shared" ref="Q944" si="131">ABS(0.5*(SUMPRODUCT(O944:O962,P945:P963)+O963*P944-(SUMPRODUCT(O945:O963,P944:P962)+O944*P963)))</f>
        <v>5.2156374346203904E-3</v>
      </c>
      <c r="R944">
        <f t="shared" si="128"/>
        <v>1.8038370139481558E-3</v>
      </c>
    </row>
    <row r="945" spans="1:19" x14ac:dyDescent="0.2">
      <c r="A945" t="s">
        <v>956</v>
      </c>
      <c r="B945">
        <v>5.6465522400000001</v>
      </c>
      <c r="C945">
        <v>0.28280825999999998</v>
      </c>
      <c r="D945">
        <v>5.8023899700000001</v>
      </c>
      <c r="E945">
        <v>0.73091687000000005</v>
      </c>
      <c r="F945">
        <v>3.22844994</v>
      </c>
      <c r="G945">
        <v>1.2892294399999999</v>
      </c>
      <c r="H945">
        <v>2.6420132199999999</v>
      </c>
      <c r="I945">
        <v>9.8609400000000003E-3</v>
      </c>
      <c r="J945">
        <v>1</v>
      </c>
      <c r="K945">
        <v>950044</v>
      </c>
      <c r="L945">
        <f t="shared" si="124"/>
        <v>1.2417115153846154E-2</v>
      </c>
      <c r="M945">
        <f t="shared" si="125"/>
        <v>4.9585747692307688E-3</v>
      </c>
      <c r="N945">
        <f t="shared" si="126"/>
        <v>1.0161589307692308E-2</v>
      </c>
      <c r="O945">
        <f t="shared" si="127"/>
        <v>7.5600820384615379E-3</v>
      </c>
      <c r="P945">
        <f t="shared" si="123"/>
        <v>16.003673787099711</v>
      </c>
      <c r="R945">
        <f t="shared" si="128"/>
        <v>2.8874594938523338E-3</v>
      </c>
    </row>
    <row r="946" spans="1:19" x14ac:dyDescent="0.2">
      <c r="A946" t="s">
        <v>957</v>
      </c>
      <c r="B946">
        <v>5.7075441400000004</v>
      </c>
      <c r="C946">
        <v>0.39120489000000003</v>
      </c>
      <c r="D946">
        <v>5.8648307900000001</v>
      </c>
      <c r="E946">
        <v>0.61238981000000003</v>
      </c>
      <c r="F946">
        <v>3.2259304200000001</v>
      </c>
      <c r="G946">
        <v>1.3047877000000001</v>
      </c>
      <c r="H946">
        <v>2.7051873199999998</v>
      </c>
      <c r="I946">
        <v>1.004355E-2</v>
      </c>
      <c r="J946">
        <v>1</v>
      </c>
      <c r="K946">
        <v>950044</v>
      </c>
      <c r="L946">
        <f t="shared" si="124"/>
        <v>1.2407424692307692E-2</v>
      </c>
      <c r="M946">
        <f t="shared" si="125"/>
        <v>5.0184142307692315E-3</v>
      </c>
      <c r="N946">
        <f t="shared" si="126"/>
        <v>1.0404566615384615E-2</v>
      </c>
      <c r="O946">
        <f t="shared" si="127"/>
        <v>7.7114904230769221E-3</v>
      </c>
      <c r="P946">
        <f t="shared" si="123"/>
        <v>22.137668268523086</v>
      </c>
      <c r="R946">
        <f t="shared" si="128"/>
        <v>3.810691100722918E-3</v>
      </c>
    </row>
    <row r="947" spans="1:19" x14ac:dyDescent="0.2">
      <c r="A947" t="s">
        <v>958</v>
      </c>
      <c r="B947">
        <v>5.7716505199999997</v>
      </c>
      <c r="C947">
        <v>0.52455518999999995</v>
      </c>
      <c r="D947">
        <v>5.9385314300000003</v>
      </c>
      <c r="E947">
        <v>0.47410824000000001</v>
      </c>
      <c r="F947">
        <v>3.2341188600000002</v>
      </c>
      <c r="G947">
        <v>1.31925892</v>
      </c>
      <c r="H947">
        <v>2.7671925599999998</v>
      </c>
      <c r="I947">
        <v>9.8609400000000003E-3</v>
      </c>
      <c r="J947">
        <v>1</v>
      </c>
      <c r="K947">
        <v>950044</v>
      </c>
      <c r="L947">
        <f t="shared" si="124"/>
        <v>1.2438918692307692E-2</v>
      </c>
      <c r="M947">
        <f t="shared" si="125"/>
        <v>5.0740727692307691E-3</v>
      </c>
      <c r="N947">
        <f t="shared" si="126"/>
        <v>1.0643048307692306E-2</v>
      </c>
      <c r="O947">
        <f t="shared" si="127"/>
        <v>7.8585605384615381E-3</v>
      </c>
      <c r="P947">
        <f t="shared" si="123"/>
        <v>29.683751613514076</v>
      </c>
      <c r="R947">
        <f t="shared" si="128"/>
        <v>4.4159096607417677E-3</v>
      </c>
      <c r="S947">
        <f>ABS(SUMIFS($R:$R,$K:$K,K947))</f>
        <v>5.2260330201875198E-3</v>
      </c>
    </row>
    <row r="948" spans="1:19" x14ac:dyDescent="0.2">
      <c r="A948" t="s">
        <v>959</v>
      </c>
      <c r="B948">
        <v>5.82874932</v>
      </c>
      <c r="C948">
        <v>0.70477614</v>
      </c>
      <c r="D948">
        <v>6.0040431099999996</v>
      </c>
      <c r="E948">
        <v>0.47410824000000001</v>
      </c>
      <c r="F948">
        <v>3.2495509199999999</v>
      </c>
      <c r="G948">
        <v>1.3300613800000001</v>
      </c>
      <c r="H948">
        <v>2.8224072800000002</v>
      </c>
      <c r="I948">
        <v>9.8609400000000003E-3</v>
      </c>
      <c r="J948">
        <v>1</v>
      </c>
      <c r="K948">
        <v>950044</v>
      </c>
      <c r="L948">
        <f t="shared" si="124"/>
        <v>1.2498272769230769E-2</v>
      </c>
      <c r="M948">
        <f t="shared" si="125"/>
        <v>5.1156206923076925E-3</v>
      </c>
      <c r="N948">
        <f t="shared" si="126"/>
        <v>1.0855412615384617E-2</v>
      </c>
      <c r="O948">
        <f t="shared" si="127"/>
        <v>7.9855166538461541E-3</v>
      </c>
      <c r="P948">
        <f t="shared" si="123"/>
        <v>39.88217118372468</v>
      </c>
      <c r="R948">
        <f t="shared" si="128"/>
        <v>2.882648258527392E-3</v>
      </c>
    </row>
    <row r="949" spans="1:19" x14ac:dyDescent="0.2">
      <c r="A949" t="s">
        <v>960</v>
      </c>
      <c r="B949">
        <v>5.8674207799999998</v>
      </c>
      <c r="C949">
        <v>0.82637576999999995</v>
      </c>
      <c r="D949">
        <v>6.0367989499999997</v>
      </c>
      <c r="E949">
        <v>0.47410824000000001</v>
      </c>
      <c r="F949">
        <v>3.2645105700000001</v>
      </c>
      <c r="G949">
        <v>1.3361080400000001</v>
      </c>
      <c r="H949">
        <v>2.8509608599999998</v>
      </c>
      <c r="I949">
        <v>9.8609400000000003E-3</v>
      </c>
      <c r="J949">
        <v>1</v>
      </c>
      <c r="K949">
        <v>950044</v>
      </c>
      <c r="L949">
        <f t="shared" si="124"/>
        <v>1.2555809884615386E-2</v>
      </c>
      <c r="M949">
        <f t="shared" si="125"/>
        <v>5.1388770769230773E-3</v>
      </c>
      <c r="N949">
        <f t="shared" si="126"/>
        <v>1.0965234076923076E-2</v>
      </c>
      <c r="O949">
        <f t="shared" si="127"/>
        <v>8.052055576923076E-3</v>
      </c>
      <c r="P949">
        <f t="shared" si="123"/>
        <v>46.763302629998641</v>
      </c>
      <c r="R949">
        <f t="shared" si="128"/>
        <v>8.1112397799978941E-4</v>
      </c>
    </row>
    <row r="950" spans="1:19" x14ac:dyDescent="0.2">
      <c r="A950" t="s">
        <v>961</v>
      </c>
      <c r="B950">
        <v>5.8785809999999996</v>
      </c>
      <c r="C950">
        <v>0.85463018999999996</v>
      </c>
      <c r="D950">
        <v>6.0511296300000001</v>
      </c>
      <c r="E950">
        <v>0.47410824000000001</v>
      </c>
      <c r="F950">
        <v>3.2793127499999999</v>
      </c>
      <c r="G950">
        <v>1.33651568</v>
      </c>
      <c r="H950">
        <v>2.85942118</v>
      </c>
      <c r="I950">
        <v>9.6783300000000006E-3</v>
      </c>
      <c r="J950">
        <v>1</v>
      </c>
      <c r="K950">
        <v>950044</v>
      </c>
      <c r="L950">
        <f t="shared" si="124"/>
        <v>1.2612741346153845E-2</v>
      </c>
      <c r="M950">
        <f t="shared" si="125"/>
        <v>5.1404449230769231E-3</v>
      </c>
      <c r="N950">
        <f t="shared" si="126"/>
        <v>1.099777376923077E-2</v>
      </c>
      <c r="O950">
        <f t="shared" si="127"/>
        <v>8.0691093461538466E-3</v>
      </c>
      <c r="P950">
        <f t="shared" si="123"/>
        <v>48.362175734778916</v>
      </c>
      <c r="R950">
        <f t="shared" si="128"/>
        <v>3.7315984218427834E-4</v>
      </c>
    </row>
    <row r="951" spans="1:19" x14ac:dyDescent="0.2">
      <c r="A951" t="s">
        <v>962</v>
      </c>
      <c r="B951">
        <v>5.8809168600000001</v>
      </c>
      <c r="C951">
        <v>0.85700673000000005</v>
      </c>
      <c r="D951">
        <v>6.0542004900000004</v>
      </c>
      <c r="E951">
        <v>0.47410824000000001</v>
      </c>
      <c r="F951">
        <v>3.2952172200000001</v>
      </c>
      <c r="G951">
        <v>1.33712714</v>
      </c>
      <c r="H951">
        <v>2.86281644</v>
      </c>
      <c r="I951">
        <v>9.6783300000000006E-3</v>
      </c>
      <c r="J951">
        <v>1</v>
      </c>
      <c r="K951">
        <v>950044</v>
      </c>
      <c r="L951">
        <f t="shared" si="124"/>
        <v>1.2673912384615385E-2</v>
      </c>
      <c r="M951">
        <f t="shared" si="125"/>
        <v>5.1427966923076919E-3</v>
      </c>
      <c r="N951">
        <f t="shared" si="126"/>
        <v>1.1010832461538462E-2</v>
      </c>
      <c r="O951">
        <f t="shared" si="127"/>
        <v>8.0768145769230769E-3</v>
      </c>
      <c r="P951">
        <f t="shared" si="123"/>
        <v>48.496660388452021</v>
      </c>
      <c r="R951">
        <f t="shared" si="128"/>
        <v>-1.1169759033429085E-4</v>
      </c>
    </row>
    <row r="952" spans="1:19" x14ac:dyDescent="0.2">
      <c r="A952" t="s">
        <v>963</v>
      </c>
      <c r="B952">
        <v>5.88013824</v>
      </c>
      <c r="C952">
        <v>0.81832194000000003</v>
      </c>
      <c r="D952">
        <v>6.04754696</v>
      </c>
      <c r="E952">
        <v>0.47410824000000001</v>
      </c>
      <c r="F952">
        <v>3.3090745799999999</v>
      </c>
      <c r="G952">
        <v>1.3377386</v>
      </c>
      <c r="H952">
        <v>2.8609796599999999</v>
      </c>
      <c r="I952">
        <v>9.8609400000000003E-3</v>
      </c>
      <c r="J952">
        <v>1</v>
      </c>
      <c r="K952">
        <v>950044</v>
      </c>
      <c r="L952">
        <f t="shared" si="124"/>
        <v>1.2727209923076922E-2</v>
      </c>
      <c r="M952">
        <f t="shared" si="125"/>
        <v>5.1451484615384615E-3</v>
      </c>
      <c r="N952">
        <f t="shared" si="126"/>
        <v>1.1003767923076923E-2</v>
      </c>
      <c r="O952">
        <f t="shared" si="127"/>
        <v>8.074458192307692E-3</v>
      </c>
      <c r="P952">
        <f t="shared" si="123"/>
        <v>46.307549081439781</v>
      </c>
      <c r="R952">
        <f t="shared" si="128"/>
        <v>-9.8562321046949332E-4</v>
      </c>
    </row>
    <row r="953" spans="1:19" x14ac:dyDescent="0.2">
      <c r="A953" t="s">
        <v>964</v>
      </c>
      <c r="B953">
        <v>5.8674207799999998</v>
      </c>
      <c r="C953">
        <v>0.70715267999999998</v>
      </c>
      <c r="D953">
        <v>6.03526352</v>
      </c>
      <c r="E953">
        <v>0.41484471000000001</v>
      </c>
      <c r="F953">
        <v>3.3202549499999998</v>
      </c>
      <c r="G953">
        <v>1.3379424200000001</v>
      </c>
      <c r="H953">
        <v>2.8489014400000001</v>
      </c>
      <c r="I953">
        <v>9.6783300000000006E-3</v>
      </c>
      <c r="J953">
        <v>1</v>
      </c>
      <c r="K953">
        <v>950044</v>
      </c>
      <c r="L953">
        <f t="shared" si="124"/>
        <v>1.2770211346153845E-2</v>
      </c>
      <c r="M953">
        <f t="shared" si="125"/>
        <v>5.1459323846153853E-3</v>
      </c>
      <c r="N953">
        <f t="shared" si="126"/>
        <v>1.0957313230769232E-2</v>
      </c>
      <c r="O953">
        <f t="shared" si="127"/>
        <v>8.0516228076923067E-3</v>
      </c>
      <c r="P953">
        <f t="shared" si="123"/>
        <v>40.016655837397785</v>
      </c>
      <c r="R953">
        <f t="shared" si="128"/>
        <v>-9.9800531023563053E-4</v>
      </c>
    </row>
    <row r="954" spans="1:19" x14ac:dyDescent="0.2">
      <c r="A954" t="s">
        <v>965</v>
      </c>
      <c r="B954">
        <v>5.84847436</v>
      </c>
      <c r="C954">
        <v>0.61446761999999999</v>
      </c>
      <c r="D954">
        <v>6.0193974099999998</v>
      </c>
      <c r="E954">
        <v>0.35558118</v>
      </c>
      <c r="F954">
        <v>3.3303330299999998</v>
      </c>
      <c r="G954">
        <v>1.3381462399999999</v>
      </c>
      <c r="H954">
        <v>2.8348194599999998</v>
      </c>
      <c r="I954">
        <v>9.6783300000000006E-3</v>
      </c>
      <c r="J954">
        <v>1</v>
      </c>
      <c r="K954">
        <v>950044</v>
      </c>
      <c r="L954">
        <f t="shared" si="124"/>
        <v>1.2808973192307692E-2</v>
      </c>
      <c r="M954">
        <f t="shared" si="125"/>
        <v>5.1467163076923074E-3</v>
      </c>
      <c r="N954">
        <f t="shared" si="126"/>
        <v>1.0903151769230769E-2</v>
      </c>
      <c r="O954">
        <f t="shared" si="127"/>
        <v>8.0249340384615387E-3</v>
      </c>
      <c r="P954">
        <f t="shared" si="123"/>
        <v>34.771754344146622</v>
      </c>
      <c r="R954">
        <f t="shared" si="128"/>
        <v>-1.3686556193564705E-3</v>
      </c>
    </row>
    <row r="955" spans="1:19" x14ac:dyDescent="0.2">
      <c r="A955" t="s">
        <v>966</v>
      </c>
      <c r="B955">
        <v>5.8256348400000002</v>
      </c>
      <c r="C955">
        <v>0.52297083</v>
      </c>
      <c r="D955">
        <v>5.9948305299999998</v>
      </c>
      <c r="E955">
        <v>0.35558118</v>
      </c>
      <c r="F955">
        <v>3.33694677</v>
      </c>
      <c r="G955">
        <v>1.33712714</v>
      </c>
      <c r="H955">
        <v>2.8137243199999999</v>
      </c>
      <c r="I955">
        <v>9.6783300000000006E-3</v>
      </c>
      <c r="J955">
        <v>1</v>
      </c>
      <c r="K955">
        <v>950044</v>
      </c>
      <c r="L955">
        <f t="shared" si="124"/>
        <v>1.2834410653846154E-2</v>
      </c>
      <c r="M955">
        <f t="shared" si="125"/>
        <v>5.1427966923076919E-3</v>
      </c>
      <c r="N955">
        <f t="shared" si="126"/>
        <v>1.0822016615384615E-2</v>
      </c>
      <c r="O955">
        <f t="shared" si="127"/>
        <v>7.9824066538461535E-3</v>
      </c>
      <c r="P955">
        <f t="shared" si="123"/>
        <v>29.594095177732008</v>
      </c>
      <c r="R955">
        <f t="shared" si="128"/>
        <v>-2.0410394213612555E-3</v>
      </c>
    </row>
    <row r="956" spans="1:19" x14ac:dyDescent="0.2">
      <c r="A956" t="s">
        <v>967</v>
      </c>
      <c r="B956">
        <v>5.7898183200000002</v>
      </c>
      <c r="C956">
        <v>0.41985539999999999</v>
      </c>
      <c r="D956">
        <v>5.9477440100000001</v>
      </c>
      <c r="E956">
        <v>0.35558118</v>
      </c>
      <c r="F956">
        <v>3.3399386999999998</v>
      </c>
      <c r="G956">
        <v>1.33318662</v>
      </c>
      <c r="H956">
        <v>2.7778792800000001</v>
      </c>
      <c r="I956">
        <v>9.6783300000000006E-3</v>
      </c>
      <c r="J956">
        <v>1</v>
      </c>
      <c r="K956">
        <v>950044</v>
      </c>
      <c r="L956">
        <f t="shared" si="124"/>
        <v>1.2845918076923077E-2</v>
      </c>
      <c r="M956">
        <f t="shared" si="125"/>
        <v>5.1276408461538459E-3</v>
      </c>
      <c r="N956">
        <f t="shared" si="126"/>
        <v>1.0684151076923077E-2</v>
      </c>
      <c r="O956">
        <f t="shared" si="127"/>
        <v>7.9058959615384613E-3</v>
      </c>
      <c r="P956">
        <f t="shared" si="123"/>
        <v>23.758955482248872</v>
      </c>
      <c r="R956">
        <f t="shared" si="128"/>
        <v>-2.2264772875673633E-3</v>
      </c>
    </row>
    <row r="957" spans="1:19" x14ac:dyDescent="0.2">
      <c r="A957" t="s">
        <v>968</v>
      </c>
      <c r="B957">
        <v>5.7480323799999997</v>
      </c>
      <c r="C957">
        <v>0.32479380000000002</v>
      </c>
      <c r="D957">
        <v>5.8975866300000002</v>
      </c>
      <c r="E957">
        <v>0.35558118</v>
      </c>
      <c r="F957">
        <v>3.33694677</v>
      </c>
      <c r="G957">
        <v>1.3251017599999999</v>
      </c>
      <c r="H957">
        <v>2.7310135600000001</v>
      </c>
      <c r="I957">
        <v>9.8609400000000003E-3</v>
      </c>
      <c r="J957">
        <v>1</v>
      </c>
      <c r="K957">
        <v>950044</v>
      </c>
      <c r="L957">
        <f t="shared" si="124"/>
        <v>1.2834410653846154E-2</v>
      </c>
      <c r="M957">
        <f t="shared" si="125"/>
        <v>5.0965452307692302E-3</v>
      </c>
      <c r="N957">
        <f t="shared" si="126"/>
        <v>1.0503898307692308E-2</v>
      </c>
      <c r="O957">
        <f t="shared" si="127"/>
        <v>7.8002217692307689E-3</v>
      </c>
      <c r="P957">
        <f t="shared" si="123"/>
        <v>18.3795693353246</v>
      </c>
      <c r="R957">
        <f t="shared" si="128"/>
        <v>-1.9924614463212313E-3</v>
      </c>
    </row>
    <row r="958" spans="1:19" x14ac:dyDescent="0.2">
      <c r="A958" t="s">
        <v>969</v>
      </c>
      <c r="B958">
        <v>5.6963839199999997</v>
      </c>
      <c r="C958">
        <v>0.24135084000000001</v>
      </c>
      <c r="D958">
        <v>5.84026391</v>
      </c>
      <c r="E958">
        <v>0.35558118</v>
      </c>
      <c r="F958">
        <v>3.3331674900000001</v>
      </c>
      <c r="G958">
        <v>1.31307638</v>
      </c>
      <c r="H958">
        <v>2.6783592000000001</v>
      </c>
      <c r="I958">
        <v>9.6783300000000006E-3</v>
      </c>
      <c r="J958">
        <v>1</v>
      </c>
      <c r="K958">
        <v>950044</v>
      </c>
      <c r="L958">
        <f t="shared" si="124"/>
        <v>1.2819874961538462E-2</v>
      </c>
      <c r="M958">
        <f t="shared" si="125"/>
        <v>5.0502937692307693E-3</v>
      </c>
      <c r="N958">
        <f t="shared" si="126"/>
        <v>1.0301381538461539E-2</v>
      </c>
      <c r="O958">
        <f t="shared" si="127"/>
        <v>7.6758376538461539E-3</v>
      </c>
      <c r="P958">
        <f t="shared" si="123"/>
        <v>13.65766371746885</v>
      </c>
      <c r="R958">
        <f t="shared" si="128"/>
        <v>-1.5347772107865349E-3</v>
      </c>
    </row>
    <row r="959" spans="1:19" x14ac:dyDescent="0.2">
      <c r="A959" t="s">
        <v>970</v>
      </c>
      <c r="B959">
        <v>5.6434377600000003</v>
      </c>
      <c r="C959">
        <v>0.16714998</v>
      </c>
      <c r="D959">
        <v>5.7870356699999999</v>
      </c>
      <c r="E959">
        <v>0.35558118</v>
      </c>
      <c r="F959">
        <v>3.3202549499999998</v>
      </c>
      <c r="G959">
        <v>1.2987410399999999</v>
      </c>
      <c r="H959">
        <v>2.6236454199999999</v>
      </c>
      <c r="I959">
        <v>9.8609400000000003E-3</v>
      </c>
      <c r="J959">
        <v>1</v>
      </c>
      <c r="K959">
        <v>950044</v>
      </c>
      <c r="L959">
        <f t="shared" si="124"/>
        <v>1.2770211346153845E-2</v>
      </c>
      <c r="M959">
        <f t="shared" si="125"/>
        <v>4.9951578461538458E-3</v>
      </c>
      <c r="N959">
        <f t="shared" si="126"/>
        <v>1.0090943923076922E-2</v>
      </c>
      <c r="O959">
        <f t="shared" si="127"/>
        <v>7.5430508846153843E-3</v>
      </c>
      <c r="P959">
        <f t="shared" si="123"/>
        <v>9.4587539750085128</v>
      </c>
      <c r="R959">
        <f t="shared" si="128"/>
        <v>-9.966095563723968E-4</v>
      </c>
    </row>
    <row r="960" spans="1:19" x14ac:dyDescent="0.2">
      <c r="A960" t="s">
        <v>971</v>
      </c>
      <c r="B960">
        <v>5.5910106800000001</v>
      </c>
      <c r="C960">
        <v>0.1003428</v>
      </c>
      <c r="D960">
        <v>5.732272</v>
      </c>
      <c r="E960">
        <v>0.61238981000000003</v>
      </c>
      <c r="F960">
        <v>3.3015160200000002</v>
      </c>
      <c r="G960">
        <v>1.2835904199999999</v>
      </c>
      <c r="H960">
        <v>2.5703231400000002</v>
      </c>
      <c r="I960">
        <v>9.8609400000000003E-3</v>
      </c>
      <c r="J960">
        <v>1</v>
      </c>
      <c r="K960">
        <v>950044</v>
      </c>
      <c r="L960">
        <f t="shared" si="124"/>
        <v>1.2698138538461539E-2</v>
      </c>
      <c r="M960">
        <f t="shared" si="125"/>
        <v>4.9368862307692307E-3</v>
      </c>
      <c r="N960">
        <f t="shared" si="126"/>
        <v>9.885858230769231E-3</v>
      </c>
      <c r="O960">
        <f t="shared" si="127"/>
        <v>7.4113722307692313E-3</v>
      </c>
      <c r="P960">
        <f t="shared" si="123"/>
        <v>5.6782409328645098</v>
      </c>
      <c r="R960">
        <f t="shared" si="128"/>
        <v>-4.0208366584812785E-4</v>
      </c>
    </row>
    <row r="961" spans="1:19" x14ac:dyDescent="0.2">
      <c r="A961" t="s">
        <v>972</v>
      </c>
      <c r="B961">
        <v>5.5515606000000002</v>
      </c>
      <c r="C961">
        <v>5.2811999999999998E-2</v>
      </c>
      <c r="D961">
        <v>5.6933744400000004</v>
      </c>
      <c r="E961">
        <v>1.0864980500000001</v>
      </c>
      <c r="F961">
        <v>3.2846667300000001</v>
      </c>
      <c r="G961">
        <v>1.2728558999999999</v>
      </c>
      <c r="H961">
        <v>2.5328083000000001</v>
      </c>
      <c r="I961">
        <v>9.8609400000000003E-3</v>
      </c>
      <c r="J961">
        <v>1</v>
      </c>
      <c r="K961">
        <v>950044</v>
      </c>
      <c r="L961">
        <f t="shared" si="124"/>
        <v>1.2633333576923077E-2</v>
      </c>
      <c r="M961">
        <f t="shared" si="125"/>
        <v>4.8955996153846153E-3</v>
      </c>
      <c r="N961">
        <f t="shared" si="126"/>
        <v>9.7415703846153844E-3</v>
      </c>
      <c r="O961">
        <f t="shared" si="127"/>
        <v>7.3185849999999998E-3</v>
      </c>
      <c r="P961">
        <f t="shared" si="123"/>
        <v>2.9885478594023738</v>
      </c>
      <c r="R961">
        <f t="shared" si="128"/>
        <v>-7.6950145384403735E-5</v>
      </c>
    </row>
    <row r="962" spans="1:19" x14ac:dyDescent="0.2">
      <c r="A962" t="s">
        <v>973</v>
      </c>
      <c r="B962">
        <v>5.5396217600000002</v>
      </c>
      <c r="C962">
        <v>5.0831550000000003E-2</v>
      </c>
      <c r="D962">
        <v>5.6790437599999999</v>
      </c>
      <c r="E962">
        <v>1.20502511</v>
      </c>
      <c r="F962">
        <v>3.26640021</v>
      </c>
      <c r="G962">
        <v>1.26973066</v>
      </c>
      <c r="H962">
        <v>2.5222885599999998</v>
      </c>
      <c r="I962">
        <v>1.004355E-2</v>
      </c>
      <c r="J962">
        <v>1</v>
      </c>
      <c r="K962">
        <v>950044</v>
      </c>
      <c r="L962">
        <f t="shared" si="124"/>
        <v>1.256307773076923E-2</v>
      </c>
      <c r="M962">
        <f t="shared" si="125"/>
        <v>4.8835794615384618E-3</v>
      </c>
      <c r="N962">
        <f t="shared" si="126"/>
        <v>9.7011098461538461E-3</v>
      </c>
      <c r="O962">
        <f t="shared" si="127"/>
        <v>7.2923446538461535E-3</v>
      </c>
      <c r="P962">
        <f t="shared" si="123"/>
        <v>2.8764773146747848</v>
      </c>
      <c r="R962">
        <f t="shared" si="128"/>
        <v>1.732848883466611E-4</v>
      </c>
    </row>
    <row r="963" spans="1:19" x14ac:dyDescent="0.2">
      <c r="A963" t="s">
        <v>974</v>
      </c>
      <c r="B963">
        <v>5.5570109399999996</v>
      </c>
      <c r="C963">
        <v>0.10839662999999999</v>
      </c>
      <c r="D963">
        <v>5.7010515899999996</v>
      </c>
      <c r="E963">
        <v>1.20502511</v>
      </c>
      <c r="F963">
        <v>3.2452992300000001</v>
      </c>
      <c r="G963">
        <v>1.2695268399999999</v>
      </c>
      <c r="H963">
        <v>2.5424931399999999</v>
      </c>
      <c r="I963">
        <v>1.004355E-2</v>
      </c>
      <c r="J963">
        <v>1</v>
      </c>
      <c r="K963">
        <v>950044</v>
      </c>
      <c r="L963">
        <f t="shared" si="124"/>
        <v>1.2481920115384616E-2</v>
      </c>
      <c r="M963">
        <f t="shared" si="125"/>
        <v>4.882795538461538E-3</v>
      </c>
      <c r="N963">
        <f t="shared" si="126"/>
        <v>9.7788197692307687E-3</v>
      </c>
      <c r="O963">
        <f t="shared" si="127"/>
        <v>7.3308076538461534E-3</v>
      </c>
      <c r="P963">
        <f t="shared" ref="P963:P1026" si="132">+C963*4/(PI()*0.15^2)</f>
        <v>6.1339944814233718</v>
      </c>
      <c r="R963">
        <f t="shared" si="128"/>
        <v>8.022992479014224E-4</v>
      </c>
    </row>
    <row r="964" spans="1:19" x14ac:dyDescent="0.2">
      <c r="A964" t="s">
        <v>975</v>
      </c>
      <c r="B964">
        <v>5.5982778</v>
      </c>
      <c r="C964">
        <v>0.18893493</v>
      </c>
      <c r="D964">
        <v>5.7414845799999998</v>
      </c>
      <c r="E964">
        <v>1.1457615800000001</v>
      </c>
      <c r="F964">
        <v>3.2336464500000002</v>
      </c>
      <c r="G964">
        <v>1.2759811400000001</v>
      </c>
      <c r="H964">
        <v>2.5856296400000001</v>
      </c>
      <c r="I964">
        <v>9.8609400000000003E-3</v>
      </c>
      <c r="J964">
        <v>1</v>
      </c>
      <c r="K964">
        <v>950045</v>
      </c>
      <c r="L964">
        <f t="shared" ref="L964:L1027" si="133">+F964/260</f>
        <v>1.2437101730769231E-2</v>
      </c>
      <c r="M964">
        <f t="shared" ref="M964:M1027" si="134">+G964/260</f>
        <v>4.9076197692307696E-3</v>
      </c>
      <c r="N964">
        <f t="shared" ref="N964:N1027" si="135">+H964/260</f>
        <v>9.9447293846153841E-3</v>
      </c>
      <c r="O964">
        <f t="shared" ref="O964:O1027" si="136">(+G964+H964)/520</f>
        <v>7.4261745769230777E-3</v>
      </c>
      <c r="P964">
        <f t="shared" si="132"/>
        <v>10.691529967011993</v>
      </c>
      <c r="Q964">
        <f t="shared" ref="Q964" si="137">ABS(0.5*(SUMPRODUCT(O964:O982,P965:P983)+O983*P964-(SUMPRODUCT(O965:O983,P964:P982)+O964*P983)))</f>
        <v>5.1986709157996192E-3</v>
      </c>
      <c r="R964">
        <f t="shared" ref="R964:R1027" si="138">+(P964+P965)/2*(O965-O964)</f>
        <v>1.8015248382633325E-3</v>
      </c>
    </row>
    <row r="965" spans="1:19" x14ac:dyDescent="0.2">
      <c r="A965" t="s">
        <v>976</v>
      </c>
      <c r="B965">
        <v>5.6488880999999997</v>
      </c>
      <c r="C965">
        <v>0.28241217000000002</v>
      </c>
      <c r="D965">
        <v>5.7993191099999999</v>
      </c>
      <c r="E965">
        <v>1.0272345199999999</v>
      </c>
      <c r="F965">
        <v>3.2289223499999999</v>
      </c>
      <c r="G965">
        <v>1.2898409</v>
      </c>
      <c r="H965">
        <v>2.6420132199999999</v>
      </c>
      <c r="I965">
        <v>9.8609400000000003E-3</v>
      </c>
      <c r="J965">
        <v>1</v>
      </c>
      <c r="K965">
        <v>950045</v>
      </c>
      <c r="L965">
        <f t="shared" si="133"/>
        <v>1.2418932115384616E-2</v>
      </c>
      <c r="M965">
        <f t="shared" si="134"/>
        <v>4.9609265384615384E-3</v>
      </c>
      <c r="N965">
        <f t="shared" si="135"/>
        <v>1.0161589307692308E-2</v>
      </c>
      <c r="O965">
        <f t="shared" si="136"/>
        <v>7.5612579230769222E-3</v>
      </c>
      <c r="P965">
        <f t="shared" si="132"/>
        <v>15.981259678154196</v>
      </c>
      <c r="R965">
        <f t="shared" si="138"/>
        <v>2.8677367525728813E-3</v>
      </c>
    </row>
    <row r="966" spans="1:19" x14ac:dyDescent="0.2">
      <c r="A966" t="s">
        <v>977</v>
      </c>
      <c r="B966">
        <v>5.7075441400000004</v>
      </c>
      <c r="C966">
        <v>0.39160097999999999</v>
      </c>
      <c r="D966">
        <v>5.8679016500000003</v>
      </c>
      <c r="E966">
        <v>0.79018040000000001</v>
      </c>
      <c r="F966">
        <v>3.22750512</v>
      </c>
      <c r="G966">
        <v>1.30519534</v>
      </c>
      <c r="H966">
        <v>2.70485336</v>
      </c>
      <c r="I966">
        <v>9.6783300000000006E-3</v>
      </c>
      <c r="J966">
        <v>1</v>
      </c>
      <c r="K966">
        <v>950045</v>
      </c>
      <c r="L966">
        <f t="shared" si="133"/>
        <v>1.2413481230769231E-2</v>
      </c>
      <c r="M966">
        <f t="shared" si="134"/>
        <v>5.0199820769230774E-3</v>
      </c>
      <c r="N966">
        <f t="shared" si="135"/>
        <v>1.0403282153846154E-2</v>
      </c>
      <c r="O966">
        <f t="shared" si="136"/>
        <v>7.7116321153846163E-3</v>
      </c>
      <c r="P966">
        <f t="shared" si="132"/>
        <v>22.160082377468601</v>
      </c>
      <c r="R966">
        <f t="shared" si="138"/>
        <v>3.8308270144911238E-3</v>
      </c>
    </row>
    <row r="967" spans="1:19" x14ac:dyDescent="0.2">
      <c r="A967" t="s">
        <v>978</v>
      </c>
      <c r="B967">
        <v>5.7700932800000002</v>
      </c>
      <c r="C967">
        <v>0.52587549</v>
      </c>
      <c r="D967">
        <v>5.9400668599999999</v>
      </c>
      <c r="E967">
        <v>0.67165333999999999</v>
      </c>
      <c r="F967">
        <v>3.2322292199999998</v>
      </c>
      <c r="G967">
        <v>1.31925892</v>
      </c>
      <c r="H967">
        <v>2.7675265200000001</v>
      </c>
      <c r="I967">
        <v>9.6783300000000006E-3</v>
      </c>
      <c r="J967">
        <v>1</v>
      </c>
      <c r="K967">
        <v>950045</v>
      </c>
      <c r="L967">
        <f t="shared" si="133"/>
        <v>1.2431650846153846E-2</v>
      </c>
      <c r="M967">
        <f t="shared" si="134"/>
        <v>5.0740727692307691E-3</v>
      </c>
      <c r="N967">
        <f t="shared" si="135"/>
        <v>1.0644332769230769E-2</v>
      </c>
      <c r="O967">
        <f t="shared" si="136"/>
        <v>7.8592027692307685E-3</v>
      </c>
      <c r="P967">
        <f t="shared" si="132"/>
        <v>29.758465309999139</v>
      </c>
      <c r="R967">
        <f t="shared" si="138"/>
        <v>4.4096687947831111E-3</v>
      </c>
    </row>
    <row r="968" spans="1:19" x14ac:dyDescent="0.2">
      <c r="A968" t="s">
        <v>979</v>
      </c>
      <c r="B968">
        <v>5.8295279400000002</v>
      </c>
      <c r="C968">
        <v>0.70345584000000005</v>
      </c>
      <c r="D968">
        <v>6.0055785400000001</v>
      </c>
      <c r="E968">
        <v>0.53337177000000002</v>
      </c>
      <c r="F968">
        <v>3.24813369</v>
      </c>
      <c r="G968">
        <v>1.33046902</v>
      </c>
      <c r="H968">
        <v>2.8222402999999998</v>
      </c>
      <c r="I968">
        <v>9.6783300000000006E-3</v>
      </c>
      <c r="J968">
        <v>1</v>
      </c>
      <c r="K968">
        <v>950045</v>
      </c>
      <c r="L968">
        <f t="shared" si="133"/>
        <v>1.2492821884615384E-2</v>
      </c>
      <c r="M968">
        <f t="shared" si="134"/>
        <v>5.1171885384615383E-3</v>
      </c>
      <c r="N968">
        <f t="shared" si="135"/>
        <v>1.0854770384615384E-2</v>
      </c>
      <c r="O968">
        <f t="shared" si="136"/>
        <v>7.9859794615384609E-3</v>
      </c>
      <c r="P968">
        <f t="shared" si="132"/>
        <v>39.807457487239624</v>
      </c>
      <c r="R968">
        <f t="shared" si="138"/>
        <v>2.8351754266464787E-3</v>
      </c>
      <c r="S968">
        <f>ABS(SUMIFS($R:$R,$K:$K,K968))</f>
        <v>5.1680841477265765E-3</v>
      </c>
    </row>
    <row r="969" spans="1:19" x14ac:dyDescent="0.2">
      <c r="A969" t="s">
        <v>980</v>
      </c>
      <c r="B969">
        <v>5.8700161800000004</v>
      </c>
      <c r="C969">
        <v>0.82677186000000003</v>
      </c>
      <c r="D969">
        <v>6.0398698099999999</v>
      </c>
      <c r="E969">
        <v>0.53337177000000002</v>
      </c>
      <c r="F969">
        <v>3.2629358700000002</v>
      </c>
      <c r="G969">
        <v>1.33563246</v>
      </c>
      <c r="H969">
        <v>2.8511278400000002</v>
      </c>
      <c r="I969">
        <v>9.8609400000000003E-3</v>
      </c>
      <c r="J969">
        <v>1</v>
      </c>
      <c r="K969">
        <v>950045</v>
      </c>
      <c r="L969">
        <f t="shared" si="133"/>
        <v>1.2549753346153847E-2</v>
      </c>
      <c r="M969">
        <f t="shared" si="134"/>
        <v>5.1370479230769235E-3</v>
      </c>
      <c r="N969">
        <f t="shared" si="135"/>
        <v>1.0965876307692309E-2</v>
      </c>
      <c r="O969">
        <f t="shared" si="136"/>
        <v>8.0514621153846156E-3</v>
      </c>
      <c r="P969">
        <f t="shared" si="132"/>
        <v>46.785716738944167</v>
      </c>
      <c r="R969">
        <f t="shared" si="138"/>
        <v>8.8517001622611963E-4</v>
      </c>
    </row>
    <row r="970" spans="1:19" x14ac:dyDescent="0.2">
      <c r="A970" t="s">
        <v>981</v>
      </c>
      <c r="B970">
        <v>5.8824740999999996</v>
      </c>
      <c r="C970">
        <v>0.8542341</v>
      </c>
      <c r="D970">
        <v>6.0526650599999998</v>
      </c>
      <c r="E970">
        <v>0.53337177000000002</v>
      </c>
      <c r="F970">
        <v>3.27600588</v>
      </c>
      <c r="G970">
        <v>1.33651568</v>
      </c>
      <c r="H970">
        <v>2.8599221199999998</v>
      </c>
      <c r="I970">
        <v>9.8609400000000003E-3</v>
      </c>
      <c r="J970">
        <v>1</v>
      </c>
      <c r="K970">
        <v>950045</v>
      </c>
      <c r="L970">
        <f t="shared" si="133"/>
        <v>1.2600022615384615E-2</v>
      </c>
      <c r="M970">
        <f t="shared" si="134"/>
        <v>5.1404449230769231E-3</v>
      </c>
      <c r="N970">
        <f t="shared" si="135"/>
        <v>1.0999700461538461E-2</v>
      </c>
      <c r="O970">
        <f t="shared" si="136"/>
        <v>8.0700726923076931E-3</v>
      </c>
      <c r="P970">
        <f t="shared" si="132"/>
        <v>48.339761625833397</v>
      </c>
      <c r="R970">
        <f t="shared" si="138"/>
        <v>3.1402139592052287E-4</v>
      </c>
    </row>
    <row r="971" spans="1:19" x14ac:dyDescent="0.2">
      <c r="A971" t="s">
        <v>982</v>
      </c>
      <c r="B971">
        <v>5.8824740999999996</v>
      </c>
      <c r="C971">
        <v>0.85542236999999999</v>
      </c>
      <c r="D971">
        <v>6.0542004900000004</v>
      </c>
      <c r="E971">
        <v>0.53337177000000002</v>
      </c>
      <c r="F971">
        <v>3.2919103500000002</v>
      </c>
      <c r="G971">
        <v>1.3373309600000001</v>
      </c>
      <c r="H971">
        <v>2.8624824800000002</v>
      </c>
      <c r="I971">
        <v>9.6783300000000006E-3</v>
      </c>
      <c r="J971">
        <v>1</v>
      </c>
      <c r="K971">
        <v>950045</v>
      </c>
      <c r="L971">
        <f t="shared" si="133"/>
        <v>1.2661193653846155E-2</v>
      </c>
      <c r="M971">
        <f t="shared" si="134"/>
        <v>5.1435806153846157E-3</v>
      </c>
      <c r="N971">
        <f t="shared" si="135"/>
        <v>1.1009548000000001E-2</v>
      </c>
      <c r="O971">
        <f t="shared" si="136"/>
        <v>8.076564307692307E-3</v>
      </c>
      <c r="P971">
        <f t="shared" si="132"/>
        <v>48.407003952669953</v>
      </c>
      <c r="R971">
        <f t="shared" si="138"/>
        <v>-5.4169666764760852E-5</v>
      </c>
    </row>
    <row r="972" spans="1:19" x14ac:dyDescent="0.2">
      <c r="A972" t="s">
        <v>983</v>
      </c>
      <c r="B972">
        <v>5.8793596199999998</v>
      </c>
      <c r="C972">
        <v>0.81990629999999998</v>
      </c>
      <c r="D972">
        <v>6.0526650599999998</v>
      </c>
      <c r="E972">
        <v>0.47410824000000001</v>
      </c>
      <c r="F972">
        <v>3.30671253</v>
      </c>
      <c r="G972">
        <v>1.3377386</v>
      </c>
      <c r="H972">
        <v>2.8614806000000002</v>
      </c>
      <c r="I972">
        <v>9.8609400000000003E-3</v>
      </c>
      <c r="J972">
        <v>1</v>
      </c>
      <c r="K972">
        <v>950045</v>
      </c>
      <c r="L972">
        <f t="shared" si="133"/>
        <v>1.2718125115384615E-2</v>
      </c>
      <c r="M972">
        <f t="shared" si="134"/>
        <v>5.1451484615384615E-3</v>
      </c>
      <c r="N972">
        <f t="shared" si="135"/>
        <v>1.1005694615384616E-2</v>
      </c>
      <c r="O972">
        <f t="shared" si="136"/>
        <v>8.0754215384615385E-3</v>
      </c>
      <c r="P972">
        <f t="shared" si="132"/>
        <v>46.397205517221856</v>
      </c>
      <c r="R972">
        <f t="shared" si="138"/>
        <v>-1.1254274707115375E-3</v>
      </c>
    </row>
    <row r="973" spans="1:19" x14ac:dyDescent="0.2">
      <c r="A973" t="s">
        <v>984</v>
      </c>
      <c r="B973">
        <v>5.8619704400000003</v>
      </c>
      <c r="C973">
        <v>0.70305974999999998</v>
      </c>
      <c r="D973">
        <v>6.03526352</v>
      </c>
      <c r="E973">
        <v>0.47410824000000001</v>
      </c>
      <c r="F973">
        <v>3.31584579</v>
      </c>
      <c r="G973">
        <v>1.3377386</v>
      </c>
      <c r="H973">
        <v>2.8478995600000001</v>
      </c>
      <c r="I973">
        <v>9.8609400000000003E-3</v>
      </c>
      <c r="J973">
        <v>1</v>
      </c>
      <c r="K973">
        <v>950045</v>
      </c>
      <c r="L973">
        <f t="shared" si="133"/>
        <v>1.2753253038461539E-2</v>
      </c>
      <c r="M973">
        <f t="shared" si="134"/>
        <v>5.1451484615384615E-3</v>
      </c>
      <c r="N973">
        <f t="shared" si="135"/>
        <v>1.0953459846153847E-2</v>
      </c>
      <c r="O973">
        <f t="shared" si="136"/>
        <v>8.049304153846153E-3</v>
      </c>
      <c r="P973">
        <f t="shared" si="132"/>
        <v>39.785043378294098</v>
      </c>
      <c r="R973">
        <f t="shared" si="138"/>
        <v>-9.8410345974391574E-4</v>
      </c>
    </row>
    <row r="974" spans="1:19" x14ac:dyDescent="0.2">
      <c r="A974" t="s">
        <v>985</v>
      </c>
      <c r="B974">
        <v>5.84458126</v>
      </c>
      <c r="C974">
        <v>0.61248716999999997</v>
      </c>
      <c r="D974">
        <v>6.0193974099999998</v>
      </c>
      <c r="E974">
        <v>0.47410824000000001</v>
      </c>
      <c r="F974">
        <v>3.32545146</v>
      </c>
      <c r="G974">
        <v>1.3377386</v>
      </c>
      <c r="H974">
        <v>2.8341515400000001</v>
      </c>
      <c r="I974">
        <v>9.6783300000000006E-3</v>
      </c>
      <c r="J974">
        <v>1</v>
      </c>
      <c r="K974">
        <v>950045</v>
      </c>
      <c r="L974">
        <f t="shared" si="133"/>
        <v>1.2790197923076924E-2</v>
      </c>
      <c r="M974">
        <f t="shared" si="134"/>
        <v>5.1451484615384615E-3</v>
      </c>
      <c r="N974">
        <f t="shared" si="135"/>
        <v>1.0900582846153847E-2</v>
      </c>
      <c r="O974">
        <f t="shared" si="136"/>
        <v>8.0228656538461549E-3</v>
      </c>
      <c r="P974">
        <f t="shared" si="132"/>
        <v>34.659683799419028</v>
      </c>
      <c r="R974">
        <f t="shared" si="138"/>
        <v>-1.3177188024568196E-3</v>
      </c>
    </row>
    <row r="975" spans="1:19" x14ac:dyDescent="0.2">
      <c r="A975" t="s">
        <v>986</v>
      </c>
      <c r="B975">
        <v>5.8222608200000003</v>
      </c>
      <c r="C975">
        <v>0.52257474000000004</v>
      </c>
      <c r="D975">
        <v>5.9917596700000004</v>
      </c>
      <c r="E975">
        <v>0.47410824000000001</v>
      </c>
      <c r="F975">
        <v>3.33505713</v>
      </c>
      <c r="G975">
        <v>1.3373309600000001</v>
      </c>
      <c r="H975">
        <v>2.8132233800000002</v>
      </c>
      <c r="I975">
        <v>9.6783300000000006E-3</v>
      </c>
      <c r="J975">
        <v>1</v>
      </c>
      <c r="K975">
        <v>950045</v>
      </c>
      <c r="L975">
        <f t="shared" si="133"/>
        <v>1.2827142807692309E-2</v>
      </c>
      <c r="M975">
        <f t="shared" si="134"/>
        <v>5.1435806153846157E-3</v>
      </c>
      <c r="N975">
        <f t="shared" si="135"/>
        <v>1.0820089923076924E-2</v>
      </c>
      <c r="O975">
        <f t="shared" si="136"/>
        <v>7.9818352692307692E-3</v>
      </c>
      <c r="P975">
        <f t="shared" si="132"/>
        <v>29.571681068786493</v>
      </c>
      <c r="R975">
        <f t="shared" si="138"/>
        <v>-2.0249458092378601E-3</v>
      </c>
    </row>
    <row r="976" spans="1:19" x14ac:dyDescent="0.2">
      <c r="A976" t="s">
        <v>987</v>
      </c>
      <c r="B976">
        <v>5.7905969400000004</v>
      </c>
      <c r="C976">
        <v>0.41985539999999999</v>
      </c>
      <c r="D976">
        <v>5.9508148700000003</v>
      </c>
      <c r="E976">
        <v>0.47410824000000001</v>
      </c>
      <c r="F976">
        <v>3.3380490599999999</v>
      </c>
      <c r="G976">
        <v>1.33318662</v>
      </c>
      <c r="H976">
        <v>2.7778792800000001</v>
      </c>
      <c r="I976">
        <v>9.6783300000000006E-3</v>
      </c>
      <c r="J976">
        <v>1</v>
      </c>
      <c r="K976">
        <v>950045</v>
      </c>
      <c r="L976">
        <f t="shared" si="133"/>
        <v>1.283865023076923E-2</v>
      </c>
      <c r="M976">
        <f t="shared" si="134"/>
        <v>5.1276408461538459E-3</v>
      </c>
      <c r="N976">
        <f t="shared" si="135"/>
        <v>1.0684151076923077E-2</v>
      </c>
      <c r="O976">
        <f t="shared" si="136"/>
        <v>7.9058959615384613E-3</v>
      </c>
      <c r="P976">
        <f t="shared" si="132"/>
        <v>23.758955482248872</v>
      </c>
      <c r="R976">
        <f t="shared" si="138"/>
        <v>-2.2097007951316795E-3</v>
      </c>
    </row>
    <row r="977" spans="1:19" x14ac:dyDescent="0.2">
      <c r="A977" t="s">
        <v>988</v>
      </c>
      <c r="B977">
        <v>5.7464751400000003</v>
      </c>
      <c r="C977">
        <v>0.32598207000000001</v>
      </c>
      <c r="D977">
        <v>5.9011693000000003</v>
      </c>
      <c r="E977">
        <v>0.47410824000000001</v>
      </c>
      <c r="F977">
        <v>3.33505713</v>
      </c>
      <c r="G977">
        <v>1.3251017599999999</v>
      </c>
      <c r="H977">
        <v>2.7315144999999998</v>
      </c>
      <c r="I977">
        <v>9.6783300000000006E-3</v>
      </c>
      <c r="J977">
        <v>1</v>
      </c>
      <c r="K977">
        <v>950045</v>
      </c>
      <c r="L977">
        <f t="shared" si="133"/>
        <v>1.2827142807692309E-2</v>
      </c>
      <c r="M977">
        <f t="shared" si="134"/>
        <v>5.0965452307692302E-3</v>
      </c>
      <c r="N977">
        <f t="shared" si="135"/>
        <v>1.0505825E-2</v>
      </c>
      <c r="O977">
        <f t="shared" si="136"/>
        <v>7.8011851153846155E-3</v>
      </c>
      <c r="P977">
        <f t="shared" si="132"/>
        <v>18.446811662161153</v>
      </c>
      <c r="R977">
        <f t="shared" si="138"/>
        <v>-1.9981275365081731E-3</v>
      </c>
    </row>
    <row r="978" spans="1:19" x14ac:dyDescent="0.2">
      <c r="A978" t="s">
        <v>989</v>
      </c>
      <c r="B978">
        <v>5.6971625399999999</v>
      </c>
      <c r="C978">
        <v>0.24095475</v>
      </c>
      <c r="D978">
        <v>5.8448701999999999</v>
      </c>
      <c r="E978">
        <v>0.47410824000000001</v>
      </c>
      <c r="F978">
        <v>3.3303330299999998</v>
      </c>
      <c r="G978">
        <v>1.31348402</v>
      </c>
      <c r="H978">
        <v>2.6783592000000001</v>
      </c>
      <c r="I978">
        <v>9.6783300000000006E-3</v>
      </c>
      <c r="J978">
        <v>1</v>
      </c>
      <c r="K978">
        <v>950045</v>
      </c>
      <c r="L978">
        <f t="shared" si="133"/>
        <v>1.2808973192307692E-2</v>
      </c>
      <c r="M978">
        <f t="shared" si="134"/>
        <v>5.0518616153846152E-3</v>
      </c>
      <c r="N978">
        <f t="shared" si="135"/>
        <v>1.0301381538461539E-2</v>
      </c>
      <c r="O978">
        <f t="shared" si="136"/>
        <v>7.6766215769230768E-3</v>
      </c>
      <c r="P978">
        <f t="shared" si="132"/>
        <v>13.635249608523331</v>
      </c>
      <c r="R978">
        <f t="shared" si="138"/>
        <v>-1.5298956636949864E-3</v>
      </c>
    </row>
    <row r="979" spans="1:19" x14ac:dyDescent="0.2">
      <c r="A979" t="s">
        <v>990</v>
      </c>
      <c r="B979">
        <v>5.6457736199999999</v>
      </c>
      <c r="C979">
        <v>0.1663578</v>
      </c>
      <c r="D979">
        <v>5.7870356699999999</v>
      </c>
      <c r="E979">
        <v>0.47410824000000001</v>
      </c>
      <c r="F979">
        <v>3.3202549499999998</v>
      </c>
      <c r="G979">
        <v>1.29894486</v>
      </c>
      <c r="H979">
        <v>2.6238680599999999</v>
      </c>
      <c r="I979">
        <v>9.4957199999999992E-3</v>
      </c>
      <c r="J979">
        <v>1</v>
      </c>
      <c r="K979">
        <v>950045</v>
      </c>
      <c r="L979">
        <f t="shared" si="133"/>
        <v>1.2770211346153845E-2</v>
      </c>
      <c r="M979">
        <f t="shared" si="134"/>
        <v>4.9959417692307688E-3</v>
      </c>
      <c r="N979">
        <f t="shared" si="135"/>
        <v>1.009180023076923E-2</v>
      </c>
      <c r="O979">
        <f t="shared" si="136"/>
        <v>7.5438710000000006E-3</v>
      </c>
      <c r="P979">
        <f t="shared" si="132"/>
        <v>9.413925757117477</v>
      </c>
      <c r="R979">
        <f t="shared" si="138"/>
        <v>-1.0022803986378061E-3</v>
      </c>
    </row>
    <row r="980" spans="1:19" x14ac:dyDescent="0.2">
      <c r="A980" t="s">
        <v>991</v>
      </c>
      <c r="B980">
        <v>5.5936060799999998</v>
      </c>
      <c r="C980">
        <v>0.10113498</v>
      </c>
      <c r="D980">
        <v>5.7368782899999999</v>
      </c>
      <c r="E980">
        <v>0.61238981000000003</v>
      </c>
      <c r="F980">
        <v>3.3024608400000002</v>
      </c>
      <c r="G980">
        <v>1.28379424</v>
      </c>
      <c r="H980">
        <v>2.5701561599999998</v>
      </c>
      <c r="I980">
        <v>9.6783300000000006E-3</v>
      </c>
      <c r="J980">
        <v>1</v>
      </c>
      <c r="K980">
        <v>950045</v>
      </c>
      <c r="L980">
        <f t="shared" si="133"/>
        <v>1.2701772461538462E-2</v>
      </c>
      <c r="M980">
        <f t="shared" si="134"/>
        <v>4.9376701538461536E-3</v>
      </c>
      <c r="N980">
        <f t="shared" si="135"/>
        <v>9.8852159999999988E-3</v>
      </c>
      <c r="O980">
        <f t="shared" si="136"/>
        <v>7.4114430769230757E-3</v>
      </c>
      <c r="P980">
        <f t="shared" si="132"/>
        <v>5.7230691507555456</v>
      </c>
      <c r="R980">
        <f t="shared" si="138"/>
        <v>-4.0033330066610118E-4</v>
      </c>
    </row>
    <row r="981" spans="1:19" x14ac:dyDescent="0.2">
      <c r="A981" t="s">
        <v>992</v>
      </c>
      <c r="B981">
        <v>5.55078198</v>
      </c>
      <c r="C981">
        <v>5.2415910000000003E-2</v>
      </c>
      <c r="D981">
        <v>5.6933744400000004</v>
      </c>
      <c r="E981">
        <v>0.96797098999999998</v>
      </c>
      <c r="F981">
        <v>3.2832495000000002</v>
      </c>
      <c r="G981">
        <v>1.27305972</v>
      </c>
      <c r="H981">
        <v>2.5329752800000001</v>
      </c>
      <c r="I981">
        <v>9.6783300000000006E-3</v>
      </c>
      <c r="J981">
        <v>1</v>
      </c>
      <c r="K981">
        <v>950045</v>
      </c>
      <c r="L981">
        <f t="shared" si="133"/>
        <v>1.2627882692307692E-2</v>
      </c>
      <c r="M981">
        <f t="shared" si="134"/>
        <v>4.8963835384615382E-3</v>
      </c>
      <c r="N981">
        <f t="shared" si="135"/>
        <v>9.7422126153846149E-3</v>
      </c>
      <c r="O981">
        <f t="shared" si="136"/>
        <v>7.3192980769230774E-3</v>
      </c>
      <c r="P981">
        <f t="shared" si="132"/>
        <v>2.9661337504568563</v>
      </c>
      <c r="R981">
        <f t="shared" si="138"/>
        <v>-7.9681513039366129E-5</v>
      </c>
    </row>
    <row r="982" spans="1:19" x14ac:dyDescent="0.2">
      <c r="A982" t="s">
        <v>993</v>
      </c>
      <c r="B982">
        <v>5.53884314</v>
      </c>
      <c r="C982">
        <v>5.0303430000000003E-2</v>
      </c>
      <c r="D982">
        <v>5.6790437599999999</v>
      </c>
      <c r="E982">
        <v>1.0272345199999999</v>
      </c>
      <c r="F982">
        <v>3.2654553900000001</v>
      </c>
      <c r="G982">
        <v>1.2693230200000001</v>
      </c>
      <c r="H982">
        <v>2.5224555400000002</v>
      </c>
      <c r="I982">
        <v>9.8609400000000003E-3</v>
      </c>
      <c r="J982">
        <v>1</v>
      </c>
      <c r="K982">
        <v>950045</v>
      </c>
      <c r="L982">
        <f t="shared" si="133"/>
        <v>1.2559443807692307E-2</v>
      </c>
      <c r="M982">
        <f t="shared" si="134"/>
        <v>4.882011615384616E-3</v>
      </c>
      <c r="N982">
        <f t="shared" si="135"/>
        <v>9.7017520769230783E-3</v>
      </c>
      <c r="O982">
        <f t="shared" si="136"/>
        <v>7.2918818461538458E-3</v>
      </c>
      <c r="P982">
        <f t="shared" si="132"/>
        <v>2.8465918360807612</v>
      </c>
      <c r="R982">
        <f t="shared" si="138"/>
        <v>1.6610921309473682E-4</v>
      </c>
    </row>
    <row r="983" spans="1:19" x14ac:dyDescent="0.2">
      <c r="A983" t="s">
        <v>994</v>
      </c>
      <c r="B983">
        <v>5.55467508</v>
      </c>
      <c r="C983">
        <v>0.10760445</v>
      </c>
      <c r="D983">
        <v>5.6995161599999999</v>
      </c>
      <c r="E983">
        <v>1.0272345199999999</v>
      </c>
      <c r="F983">
        <v>3.24671646</v>
      </c>
      <c r="G983">
        <v>1.2691192</v>
      </c>
      <c r="H983">
        <v>2.5419922000000001</v>
      </c>
      <c r="I983">
        <v>9.8609400000000003E-3</v>
      </c>
      <c r="J983">
        <v>1</v>
      </c>
      <c r="K983">
        <v>950045</v>
      </c>
      <c r="L983">
        <f t="shared" si="133"/>
        <v>1.2487371000000001E-2</v>
      </c>
      <c r="M983">
        <f t="shared" si="134"/>
        <v>4.8812276923076922E-3</v>
      </c>
      <c r="N983">
        <f t="shared" si="135"/>
        <v>9.7768930769230773E-3</v>
      </c>
      <c r="O983">
        <f t="shared" si="136"/>
        <v>7.3290603846153848E-3</v>
      </c>
      <c r="P983">
        <f t="shared" si="132"/>
        <v>6.0891662635323369</v>
      </c>
      <c r="R983">
        <f t="shared" si="138"/>
        <v>7.8423511232127922E-4</v>
      </c>
    </row>
    <row r="984" spans="1:19" x14ac:dyDescent="0.2">
      <c r="A984" t="s">
        <v>995</v>
      </c>
      <c r="B984">
        <v>5.5925679199999996</v>
      </c>
      <c r="C984">
        <v>0.18774666000000001</v>
      </c>
      <c r="D984">
        <v>5.7399491500000002</v>
      </c>
      <c r="E984">
        <v>0.90870746000000002</v>
      </c>
      <c r="F984">
        <v>3.2317568099999998</v>
      </c>
      <c r="G984">
        <v>1.27550556</v>
      </c>
      <c r="H984">
        <v>2.58440512</v>
      </c>
      <c r="I984">
        <v>1.004355E-2</v>
      </c>
      <c r="J984">
        <v>1</v>
      </c>
      <c r="K984">
        <v>950046</v>
      </c>
      <c r="L984">
        <f t="shared" si="133"/>
        <v>1.2429833884615384E-2</v>
      </c>
      <c r="M984">
        <f t="shared" si="134"/>
        <v>4.9057906153846158E-3</v>
      </c>
      <c r="N984">
        <f t="shared" si="135"/>
        <v>9.9400196923076917E-3</v>
      </c>
      <c r="O984">
        <f t="shared" si="136"/>
        <v>7.4229051538461542E-3</v>
      </c>
      <c r="P984">
        <f t="shared" si="132"/>
        <v>10.62428764017544</v>
      </c>
      <c r="Q984">
        <f t="shared" ref="Q984" si="139">ABS(0.5*(SUMPRODUCT(O984:O1002,P985:P1003)+O1003*P984-(SUMPRODUCT(O985:O1003,P984:P1002)+O984*P1003)))</f>
        <v>5.1986863161608277E-3</v>
      </c>
      <c r="R984">
        <f t="shared" si="138"/>
        <v>1.829447137757001E-3</v>
      </c>
    </row>
    <row r="985" spans="1:19" x14ac:dyDescent="0.2">
      <c r="A985" t="s">
        <v>996</v>
      </c>
      <c r="B985">
        <v>5.6481094799999996</v>
      </c>
      <c r="C985">
        <v>0.28201608</v>
      </c>
      <c r="D985">
        <v>5.8039253999999998</v>
      </c>
      <c r="E985">
        <v>0.73091687000000005</v>
      </c>
      <c r="F985">
        <v>3.2259304200000001</v>
      </c>
      <c r="G985">
        <v>1.2896370800000001</v>
      </c>
      <c r="H985">
        <v>2.64184624</v>
      </c>
      <c r="I985">
        <v>1.004355E-2</v>
      </c>
      <c r="J985">
        <v>1</v>
      </c>
      <c r="K985">
        <v>950046</v>
      </c>
      <c r="L985">
        <f t="shared" si="133"/>
        <v>1.2407424692307692E-2</v>
      </c>
      <c r="M985">
        <f t="shared" si="134"/>
        <v>4.9601426153846155E-3</v>
      </c>
      <c r="N985">
        <f t="shared" si="135"/>
        <v>1.0160947076923077E-2</v>
      </c>
      <c r="O985">
        <f t="shared" si="136"/>
        <v>7.5605448461538455E-3</v>
      </c>
      <c r="P985">
        <f t="shared" si="132"/>
        <v>15.958845569208677</v>
      </c>
      <c r="R985">
        <f t="shared" si="138"/>
        <v>2.8850811758561776E-3</v>
      </c>
    </row>
    <row r="986" spans="1:19" x14ac:dyDescent="0.2">
      <c r="A986" t="s">
        <v>997</v>
      </c>
      <c r="B986">
        <v>5.7106586200000002</v>
      </c>
      <c r="C986">
        <v>0.39001661999999998</v>
      </c>
      <c r="D986">
        <v>5.8699488899999999</v>
      </c>
      <c r="E986">
        <v>0.53337177000000002</v>
      </c>
      <c r="F986">
        <v>3.22797753</v>
      </c>
      <c r="G986">
        <v>1.30519534</v>
      </c>
      <c r="H986">
        <v>2.7051873199999998</v>
      </c>
      <c r="I986">
        <v>1.004355E-2</v>
      </c>
      <c r="J986">
        <v>1</v>
      </c>
      <c r="K986">
        <v>950046</v>
      </c>
      <c r="L986">
        <f t="shared" si="133"/>
        <v>1.2415298192307692E-2</v>
      </c>
      <c r="M986">
        <f t="shared" si="134"/>
        <v>5.0199820769230774E-3</v>
      </c>
      <c r="N986">
        <f t="shared" si="135"/>
        <v>1.0404566615384615E-2</v>
      </c>
      <c r="O986">
        <f t="shared" si="136"/>
        <v>7.712274346153845E-3</v>
      </c>
      <c r="P986">
        <f t="shared" si="132"/>
        <v>22.07042594168653</v>
      </c>
      <c r="R986">
        <f t="shared" si="138"/>
        <v>3.8136898464271843E-3</v>
      </c>
    </row>
    <row r="987" spans="1:19" x14ac:dyDescent="0.2">
      <c r="A987" t="s">
        <v>998</v>
      </c>
      <c r="B987">
        <v>5.7724291399999998</v>
      </c>
      <c r="C987">
        <v>0.52534736999999998</v>
      </c>
      <c r="D987">
        <v>5.9369959999999997</v>
      </c>
      <c r="E987">
        <v>0.53337177000000002</v>
      </c>
      <c r="F987">
        <v>3.2317568099999998</v>
      </c>
      <c r="G987">
        <v>1.31925892</v>
      </c>
      <c r="H987">
        <v>2.7676935</v>
      </c>
      <c r="I987">
        <v>1.004355E-2</v>
      </c>
      <c r="J987">
        <v>1</v>
      </c>
      <c r="K987">
        <v>950046</v>
      </c>
      <c r="L987">
        <f t="shared" si="133"/>
        <v>1.2429833884615384E-2</v>
      </c>
      <c r="M987">
        <f t="shared" si="134"/>
        <v>5.0740727692307691E-3</v>
      </c>
      <c r="N987">
        <f t="shared" si="135"/>
        <v>1.0644975000000001E-2</v>
      </c>
      <c r="O987">
        <f t="shared" si="136"/>
        <v>7.8595238846153846E-3</v>
      </c>
      <c r="P987">
        <f t="shared" si="132"/>
        <v>29.728579831405114</v>
      </c>
      <c r="R987">
        <f t="shared" si="138"/>
        <v>4.3939363588697744E-3</v>
      </c>
    </row>
    <row r="988" spans="1:19" x14ac:dyDescent="0.2">
      <c r="A988" t="s">
        <v>999</v>
      </c>
      <c r="B988">
        <v>5.82874932</v>
      </c>
      <c r="C988">
        <v>0.70477614</v>
      </c>
      <c r="D988">
        <v>6.0055785400000001</v>
      </c>
      <c r="E988">
        <v>0.47410824000000001</v>
      </c>
      <c r="F988">
        <v>3.2441969400000001</v>
      </c>
      <c r="G988">
        <v>1.32985756</v>
      </c>
      <c r="H988">
        <v>2.82274124</v>
      </c>
      <c r="I988">
        <v>1.004355E-2</v>
      </c>
      <c r="J988">
        <v>1</v>
      </c>
      <c r="K988">
        <v>950046</v>
      </c>
      <c r="L988">
        <f t="shared" si="133"/>
        <v>1.2477680538461539E-2</v>
      </c>
      <c r="M988">
        <f t="shared" si="134"/>
        <v>5.1148367692307696E-3</v>
      </c>
      <c r="N988">
        <f t="shared" si="135"/>
        <v>1.0856697076923078E-2</v>
      </c>
      <c r="O988">
        <f t="shared" si="136"/>
        <v>7.9857669230769222E-3</v>
      </c>
      <c r="P988">
        <f t="shared" si="132"/>
        <v>39.88217118372468</v>
      </c>
      <c r="R988">
        <f t="shared" si="138"/>
        <v>2.86222667478547E-3</v>
      </c>
    </row>
    <row r="989" spans="1:19" x14ac:dyDescent="0.2">
      <c r="A989" t="s">
        <v>1000</v>
      </c>
      <c r="B989">
        <v>5.8681994</v>
      </c>
      <c r="C989">
        <v>0.82756403999999995</v>
      </c>
      <c r="D989">
        <v>6.0398698099999999</v>
      </c>
      <c r="E989">
        <v>0.47410824000000001</v>
      </c>
      <c r="F989">
        <v>3.2619910499999998</v>
      </c>
      <c r="G989">
        <v>1.33563246</v>
      </c>
      <c r="H989">
        <v>2.8512948200000001</v>
      </c>
      <c r="I989">
        <v>9.8609400000000003E-3</v>
      </c>
      <c r="J989">
        <v>1</v>
      </c>
      <c r="K989">
        <v>950046</v>
      </c>
      <c r="L989">
        <f t="shared" si="133"/>
        <v>1.2546119423076922E-2</v>
      </c>
      <c r="M989">
        <f t="shared" si="134"/>
        <v>5.1370479230769235E-3</v>
      </c>
      <c r="N989">
        <f t="shared" si="135"/>
        <v>1.0966518538461539E-2</v>
      </c>
      <c r="O989">
        <f t="shared" si="136"/>
        <v>8.05178323076923E-3</v>
      </c>
      <c r="P989">
        <f t="shared" si="132"/>
        <v>46.830544956835197</v>
      </c>
      <c r="R989">
        <f t="shared" si="138"/>
        <v>9.0825120008873454E-4</v>
      </c>
      <c r="S989">
        <f>ABS(SUMIFS($R:$R,$K:$K,K989))</f>
        <v>5.2351442561908833E-3</v>
      </c>
    </row>
    <row r="990" spans="1:19" x14ac:dyDescent="0.2">
      <c r="A990" t="s">
        <v>1001</v>
      </c>
      <c r="B990">
        <v>5.8809168600000001</v>
      </c>
      <c r="C990">
        <v>0.85542236999999999</v>
      </c>
      <c r="D990">
        <v>6.0511296300000001</v>
      </c>
      <c r="E990">
        <v>0.41484471000000001</v>
      </c>
      <c r="F990">
        <v>3.27789552</v>
      </c>
      <c r="G990">
        <v>1.3369233199999999</v>
      </c>
      <c r="H990">
        <v>2.8599221199999998</v>
      </c>
      <c r="I990">
        <v>9.8609400000000003E-3</v>
      </c>
      <c r="J990">
        <v>1</v>
      </c>
      <c r="K990">
        <v>950046</v>
      </c>
      <c r="L990">
        <f t="shared" si="133"/>
        <v>1.2607290461538462E-2</v>
      </c>
      <c r="M990">
        <f t="shared" si="134"/>
        <v>5.142012769230769E-3</v>
      </c>
      <c r="N990">
        <f t="shared" si="135"/>
        <v>1.0999700461538461E-2</v>
      </c>
      <c r="O990">
        <f t="shared" si="136"/>
        <v>8.0708566153846143E-3</v>
      </c>
      <c r="P990">
        <f t="shared" si="132"/>
        <v>48.407003952669953</v>
      </c>
      <c r="R990">
        <f t="shared" si="138"/>
        <v>2.9876457101963503E-4</v>
      </c>
    </row>
    <row r="991" spans="1:19" x14ac:dyDescent="0.2">
      <c r="A991" t="s">
        <v>1002</v>
      </c>
      <c r="B991">
        <v>5.8832527199999998</v>
      </c>
      <c r="C991">
        <v>0.85581845999999995</v>
      </c>
      <c r="D991">
        <v>6.0526650599999998</v>
      </c>
      <c r="E991">
        <v>0.41484471000000001</v>
      </c>
      <c r="F991">
        <v>3.2908080599999998</v>
      </c>
      <c r="G991">
        <v>1.3377386</v>
      </c>
      <c r="H991">
        <v>2.8623154999999998</v>
      </c>
      <c r="I991">
        <v>9.6783300000000006E-3</v>
      </c>
      <c r="J991">
        <v>1</v>
      </c>
      <c r="K991">
        <v>950046</v>
      </c>
      <c r="L991">
        <f t="shared" si="133"/>
        <v>1.2656954076923077E-2</v>
      </c>
      <c r="M991">
        <f t="shared" si="134"/>
        <v>5.1451484615384615E-3</v>
      </c>
      <c r="N991">
        <f t="shared" si="135"/>
        <v>1.1008905769230769E-2</v>
      </c>
      <c r="O991">
        <f t="shared" si="136"/>
        <v>8.0770271153846156E-3</v>
      </c>
      <c r="P991">
        <f t="shared" si="132"/>
        <v>48.429418061615465</v>
      </c>
      <c r="R991">
        <f t="shared" si="138"/>
        <v>-1.4868122613380535E-4</v>
      </c>
    </row>
    <row r="992" spans="1:19" x14ac:dyDescent="0.2">
      <c r="A992" t="s">
        <v>1003</v>
      </c>
      <c r="B992">
        <v>5.8809168600000001</v>
      </c>
      <c r="C992">
        <v>0.81752975999999999</v>
      </c>
      <c r="D992">
        <v>6.0444760999999998</v>
      </c>
      <c r="E992">
        <v>0.41484471000000001</v>
      </c>
      <c r="F992">
        <v>3.3076573499999999</v>
      </c>
      <c r="G992">
        <v>1.3379424200000001</v>
      </c>
      <c r="H992">
        <v>2.8604787200000001</v>
      </c>
      <c r="I992">
        <v>9.6783300000000006E-3</v>
      </c>
      <c r="J992">
        <v>1</v>
      </c>
      <c r="K992">
        <v>950046</v>
      </c>
      <c r="L992">
        <f t="shared" si="133"/>
        <v>1.2721759038461539E-2</v>
      </c>
      <c r="M992">
        <f t="shared" si="134"/>
        <v>5.1459323846153853E-3</v>
      </c>
      <c r="N992">
        <f t="shared" si="135"/>
        <v>1.1001841230769232E-2</v>
      </c>
      <c r="O992">
        <f t="shared" si="136"/>
        <v>8.0738868076923095E-3</v>
      </c>
      <c r="P992">
        <f t="shared" si="132"/>
        <v>46.262720863548743</v>
      </c>
      <c r="R992">
        <f t="shared" si="138"/>
        <v>-9.6999696484568695E-4</v>
      </c>
    </row>
    <row r="993" spans="1:18" x14ac:dyDescent="0.2">
      <c r="A993" t="s">
        <v>1004</v>
      </c>
      <c r="B993">
        <v>5.8619704400000003</v>
      </c>
      <c r="C993">
        <v>0.70517222999999996</v>
      </c>
      <c r="D993">
        <v>6.0367989499999997</v>
      </c>
      <c r="E993">
        <v>0.41484471000000001</v>
      </c>
      <c r="F993">
        <v>3.3202549499999998</v>
      </c>
      <c r="G993">
        <v>1.3381462399999999</v>
      </c>
      <c r="H993">
        <v>2.8485674799999998</v>
      </c>
      <c r="I993">
        <v>9.4957199999999992E-3</v>
      </c>
      <c r="J993">
        <v>1</v>
      </c>
      <c r="K993">
        <v>950046</v>
      </c>
      <c r="L993">
        <f t="shared" si="133"/>
        <v>1.2770211346153845E-2</v>
      </c>
      <c r="M993">
        <f t="shared" si="134"/>
        <v>5.1467163076923074E-3</v>
      </c>
      <c r="N993">
        <f t="shared" si="135"/>
        <v>1.0956028769230769E-2</v>
      </c>
      <c r="O993">
        <f t="shared" si="136"/>
        <v>8.0513725384615386E-3</v>
      </c>
      <c r="P993">
        <f t="shared" si="132"/>
        <v>39.904585292670191</v>
      </c>
      <c r="R993">
        <f t="shared" si="138"/>
        <v>-9.8627630961495251E-4</v>
      </c>
    </row>
    <row r="994" spans="1:18" x14ac:dyDescent="0.2">
      <c r="A994" t="s">
        <v>1005</v>
      </c>
      <c r="B994">
        <v>5.8469171199999996</v>
      </c>
      <c r="C994">
        <v>0.61327935</v>
      </c>
      <c r="D994">
        <v>6.0214446500000003</v>
      </c>
      <c r="E994">
        <v>0.41484471000000001</v>
      </c>
      <c r="F994">
        <v>3.32497905</v>
      </c>
      <c r="G994">
        <v>1.3381462399999999</v>
      </c>
      <c r="H994">
        <v>2.8348194599999998</v>
      </c>
      <c r="I994">
        <v>9.4957199999999992E-3</v>
      </c>
      <c r="J994">
        <v>1</v>
      </c>
      <c r="K994">
        <v>950046</v>
      </c>
      <c r="L994">
        <f t="shared" si="133"/>
        <v>1.2788380961538462E-2</v>
      </c>
      <c r="M994">
        <f t="shared" si="134"/>
        <v>5.1467163076923074E-3</v>
      </c>
      <c r="N994">
        <f t="shared" si="135"/>
        <v>1.0903151769230769E-2</v>
      </c>
      <c r="O994">
        <f t="shared" si="136"/>
        <v>8.0249340384615387E-3</v>
      </c>
      <c r="P994">
        <f t="shared" si="132"/>
        <v>34.704512017310066</v>
      </c>
      <c r="R994">
        <f t="shared" si="138"/>
        <v>-1.3761088187776943E-3</v>
      </c>
    </row>
    <row r="995" spans="1:18" x14ac:dyDescent="0.2">
      <c r="A995" t="s">
        <v>1006</v>
      </c>
      <c r="B995">
        <v>5.8279706999999998</v>
      </c>
      <c r="C995">
        <v>0.52178256000000001</v>
      </c>
      <c r="D995">
        <v>5.9963659600000003</v>
      </c>
      <c r="E995">
        <v>0.41484471000000001</v>
      </c>
      <c r="F995">
        <v>3.3336399000000001</v>
      </c>
      <c r="G995">
        <v>1.33712714</v>
      </c>
      <c r="H995">
        <v>2.81355734</v>
      </c>
      <c r="I995">
        <v>9.6783300000000006E-3</v>
      </c>
      <c r="J995">
        <v>1</v>
      </c>
      <c r="K995">
        <v>950046</v>
      </c>
      <c r="L995">
        <f t="shared" si="133"/>
        <v>1.2821691923076924E-2</v>
      </c>
      <c r="M995">
        <f t="shared" si="134"/>
        <v>5.1427966923076919E-3</v>
      </c>
      <c r="N995">
        <f t="shared" si="135"/>
        <v>1.0821374384615385E-2</v>
      </c>
      <c r="O995">
        <f t="shared" si="136"/>
        <v>7.9820855384615374E-3</v>
      </c>
      <c r="P995">
        <f t="shared" si="132"/>
        <v>29.526852850895455</v>
      </c>
      <c r="R995">
        <f t="shared" si="138"/>
        <v>-2.0099488881428506E-3</v>
      </c>
    </row>
    <row r="996" spans="1:18" x14ac:dyDescent="0.2">
      <c r="A996" t="s">
        <v>1007</v>
      </c>
      <c r="B996">
        <v>5.7939709600000002</v>
      </c>
      <c r="C996">
        <v>0.41985539999999999</v>
      </c>
      <c r="D996">
        <v>5.9508148700000003</v>
      </c>
      <c r="E996">
        <v>0.41484471000000001</v>
      </c>
      <c r="F996">
        <v>3.3385214699999999</v>
      </c>
      <c r="G996">
        <v>1.33318662</v>
      </c>
      <c r="H996">
        <v>2.7782689</v>
      </c>
      <c r="I996">
        <v>9.6783300000000006E-3</v>
      </c>
      <c r="J996">
        <v>1</v>
      </c>
      <c r="K996">
        <v>950046</v>
      </c>
      <c r="L996">
        <f t="shared" si="133"/>
        <v>1.2840467192307692E-2</v>
      </c>
      <c r="M996">
        <f t="shared" si="134"/>
        <v>5.1276408461538459E-3</v>
      </c>
      <c r="N996">
        <f t="shared" si="135"/>
        <v>1.0685649615384615E-2</v>
      </c>
      <c r="O996">
        <f t="shared" si="136"/>
        <v>7.9066452307692305E-3</v>
      </c>
      <c r="P996">
        <f t="shared" si="132"/>
        <v>23.758955482248872</v>
      </c>
      <c r="R996">
        <f t="shared" si="138"/>
        <v>-2.2133925385321635E-3</v>
      </c>
    </row>
    <row r="997" spans="1:18" x14ac:dyDescent="0.2">
      <c r="A997" t="s">
        <v>1008</v>
      </c>
      <c r="B997">
        <v>5.7503682400000002</v>
      </c>
      <c r="C997">
        <v>0.32518988999999998</v>
      </c>
      <c r="D997">
        <v>5.8960511999999996</v>
      </c>
      <c r="E997">
        <v>0.41484471000000001</v>
      </c>
      <c r="F997">
        <v>3.33600195</v>
      </c>
      <c r="G997">
        <v>1.3255094000000001</v>
      </c>
      <c r="H997">
        <v>2.7313475199999999</v>
      </c>
      <c r="I997">
        <v>9.6783300000000006E-3</v>
      </c>
      <c r="J997">
        <v>1</v>
      </c>
      <c r="K997">
        <v>950046</v>
      </c>
      <c r="L997">
        <f t="shared" si="133"/>
        <v>1.283077673076923E-2</v>
      </c>
      <c r="M997">
        <f t="shared" si="134"/>
        <v>5.0981130769230769E-3</v>
      </c>
      <c r="N997">
        <f t="shared" si="135"/>
        <v>1.0505182769230769E-2</v>
      </c>
      <c r="O997">
        <f t="shared" si="136"/>
        <v>7.8016479230769223E-3</v>
      </c>
      <c r="P997">
        <f t="shared" si="132"/>
        <v>18.401983444270115</v>
      </c>
      <c r="R997">
        <f t="shared" si="138"/>
        <v>-2.001798005470901E-3</v>
      </c>
    </row>
    <row r="998" spans="1:18" x14ac:dyDescent="0.2">
      <c r="A998" t="s">
        <v>1009</v>
      </c>
      <c r="B998">
        <v>5.7005365599999998</v>
      </c>
      <c r="C998">
        <v>0.24214301999999999</v>
      </c>
      <c r="D998">
        <v>5.84026391</v>
      </c>
      <c r="E998">
        <v>0.35558118</v>
      </c>
      <c r="F998">
        <v>3.3289157999999999</v>
      </c>
      <c r="G998">
        <v>1.31348402</v>
      </c>
      <c r="H998">
        <v>2.67852618</v>
      </c>
      <c r="I998">
        <v>9.8609400000000003E-3</v>
      </c>
      <c r="J998">
        <v>1</v>
      </c>
      <c r="K998">
        <v>950046</v>
      </c>
      <c r="L998">
        <f t="shared" si="133"/>
        <v>1.2803522307692307E-2</v>
      </c>
      <c r="M998">
        <f t="shared" si="134"/>
        <v>5.0518616153846152E-3</v>
      </c>
      <c r="N998">
        <f t="shared" si="135"/>
        <v>1.030202376923077E-2</v>
      </c>
      <c r="O998">
        <f t="shared" si="136"/>
        <v>7.6769426923076929E-3</v>
      </c>
      <c r="P998">
        <f t="shared" si="132"/>
        <v>13.702491935359884</v>
      </c>
      <c r="R998">
        <f t="shared" si="138"/>
        <v>-1.5436955942160367E-3</v>
      </c>
    </row>
    <row r="999" spans="1:18" x14ac:dyDescent="0.2">
      <c r="A999" t="s">
        <v>1010</v>
      </c>
      <c r="B999">
        <v>5.6457736199999999</v>
      </c>
      <c r="C999">
        <v>0.16675388999999999</v>
      </c>
      <c r="D999">
        <v>5.7839648099999996</v>
      </c>
      <c r="E999">
        <v>0.41484471000000001</v>
      </c>
      <c r="F999">
        <v>3.3202549499999998</v>
      </c>
      <c r="G999">
        <v>1.2991486800000001</v>
      </c>
      <c r="H999">
        <v>2.62347844</v>
      </c>
      <c r="I999">
        <v>9.8609400000000003E-3</v>
      </c>
      <c r="J999">
        <v>1</v>
      </c>
      <c r="K999">
        <v>950046</v>
      </c>
      <c r="L999">
        <f t="shared" si="133"/>
        <v>1.2770211346153845E-2</v>
      </c>
      <c r="M999">
        <f t="shared" si="134"/>
        <v>4.9967256923076925E-3</v>
      </c>
      <c r="N999">
        <f t="shared" si="135"/>
        <v>1.0090301692307692E-2</v>
      </c>
      <c r="O999">
        <f t="shared" si="136"/>
        <v>7.543513692307692E-3</v>
      </c>
      <c r="P999">
        <f t="shared" si="132"/>
        <v>9.436339866062994</v>
      </c>
      <c r="R999">
        <f t="shared" si="138"/>
        <v>-9.9862227913066846E-4</v>
      </c>
    </row>
    <row r="1000" spans="1:18" x14ac:dyDescent="0.2">
      <c r="A1000" t="s">
        <v>1011</v>
      </c>
      <c r="B1000">
        <v>5.5967205599999996</v>
      </c>
      <c r="C1000">
        <v>0.10113498</v>
      </c>
      <c r="D1000">
        <v>5.7307365700000004</v>
      </c>
      <c r="E1000">
        <v>0.67165333999999999</v>
      </c>
      <c r="F1000">
        <v>3.3034056600000001</v>
      </c>
      <c r="G1000">
        <v>1.28379424</v>
      </c>
      <c r="H1000">
        <v>2.5703231400000002</v>
      </c>
      <c r="I1000">
        <v>9.8609400000000003E-3</v>
      </c>
      <c r="J1000">
        <v>1</v>
      </c>
      <c r="K1000">
        <v>950046</v>
      </c>
      <c r="L1000">
        <f t="shared" si="133"/>
        <v>1.2705406384615385E-2</v>
      </c>
      <c r="M1000">
        <f t="shared" si="134"/>
        <v>4.9376701538461536E-3</v>
      </c>
      <c r="N1000">
        <f t="shared" si="135"/>
        <v>9.885858230769231E-3</v>
      </c>
      <c r="O1000">
        <f t="shared" si="136"/>
        <v>7.4117641923076918E-3</v>
      </c>
      <c r="P1000">
        <f t="shared" si="132"/>
        <v>5.7230691507555456</v>
      </c>
      <c r="R1000">
        <f t="shared" si="138"/>
        <v>-4.084346208580477E-4</v>
      </c>
    </row>
    <row r="1001" spans="1:18" x14ac:dyDescent="0.2">
      <c r="A1001" t="s">
        <v>1012</v>
      </c>
      <c r="B1001">
        <v>5.5515606000000002</v>
      </c>
      <c r="C1001">
        <v>5.3604180000000001E-2</v>
      </c>
      <c r="D1001">
        <v>5.6903035800000001</v>
      </c>
      <c r="E1001">
        <v>0.90870746000000002</v>
      </c>
      <c r="F1001">
        <v>3.2816747999999998</v>
      </c>
      <c r="G1001">
        <v>1.2734673599999999</v>
      </c>
      <c r="H1001">
        <v>2.53214038</v>
      </c>
      <c r="I1001">
        <v>9.8609400000000003E-3</v>
      </c>
      <c r="J1001">
        <v>1</v>
      </c>
      <c r="K1001">
        <v>950046</v>
      </c>
      <c r="L1001">
        <f t="shared" si="133"/>
        <v>1.2621826153846154E-2</v>
      </c>
      <c r="M1001">
        <f t="shared" si="134"/>
        <v>4.897951384615384E-3</v>
      </c>
      <c r="N1001">
        <f t="shared" si="135"/>
        <v>9.7390014615384608E-3</v>
      </c>
      <c r="O1001">
        <f t="shared" si="136"/>
        <v>7.3184764230769233E-3</v>
      </c>
      <c r="P1001">
        <f t="shared" si="132"/>
        <v>3.0333760772934095</v>
      </c>
      <c r="R1001">
        <f t="shared" si="138"/>
        <v>-8.079906097088349E-5</v>
      </c>
    </row>
    <row r="1002" spans="1:18" x14ac:dyDescent="0.2">
      <c r="A1002" t="s">
        <v>1013</v>
      </c>
      <c r="B1002">
        <v>5.5404003800000003</v>
      </c>
      <c r="C1002">
        <v>5.0831550000000003E-2</v>
      </c>
      <c r="D1002">
        <v>5.6821146200000001</v>
      </c>
      <c r="E1002">
        <v>1.0272345199999999</v>
      </c>
      <c r="F1002">
        <v>3.2645105700000001</v>
      </c>
      <c r="G1002">
        <v>1.2693230200000001</v>
      </c>
      <c r="H1002">
        <v>2.5220659200000002</v>
      </c>
      <c r="I1002">
        <v>9.6783300000000006E-3</v>
      </c>
      <c r="J1002">
        <v>1</v>
      </c>
      <c r="K1002">
        <v>950046</v>
      </c>
      <c r="L1002">
        <f t="shared" si="133"/>
        <v>1.2555809884615386E-2</v>
      </c>
      <c r="M1002">
        <f t="shared" si="134"/>
        <v>4.882011615384616E-3</v>
      </c>
      <c r="N1002">
        <f t="shared" si="135"/>
        <v>9.7002535384615399E-3</v>
      </c>
      <c r="O1002">
        <f t="shared" si="136"/>
        <v>7.2911325769230767E-3</v>
      </c>
      <c r="P1002">
        <f t="shared" si="132"/>
        <v>2.8764773146747848</v>
      </c>
      <c r="R1002">
        <f t="shared" si="138"/>
        <v>1.7853076614677562E-4</v>
      </c>
    </row>
    <row r="1003" spans="1:18" x14ac:dyDescent="0.2">
      <c r="A1003" t="s">
        <v>1014</v>
      </c>
      <c r="B1003">
        <v>5.5601254200000003</v>
      </c>
      <c r="C1003">
        <v>0.10720836</v>
      </c>
      <c r="D1003">
        <v>5.7010515899999996</v>
      </c>
      <c r="E1003">
        <v>0.96797098999999998</v>
      </c>
      <c r="F1003">
        <v>3.2486060999999999</v>
      </c>
      <c r="G1003">
        <v>1.2693230200000001</v>
      </c>
      <c r="H1003">
        <v>2.5428270999999998</v>
      </c>
      <c r="I1003">
        <v>9.6783300000000006E-3</v>
      </c>
      <c r="J1003">
        <v>1</v>
      </c>
      <c r="K1003">
        <v>950046</v>
      </c>
      <c r="L1003">
        <f t="shared" si="133"/>
        <v>1.2494638846153846E-2</v>
      </c>
      <c r="M1003">
        <f t="shared" si="134"/>
        <v>4.882011615384616E-3</v>
      </c>
      <c r="N1003">
        <f t="shared" si="135"/>
        <v>9.7801042307692296E-3</v>
      </c>
      <c r="O1003">
        <f t="shared" si="136"/>
        <v>7.3310579230769233E-3</v>
      </c>
      <c r="P1003">
        <f t="shared" si="132"/>
        <v>6.066752154586819</v>
      </c>
      <c r="R1003">
        <f t="shared" si="138"/>
        <v>8.0297083193381661E-4</v>
      </c>
    </row>
    <row r="1004" spans="1:18" x14ac:dyDescent="0.2">
      <c r="A1004" t="s">
        <v>1015</v>
      </c>
      <c r="B1004">
        <v>5.5974991799999998</v>
      </c>
      <c r="C1004">
        <v>0.18893493</v>
      </c>
      <c r="D1004">
        <v>5.7414845799999998</v>
      </c>
      <c r="E1004">
        <v>0.84944392999999996</v>
      </c>
      <c r="F1004">
        <v>3.2327016300000002</v>
      </c>
      <c r="G1004">
        <v>1.2761849599999999</v>
      </c>
      <c r="H1004">
        <v>2.58579662</v>
      </c>
      <c r="I1004">
        <v>9.6783300000000006E-3</v>
      </c>
      <c r="J1004">
        <v>1</v>
      </c>
      <c r="K1004">
        <v>950047</v>
      </c>
      <c r="L1004">
        <f t="shared" si="133"/>
        <v>1.2433467807692309E-2</v>
      </c>
      <c r="M1004">
        <f t="shared" si="134"/>
        <v>4.9084036923076916E-3</v>
      </c>
      <c r="N1004">
        <f t="shared" si="135"/>
        <v>9.9453716153846145E-3</v>
      </c>
      <c r="O1004">
        <f t="shared" si="136"/>
        <v>7.4268876538461544E-3</v>
      </c>
      <c r="P1004">
        <f t="shared" si="132"/>
        <v>10.691529967011993</v>
      </c>
      <c r="Q1004">
        <f t="shared" ref="Q1004" si="140">ABS(0.5*(SUMPRODUCT(O1004:O1022,P1005:P1023)+O1023*P1004-(SUMPRODUCT(O1005:O1023,P1004:P1022)+O1004*P1023)))</f>
        <v>5.164383386670357E-3</v>
      </c>
      <c r="R1004">
        <f t="shared" si="138"/>
        <v>1.8097197127908389E-3</v>
      </c>
    </row>
    <row r="1005" spans="1:18" x14ac:dyDescent="0.2">
      <c r="A1005" t="s">
        <v>1016</v>
      </c>
      <c r="B1005">
        <v>5.6488880999999997</v>
      </c>
      <c r="C1005">
        <v>0.28280825999999998</v>
      </c>
      <c r="D1005">
        <v>5.8023899700000001</v>
      </c>
      <c r="E1005">
        <v>0.79018040000000001</v>
      </c>
      <c r="F1005">
        <v>3.2249856000000001</v>
      </c>
      <c r="G1005">
        <v>1.2896370800000001</v>
      </c>
      <c r="H1005">
        <v>2.64284812</v>
      </c>
      <c r="I1005">
        <v>9.8609400000000003E-3</v>
      </c>
      <c r="J1005">
        <v>1</v>
      </c>
      <c r="K1005">
        <v>950047</v>
      </c>
      <c r="L1005">
        <f t="shared" si="133"/>
        <v>1.2403790769230769E-2</v>
      </c>
      <c r="M1005">
        <f t="shared" si="134"/>
        <v>4.9601426153846155E-3</v>
      </c>
      <c r="N1005">
        <f t="shared" si="135"/>
        <v>1.0164800461538462E-2</v>
      </c>
      <c r="O1005">
        <f t="shared" si="136"/>
        <v>7.5624715384615395E-3</v>
      </c>
      <c r="P1005">
        <f t="shared" si="132"/>
        <v>16.003673787099711</v>
      </c>
      <c r="R1005">
        <f t="shared" si="138"/>
        <v>2.882662134153972E-3</v>
      </c>
    </row>
    <row r="1006" spans="1:18" x14ac:dyDescent="0.2">
      <c r="A1006" t="s">
        <v>1017</v>
      </c>
      <c r="B1006">
        <v>5.7106586200000002</v>
      </c>
      <c r="C1006">
        <v>0.39278924999999998</v>
      </c>
      <c r="D1006">
        <v>5.8730197500000001</v>
      </c>
      <c r="E1006">
        <v>0.61238981000000003</v>
      </c>
      <c r="F1006">
        <v>3.22797753</v>
      </c>
      <c r="G1006">
        <v>1.30499152</v>
      </c>
      <c r="H1006">
        <v>2.7059109000000001</v>
      </c>
      <c r="I1006">
        <v>9.8609400000000003E-3</v>
      </c>
      <c r="J1006">
        <v>1</v>
      </c>
      <c r="K1006">
        <v>950047</v>
      </c>
      <c r="L1006">
        <f t="shared" si="133"/>
        <v>1.2415298192307692E-2</v>
      </c>
      <c r="M1006">
        <f t="shared" si="134"/>
        <v>5.0191981538461536E-3</v>
      </c>
      <c r="N1006">
        <f t="shared" si="135"/>
        <v>1.0407349615384616E-2</v>
      </c>
      <c r="O1006">
        <f t="shared" si="136"/>
        <v>7.7132738846153841E-3</v>
      </c>
      <c r="P1006">
        <f t="shared" si="132"/>
        <v>22.227324704305154</v>
      </c>
      <c r="R1006">
        <f t="shared" si="138"/>
        <v>3.8232898748066938E-3</v>
      </c>
    </row>
    <row r="1007" spans="1:18" x14ac:dyDescent="0.2">
      <c r="A1007" t="s">
        <v>1018</v>
      </c>
      <c r="B1007">
        <v>5.7724291399999998</v>
      </c>
      <c r="C1007">
        <v>0.52666767000000003</v>
      </c>
      <c r="D1007">
        <v>5.9339251400000004</v>
      </c>
      <c r="E1007">
        <v>0.61238981000000003</v>
      </c>
      <c r="F1007">
        <v>3.2336464500000002</v>
      </c>
      <c r="G1007">
        <v>1.3194627400000001</v>
      </c>
      <c r="H1007">
        <v>2.76786048</v>
      </c>
      <c r="I1007">
        <v>9.6783300000000006E-3</v>
      </c>
      <c r="J1007">
        <v>1</v>
      </c>
      <c r="K1007">
        <v>950047</v>
      </c>
      <c r="L1007">
        <f t="shared" si="133"/>
        <v>1.2437101730769231E-2</v>
      </c>
      <c r="M1007">
        <f t="shared" si="134"/>
        <v>5.0748566923076929E-3</v>
      </c>
      <c r="N1007">
        <f t="shared" si="135"/>
        <v>1.0645617230769231E-2</v>
      </c>
      <c r="O1007">
        <f t="shared" si="136"/>
        <v>7.8602369615384613E-3</v>
      </c>
      <c r="P1007">
        <f t="shared" si="132"/>
        <v>29.803293527890176</v>
      </c>
      <c r="R1007">
        <f t="shared" si="138"/>
        <v>4.4151478225639878E-3</v>
      </c>
    </row>
    <row r="1008" spans="1:18" x14ac:dyDescent="0.2">
      <c r="A1008" t="s">
        <v>1019</v>
      </c>
      <c r="B1008">
        <v>5.8310851799999996</v>
      </c>
      <c r="C1008">
        <v>0.70556832000000003</v>
      </c>
      <c r="D1008">
        <v>5.99790139</v>
      </c>
      <c r="E1008">
        <v>0.53337177000000002</v>
      </c>
      <c r="F1008">
        <v>3.2446693500000001</v>
      </c>
      <c r="G1008">
        <v>1.3302651999999999</v>
      </c>
      <c r="H1008">
        <v>2.82290822</v>
      </c>
      <c r="I1008">
        <v>9.4957199999999992E-3</v>
      </c>
      <c r="J1008">
        <v>1</v>
      </c>
      <c r="K1008">
        <v>950047</v>
      </c>
      <c r="L1008">
        <f t="shared" si="133"/>
        <v>1.2479497500000001E-2</v>
      </c>
      <c r="M1008">
        <f t="shared" si="134"/>
        <v>5.1164046153846154E-3</v>
      </c>
      <c r="N1008">
        <f t="shared" si="135"/>
        <v>1.0857339307692308E-2</v>
      </c>
      <c r="O1008">
        <f t="shared" si="136"/>
        <v>7.9868719615384613E-3</v>
      </c>
      <c r="P1008">
        <f t="shared" si="132"/>
        <v>39.926999401615717</v>
      </c>
      <c r="R1008">
        <f t="shared" si="138"/>
        <v>2.8121338391750576E-3</v>
      </c>
    </row>
    <row r="1009" spans="1:19" x14ac:dyDescent="0.2">
      <c r="A1009" t="s">
        <v>1020</v>
      </c>
      <c r="B1009">
        <v>5.8715734199999998</v>
      </c>
      <c r="C1009">
        <v>0.82558359000000003</v>
      </c>
      <c r="D1009">
        <v>6.03526352</v>
      </c>
      <c r="E1009">
        <v>0.47410824000000001</v>
      </c>
      <c r="F1009">
        <v>3.2619910499999998</v>
      </c>
      <c r="G1009">
        <v>1.33563246</v>
      </c>
      <c r="H1009">
        <v>2.8512948200000001</v>
      </c>
      <c r="I1009">
        <v>9.4957199999999992E-3</v>
      </c>
      <c r="J1009">
        <v>1</v>
      </c>
      <c r="K1009">
        <v>950047</v>
      </c>
      <c r="L1009">
        <f t="shared" si="133"/>
        <v>1.2546119423076922E-2</v>
      </c>
      <c r="M1009">
        <f t="shared" si="134"/>
        <v>5.1370479230769235E-3</v>
      </c>
      <c r="N1009">
        <f t="shared" si="135"/>
        <v>1.0966518538461539E-2</v>
      </c>
      <c r="O1009">
        <f t="shared" si="136"/>
        <v>8.05178323076923E-3</v>
      </c>
      <c r="P1009">
        <f t="shared" si="132"/>
        <v>46.718474412107611</v>
      </c>
      <c r="R1009">
        <f t="shared" si="138"/>
        <v>9.0990840361316618E-4</v>
      </c>
    </row>
    <row r="1010" spans="1:19" x14ac:dyDescent="0.2">
      <c r="A1010" t="s">
        <v>1021</v>
      </c>
      <c r="B1010">
        <v>5.8809168600000001</v>
      </c>
      <c r="C1010">
        <v>0.8542341</v>
      </c>
      <c r="D1010">
        <v>6.0511296300000001</v>
      </c>
      <c r="E1010">
        <v>0.47410824000000001</v>
      </c>
      <c r="F1010">
        <v>3.2783679299999999</v>
      </c>
      <c r="G1010">
        <v>1.33712714</v>
      </c>
      <c r="H1010">
        <v>2.8597551399999999</v>
      </c>
      <c r="I1010">
        <v>9.4957199999999992E-3</v>
      </c>
      <c r="J1010">
        <v>1</v>
      </c>
      <c r="K1010">
        <v>950047</v>
      </c>
      <c r="L1010">
        <f t="shared" si="133"/>
        <v>1.2609107423076922E-2</v>
      </c>
      <c r="M1010">
        <f t="shared" si="134"/>
        <v>5.1427966923076919E-3</v>
      </c>
      <c r="N1010">
        <f t="shared" si="135"/>
        <v>1.0999058230769231E-2</v>
      </c>
      <c r="O1010">
        <f t="shared" si="136"/>
        <v>8.0709274615384605E-3</v>
      </c>
      <c r="P1010">
        <f t="shared" si="132"/>
        <v>48.339761625833397</v>
      </c>
      <c r="R1010">
        <f t="shared" si="138"/>
        <v>2.948558129232321E-4</v>
      </c>
      <c r="S1010">
        <f>ABS(SUMIFS($R:$R,$K:$K,K1010))</f>
        <v>5.1363262285234572E-3</v>
      </c>
    </row>
    <row r="1011" spans="1:19" x14ac:dyDescent="0.2">
      <c r="A1011" t="s">
        <v>1022</v>
      </c>
      <c r="B1011">
        <v>5.8824740999999996</v>
      </c>
      <c r="C1011">
        <v>0.8542341</v>
      </c>
      <c r="D1011">
        <v>6.0526650599999998</v>
      </c>
      <c r="E1011">
        <v>0.47410824000000001</v>
      </c>
      <c r="F1011">
        <v>3.2912804699999998</v>
      </c>
      <c r="G1011">
        <v>1.3377386</v>
      </c>
      <c r="H1011">
        <v>2.8623154999999998</v>
      </c>
      <c r="I1011">
        <v>9.4957199999999992E-3</v>
      </c>
      <c r="J1011">
        <v>1</v>
      </c>
      <c r="K1011">
        <v>950047</v>
      </c>
      <c r="L1011">
        <f t="shared" si="133"/>
        <v>1.2658771038461537E-2</v>
      </c>
      <c r="M1011">
        <f t="shared" si="134"/>
        <v>5.1451484615384615E-3</v>
      </c>
      <c r="N1011">
        <f t="shared" si="135"/>
        <v>1.1008905769230769E-2</v>
      </c>
      <c r="O1011">
        <f t="shared" si="136"/>
        <v>8.0770271153846156E-3</v>
      </c>
      <c r="P1011">
        <f t="shared" si="132"/>
        <v>48.339761625833397</v>
      </c>
      <c r="R1011">
        <f t="shared" si="138"/>
        <v>-1.3354086451187284E-4</v>
      </c>
    </row>
    <row r="1012" spans="1:19" x14ac:dyDescent="0.2">
      <c r="A1012" t="s">
        <v>1023</v>
      </c>
      <c r="B1012">
        <v>5.8785809999999996</v>
      </c>
      <c r="C1012">
        <v>0.81990629999999998</v>
      </c>
      <c r="D1012">
        <v>6.0526650599999998</v>
      </c>
      <c r="E1012">
        <v>0.47410824000000001</v>
      </c>
      <c r="F1012">
        <v>3.3048228900000001</v>
      </c>
      <c r="G1012">
        <v>1.3379424200000001</v>
      </c>
      <c r="H1012">
        <v>2.8606457000000001</v>
      </c>
      <c r="I1012">
        <v>9.4957199999999992E-3</v>
      </c>
      <c r="J1012">
        <v>1</v>
      </c>
      <c r="K1012">
        <v>950047</v>
      </c>
      <c r="L1012">
        <f t="shared" si="133"/>
        <v>1.2710857269230769E-2</v>
      </c>
      <c r="M1012">
        <f t="shared" si="134"/>
        <v>5.1459323846153853E-3</v>
      </c>
      <c r="N1012">
        <f t="shared" si="135"/>
        <v>1.1002483461538462E-2</v>
      </c>
      <c r="O1012">
        <f t="shared" si="136"/>
        <v>8.0742079230769238E-3</v>
      </c>
      <c r="P1012">
        <f t="shared" si="132"/>
        <v>46.397205517221856</v>
      </c>
      <c r="R1012">
        <f t="shared" si="138"/>
        <v>-1.0035823350871707E-3</v>
      </c>
    </row>
    <row r="1013" spans="1:19" x14ac:dyDescent="0.2">
      <c r="A1013" t="s">
        <v>1024</v>
      </c>
      <c r="B1013">
        <v>5.8643063</v>
      </c>
      <c r="C1013">
        <v>0.70715267999999998</v>
      </c>
      <c r="D1013">
        <v>6.0337280900000003</v>
      </c>
      <c r="E1013">
        <v>0.47410824000000001</v>
      </c>
      <c r="F1013">
        <v>3.3191526599999999</v>
      </c>
      <c r="G1013">
        <v>1.3379424200000001</v>
      </c>
      <c r="H1013">
        <v>2.8485674799999998</v>
      </c>
      <c r="I1013">
        <v>9.4957199999999992E-3</v>
      </c>
      <c r="J1013">
        <v>1</v>
      </c>
      <c r="K1013">
        <v>950047</v>
      </c>
      <c r="L1013">
        <f t="shared" si="133"/>
        <v>1.2765971769230769E-2</v>
      </c>
      <c r="M1013">
        <f t="shared" si="134"/>
        <v>5.1459323846153853E-3</v>
      </c>
      <c r="N1013">
        <f t="shared" si="135"/>
        <v>1.0956028769230769E-2</v>
      </c>
      <c r="O1013">
        <f t="shared" si="136"/>
        <v>8.0509805769230763E-3</v>
      </c>
      <c r="P1013">
        <f t="shared" si="132"/>
        <v>40.016655837397785</v>
      </c>
      <c r="R1013">
        <f t="shared" si="138"/>
        <v>-9.9800531023563053E-4</v>
      </c>
    </row>
    <row r="1014" spans="1:19" x14ac:dyDescent="0.2">
      <c r="A1014" t="s">
        <v>1025</v>
      </c>
      <c r="B1014">
        <v>5.84847436</v>
      </c>
      <c r="C1014">
        <v>0.61446761999999999</v>
      </c>
      <c r="D1014">
        <v>6.0193974099999998</v>
      </c>
      <c r="E1014">
        <v>0.41484471000000001</v>
      </c>
      <c r="F1014">
        <v>3.3282859199999999</v>
      </c>
      <c r="G1014">
        <v>1.3381462399999999</v>
      </c>
      <c r="H1014">
        <v>2.8344855</v>
      </c>
      <c r="I1014">
        <v>9.4957199999999992E-3</v>
      </c>
      <c r="J1014">
        <v>1</v>
      </c>
      <c r="K1014">
        <v>950047</v>
      </c>
      <c r="L1014">
        <f t="shared" si="133"/>
        <v>1.2801099692307692E-2</v>
      </c>
      <c r="M1014">
        <f t="shared" si="134"/>
        <v>5.1467163076923074E-3</v>
      </c>
      <c r="N1014">
        <f t="shared" si="135"/>
        <v>1.0901867307692308E-2</v>
      </c>
      <c r="O1014">
        <f t="shared" si="136"/>
        <v>8.0242918076923082E-3</v>
      </c>
      <c r="P1014">
        <f t="shared" si="132"/>
        <v>34.771754344146622</v>
      </c>
      <c r="R1014">
        <f t="shared" si="138"/>
        <v>-1.4178547781497305E-3</v>
      </c>
    </row>
    <row r="1015" spans="1:19" x14ac:dyDescent="0.2">
      <c r="A1015" t="s">
        <v>1026</v>
      </c>
      <c r="B1015">
        <v>5.8271920799999997</v>
      </c>
      <c r="C1015">
        <v>0.52099037999999998</v>
      </c>
      <c r="D1015">
        <v>5.9932951000000001</v>
      </c>
      <c r="E1015">
        <v>0.41484471000000001</v>
      </c>
      <c r="F1015">
        <v>3.3331674900000001</v>
      </c>
      <c r="G1015">
        <v>1.33712714</v>
      </c>
      <c r="H1015">
        <v>2.81255546</v>
      </c>
      <c r="I1015">
        <v>9.6783300000000006E-3</v>
      </c>
      <c r="J1015">
        <v>1</v>
      </c>
      <c r="K1015">
        <v>950047</v>
      </c>
      <c r="L1015">
        <f t="shared" si="133"/>
        <v>1.2819874961538462E-2</v>
      </c>
      <c r="M1015">
        <f t="shared" si="134"/>
        <v>5.1427966923076919E-3</v>
      </c>
      <c r="N1015">
        <f t="shared" si="135"/>
        <v>1.0817521E-2</v>
      </c>
      <c r="O1015">
        <f t="shared" si="136"/>
        <v>7.980158846153846E-3</v>
      </c>
      <c r="P1015">
        <f t="shared" si="132"/>
        <v>29.482024633004418</v>
      </c>
      <c r="R1015">
        <f t="shared" si="138"/>
        <v>-2.054155560493957E-3</v>
      </c>
    </row>
    <row r="1016" spans="1:19" x14ac:dyDescent="0.2">
      <c r="A1016" t="s">
        <v>1027</v>
      </c>
      <c r="B1016">
        <v>5.7924137199999999</v>
      </c>
      <c r="C1016">
        <v>0.41827103999999998</v>
      </c>
      <c r="D1016">
        <v>5.9492794399999998</v>
      </c>
      <c r="E1016">
        <v>0.41484471000000001</v>
      </c>
      <c r="F1016">
        <v>3.3389938799999999</v>
      </c>
      <c r="G1016">
        <v>1.3327789800000001</v>
      </c>
      <c r="H1016">
        <v>2.7767104200000001</v>
      </c>
      <c r="I1016">
        <v>9.8609400000000003E-3</v>
      </c>
      <c r="J1016">
        <v>1</v>
      </c>
      <c r="K1016">
        <v>950047</v>
      </c>
      <c r="L1016">
        <f t="shared" si="133"/>
        <v>1.2842284153846154E-2</v>
      </c>
      <c r="M1016">
        <f t="shared" si="134"/>
        <v>5.1260730000000001E-3</v>
      </c>
      <c r="N1016">
        <f t="shared" si="135"/>
        <v>1.0679655461538462E-2</v>
      </c>
      <c r="O1016">
        <f t="shared" si="136"/>
        <v>7.9028642307692309E-3</v>
      </c>
      <c r="P1016">
        <f t="shared" si="132"/>
        <v>23.669299046466801</v>
      </c>
      <c r="R1016">
        <f t="shared" si="138"/>
        <v>-2.2072065125704021E-3</v>
      </c>
    </row>
    <row r="1017" spans="1:19" x14ac:dyDescent="0.2">
      <c r="A1017" t="s">
        <v>1028</v>
      </c>
      <c r="B1017">
        <v>5.7446583599999999</v>
      </c>
      <c r="C1017">
        <v>0.32268131999999999</v>
      </c>
      <c r="D1017">
        <v>5.8960511999999996</v>
      </c>
      <c r="E1017">
        <v>0.41484471000000001</v>
      </c>
      <c r="F1017">
        <v>3.3380490599999999</v>
      </c>
      <c r="G1017">
        <v>1.3248979400000001</v>
      </c>
      <c r="H1017">
        <v>2.7298447000000001</v>
      </c>
      <c r="I1017">
        <v>9.6783300000000006E-3</v>
      </c>
      <c r="J1017">
        <v>1</v>
      </c>
      <c r="K1017">
        <v>950047</v>
      </c>
      <c r="L1017">
        <f t="shared" si="133"/>
        <v>1.283865023076923E-2</v>
      </c>
      <c r="M1017">
        <f t="shared" si="134"/>
        <v>5.0957613076923081E-3</v>
      </c>
      <c r="N1017">
        <f t="shared" si="135"/>
        <v>1.0499402692307694E-2</v>
      </c>
      <c r="O1017">
        <f t="shared" si="136"/>
        <v>7.7975820000000008E-3</v>
      </c>
      <c r="P1017">
        <f t="shared" si="132"/>
        <v>18.260027420948504</v>
      </c>
      <c r="R1017">
        <f t="shared" si="138"/>
        <v>-1.9771960766159203E-3</v>
      </c>
    </row>
    <row r="1018" spans="1:19" x14ac:dyDescent="0.2">
      <c r="A1018" t="s">
        <v>1029</v>
      </c>
      <c r="B1018">
        <v>5.6932694399999999</v>
      </c>
      <c r="C1018">
        <v>0.23976648</v>
      </c>
      <c r="D1018">
        <v>5.8417993399999997</v>
      </c>
      <c r="E1018">
        <v>0.41484471000000001</v>
      </c>
      <c r="F1018">
        <v>3.3289157999999999</v>
      </c>
      <c r="G1018">
        <v>1.3132801999999999</v>
      </c>
      <c r="H1018">
        <v>2.6768563799999998</v>
      </c>
      <c r="I1018">
        <v>9.6783300000000006E-3</v>
      </c>
      <c r="J1018">
        <v>1</v>
      </c>
      <c r="K1018">
        <v>950047</v>
      </c>
      <c r="L1018">
        <f t="shared" si="133"/>
        <v>1.2803522307692307E-2</v>
      </c>
      <c r="M1018">
        <f t="shared" si="134"/>
        <v>5.0510776923076922E-3</v>
      </c>
      <c r="N1018">
        <f t="shared" si="135"/>
        <v>1.0295601461538462E-2</v>
      </c>
      <c r="O1018">
        <f t="shared" si="136"/>
        <v>7.6733395769230765E-3</v>
      </c>
      <c r="P1018">
        <f t="shared" si="132"/>
        <v>13.568007281686777</v>
      </c>
      <c r="R1018">
        <f t="shared" si="138"/>
        <v>-1.5125446630201182E-3</v>
      </c>
    </row>
    <row r="1019" spans="1:19" x14ac:dyDescent="0.2">
      <c r="A1019" t="s">
        <v>1030</v>
      </c>
      <c r="B1019">
        <v>5.6426591400000001</v>
      </c>
      <c r="C1019">
        <v>0.16477343999999999</v>
      </c>
      <c r="D1019">
        <v>5.78242938</v>
      </c>
      <c r="E1019">
        <v>0.41484471000000001</v>
      </c>
      <c r="F1019">
        <v>3.3186802499999999</v>
      </c>
      <c r="G1019">
        <v>1.29894486</v>
      </c>
      <c r="H1019">
        <v>2.62247656</v>
      </c>
      <c r="I1019">
        <v>9.6783300000000006E-3</v>
      </c>
      <c r="J1019">
        <v>1</v>
      </c>
      <c r="K1019">
        <v>950047</v>
      </c>
      <c r="L1019">
        <f t="shared" si="133"/>
        <v>1.2764154807692307E-2</v>
      </c>
      <c r="M1019">
        <f t="shared" si="134"/>
        <v>4.9959417692307688E-3</v>
      </c>
      <c r="N1019">
        <f t="shared" si="135"/>
        <v>1.0086448307692307E-2</v>
      </c>
      <c r="O1019">
        <f t="shared" si="136"/>
        <v>7.5411950384615383E-3</v>
      </c>
      <c r="P1019">
        <f t="shared" si="132"/>
        <v>9.3242693213354055</v>
      </c>
      <c r="R1019">
        <f t="shared" si="138"/>
        <v>-9.8773513563136075E-4</v>
      </c>
    </row>
    <row r="1020" spans="1:19" x14ac:dyDescent="0.2">
      <c r="A1020" t="s">
        <v>1031</v>
      </c>
      <c r="B1020">
        <v>5.5917893000000003</v>
      </c>
      <c r="C1020">
        <v>9.9550620000000006E-2</v>
      </c>
      <c r="D1020">
        <v>5.7292011399999998</v>
      </c>
      <c r="E1020">
        <v>0.67165333999999999</v>
      </c>
      <c r="F1020">
        <v>3.3048228900000001</v>
      </c>
      <c r="G1020">
        <v>1.2835904199999999</v>
      </c>
      <c r="H1020">
        <v>2.5691542799999998</v>
      </c>
      <c r="I1020">
        <v>9.8609400000000003E-3</v>
      </c>
      <c r="J1020">
        <v>1</v>
      </c>
      <c r="K1020">
        <v>950047</v>
      </c>
      <c r="L1020">
        <f t="shared" si="133"/>
        <v>1.2710857269230769E-2</v>
      </c>
      <c r="M1020">
        <f t="shared" si="134"/>
        <v>4.9368862307692307E-3</v>
      </c>
      <c r="N1020">
        <f t="shared" si="135"/>
        <v>9.8813626153846142E-3</v>
      </c>
      <c r="O1020">
        <f t="shared" si="136"/>
        <v>7.4091244230769229E-3</v>
      </c>
      <c r="P1020">
        <f t="shared" si="132"/>
        <v>5.633412714973475</v>
      </c>
      <c r="R1020">
        <f t="shared" si="138"/>
        <v>-3.9546251392734682E-4</v>
      </c>
    </row>
    <row r="1021" spans="1:19" x14ac:dyDescent="0.2">
      <c r="A1021" t="s">
        <v>1032</v>
      </c>
      <c r="B1021">
        <v>5.5500033599999998</v>
      </c>
      <c r="C1021">
        <v>5.4396359999999998E-2</v>
      </c>
      <c r="D1021">
        <v>5.69490987</v>
      </c>
      <c r="E1021">
        <v>0.96797098999999998</v>
      </c>
      <c r="F1021">
        <v>3.2841943200000001</v>
      </c>
      <c r="G1021">
        <v>1.27305972</v>
      </c>
      <c r="H1021">
        <v>2.5324743399999998</v>
      </c>
      <c r="I1021">
        <v>9.8609400000000003E-3</v>
      </c>
      <c r="J1021">
        <v>1</v>
      </c>
      <c r="K1021">
        <v>950047</v>
      </c>
      <c r="L1021">
        <f t="shared" si="133"/>
        <v>1.2631516615384615E-2</v>
      </c>
      <c r="M1021">
        <f t="shared" si="134"/>
        <v>4.8963835384615382E-3</v>
      </c>
      <c r="N1021">
        <f t="shared" si="135"/>
        <v>9.7402859230769218E-3</v>
      </c>
      <c r="O1021">
        <f t="shared" si="136"/>
        <v>7.3183347307692308E-3</v>
      </c>
      <c r="P1021">
        <f t="shared" si="132"/>
        <v>3.0782042951844448</v>
      </c>
      <c r="R1021">
        <f t="shared" si="138"/>
        <v>-7.8759252773480623E-5</v>
      </c>
    </row>
    <row r="1022" spans="1:19" x14ac:dyDescent="0.2">
      <c r="A1022" t="s">
        <v>1033</v>
      </c>
      <c r="B1022">
        <v>5.5404003800000003</v>
      </c>
      <c r="C1022">
        <v>5.0831550000000003E-2</v>
      </c>
      <c r="D1022">
        <v>5.6851854800000003</v>
      </c>
      <c r="E1022">
        <v>1.0864980500000001</v>
      </c>
      <c r="F1022">
        <v>3.2629358700000002</v>
      </c>
      <c r="G1022">
        <v>1.2693230200000001</v>
      </c>
      <c r="H1022">
        <v>2.5224555400000002</v>
      </c>
      <c r="I1022">
        <v>9.8609400000000003E-3</v>
      </c>
      <c r="J1022">
        <v>1</v>
      </c>
      <c r="K1022">
        <v>950047</v>
      </c>
      <c r="L1022">
        <f t="shared" si="133"/>
        <v>1.2549753346153847E-2</v>
      </c>
      <c r="M1022">
        <f t="shared" si="134"/>
        <v>4.882011615384616E-3</v>
      </c>
      <c r="N1022">
        <f t="shared" si="135"/>
        <v>9.7017520769230783E-3</v>
      </c>
      <c r="O1022">
        <f t="shared" si="136"/>
        <v>7.2918818461538458E-3</v>
      </c>
      <c r="P1022">
        <f t="shared" si="132"/>
        <v>2.8764773146747848</v>
      </c>
      <c r="R1022">
        <f t="shared" si="138"/>
        <v>1.7429693321105235E-4</v>
      </c>
    </row>
    <row r="1023" spans="1:19" x14ac:dyDescent="0.2">
      <c r="A1023" t="s">
        <v>1034</v>
      </c>
      <c r="B1023">
        <v>5.55856818</v>
      </c>
      <c r="C1023">
        <v>0.10800054000000001</v>
      </c>
      <c r="D1023">
        <v>5.6995161599999999</v>
      </c>
      <c r="E1023">
        <v>1.1457615800000001</v>
      </c>
      <c r="F1023">
        <v>3.24766128</v>
      </c>
      <c r="G1023">
        <v>1.2691192</v>
      </c>
      <c r="H1023">
        <v>2.5428270999999998</v>
      </c>
      <c r="I1023">
        <v>9.8609400000000003E-3</v>
      </c>
      <c r="J1023">
        <v>1</v>
      </c>
      <c r="K1023">
        <v>950047</v>
      </c>
      <c r="L1023">
        <f t="shared" si="133"/>
        <v>1.2491004923076922E-2</v>
      </c>
      <c r="M1023">
        <f t="shared" si="134"/>
        <v>4.8812276923076922E-3</v>
      </c>
      <c r="N1023">
        <f t="shared" si="135"/>
        <v>9.7801042307692296E-3</v>
      </c>
      <c r="O1023">
        <f t="shared" si="136"/>
        <v>7.3306659615384609E-3</v>
      </c>
      <c r="P1023">
        <f t="shared" si="132"/>
        <v>6.1115803724778548</v>
      </c>
      <c r="R1023">
        <f t="shared" si="138"/>
        <v>7.8035469830244845E-4</v>
      </c>
    </row>
    <row r="1024" spans="1:19" x14ac:dyDescent="0.2">
      <c r="A1024" t="s">
        <v>1035</v>
      </c>
      <c r="B1024">
        <v>5.5959419400000003</v>
      </c>
      <c r="C1024">
        <v>0.18735056999999999</v>
      </c>
      <c r="D1024">
        <v>5.7414845799999998</v>
      </c>
      <c r="E1024">
        <v>0.96797098999999998</v>
      </c>
      <c r="F1024">
        <v>3.2355360900000001</v>
      </c>
      <c r="G1024">
        <v>1.2757093799999999</v>
      </c>
      <c r="H1024">
        <v>2.58479474</v>
      </c>
      <c r="I1024">
        <v>9.8609400000000003E-3</v>
      </c>
      <c r="J1024">
        <v>1</v>
      </c>
      <c r="K1024">
        <v>950048</v>
      </c>
      <c r="L1024">
        <f t="shared" si="133"/>
        <v>1.2444369576923077E-2</v>
      </c>
      <c r="M1024">
        <f t="shared" si="134"/>
        <v>4.9065745384615379E-3</v>
      </c>
      <c r="N1024">
        <f t="shared" si="135"/>
        <v>9.94151823076923E-3</v>
      </c>
      <c r="O1024">
        <f t="shared" si="136"/>
        <v>7.4240463846153848E-3</v>
      </c>
      <c r="P1024">
        <f t="shared" si="132"/>
        <v>10.601873531229922</v>
      </c>
      <c r="Q1024">
        <f t="shared" ref="Q1024" si="141">ABS(0.5*(SUMPRODUCT(O1024:O1042,P1025:P1043)+O1043*P1024-(SUMPRODUCT(O1025:O1043,P1024:P1042)+O1024*P1043)))</f>
        <v>5.218234320782944E-3</v>
      </c>
      <c r="R1024">
        <f t="shared" si="138"/>
        <v>1.8295657648596442E-3</v>
      </c>
    </row>
    <row r="1025" spans="1:19" x14ac:dyDescent="0.2">
      <c r="A1025" t="s">
        <v>1036</v>
      </c>
      <c r="B1025">
        <v>5.6473308600000003</v>
      </c>
      <c r="C1025">
        <v>0.28280825999999998</v>
      </c>
      <c r="D1025">
        <v>5.8039253999999998</v>
      </c>
      <c r="E1025">
        <v>0.79018040000000001</v>
      </c>
      <c r="F1025">
        <v>3.2265603</v>
      </c>
      <c r="G1025">
        <v>1.2898409</v>
      </c>
      <c r="H1025">
        <v>2.6421801999999999</v>
      </c>
      <c r="I1025">
        <v>9.8609400000000003E-3</v>
      </c>
      <c r="J1025">
        <v>1</v>
      </c>
      <c r="K1025">
        <v>950048</v>
      </c>
      <c r="L1025">
        <f t="shared" si="133"/>
        <v>1.2409847307692307E-2</v>
      </c>
      <c r="M1025">
        <f t="shared" si="134"/>
        <v>4.9609265384615384E-3</v>
      </c>
      <c r="N1025">
        <f t="shared" si="135"/>
        <v>1.0162231538461538E-2</v>
      </c>
      <c r="O1025">
        <f t="shared" si="136"/>
        <v>7.5615790384615383E-3</v>
      </c>
      <c r="P1025">
        <f t="shared" si="132"/>
        <v>16.003673787099711</v>
      </c>
      <c r="R1025">
        <f t="shared" si="138"/>
        <v>2.9087954763988523E-3</v>
      </c>
    </row>
    <row r="1026" spans="1:19" x14ac:dyDescent="0.2">
      <c r="A1026" t="s">
        <v>1037</v>
      </c>
      <c r="B1026">
        <v>5.7075441400000004</v>
      </c>
      <c r="C1026">
        <v>0.39331737</v>
      </c>
      <c r="D1026">
        <v>5.8714843200000004</v>
      </c>
      <c r="E1026">
        <v>0.61238981000000003</v>
      </c>
      <c r="F1026">
        <v>3.22797753</v>
      </c>
      <c r="G1026">
        <v>1.3053991599999999</v>
      </c>
      <c r="H1026">
        <v>2.7056882600000001</v>
      </c>
      <c r="I1026">
        <v>9.6783300000000006E-3</v>
      </c>
      <c r="J1026">
        <v>1</v>
      </c>
      <c r="K1026">
        <v>950048</v>
      </c>
      <c r="L1026">
        <f t="shared" si="133"/>
        <v>1.2415298192307692E-2</v>
      </c>
      <c r="M1026">
        <f t="shared" si="134"/>
        <v>5.0207659999999994E-3</v>
      </c>
      <c r="N1026">
        <f t="shared" si="135"/>
        <v>1.0406493307692308E-2</v>
      </c>
      <c r="O1026">
        <f t="shared" si="136"/>
        <v>7.7136296538461539E-3</v>
      </c>
      <c r="P1026">
        <f t="shared" si="132"/>
        <v>22.257210182899179</v>
      </c>
      <c r="R1026">
        <f t="shared" si="138"/>
        <v>3.8108954084868944E-3</v>
      </c>
    </row>
    <row r="1027" spans="1:19" x14ac:dyDescent="0.2">
      <c r="A1027" t="s">
        <v>1038</v>
      </c>
      <c r="B1027">
        <v>5.7716505199999997</v>
      </c>
      <c r="C1027">
        <v>0.52627157999999996</v>
      </c>
      <c r="D1027">
        <v>5.9431377200000002</v>
      </c>
      <c r="E1027">
        <v>0.53337177000000002</v>
      </c>
      <c r="F1027">
        <v>3.2355360900000001</v>
      </c>
      <c r="G1027">
        <v>1.3190550999999999</v>
      </c>
      <c r="H1027">
        <v>2.7681944399999998</v>
      </c>
      <c r="I1027">
        <v>9.6783300000000006E-3</v>
      </c>
      <c r="J1027">
        <v>1</v>
      </c>
      <c r="K1027">
        <v>950048</v>
      </c>
      <c r="L1027">
        <f t="shared" si="133"/>
        <v>1.2444369576923077E-2</v>
      </c>
      <c r="M1027">
        <f t="shared" si="134"/>
        <v>5.0732888461538462E-3</v>
      </c>
      <c r="N1027">
        <f t="shared" si="135"/>
        <v>1.0646901692307692E-2</v>
      </c>
      <c r="O1027">
        <f t="shared" si="136"/>
        <v>7.8600952692307689E-3</v>
      </c>
      <c r="P1027">
        <f t="shared" ref="P1027:P1090" si="142">+C1027*4/(PI()*0.15^2)</f>
        <v>29.780879418944654</v>
      </c>
      <c r="R1027">
        <f t="shared" si="138"/>
        <v>4.4078385497398906E-3</v>
      </c>
    </row>
    <row r="1028" spans="1:19" x14ac:dyDescent="0.2">
      <c r="A1028" t="s">
        <v>1039</v>
      </c>
      <c r="B1028">
        <v>5.8310851799999996</v>
      </c>
      <c r="C1028">
        <v>0.70636049999999995</v>
      </c>
      <c r="D1028">
        <v>6.0055785400000001</v>
      </c>
      <c r="E1028">
        <v>0.47410824000000001</v>
      </c>
      <c r="F1028">
        <v>3.2457716400000001</v>
      </c>
      <c r="G1028">
        <v>1.3300613800000001</v>
      </c>
      <c r="H1028">
        <v>2.82290822</v>
      </c>
      <c r="I1028">
        <v>9.8609400000000003E-3</v>
      </c>
      <c r="J1028">
        <v>1</v>
      </c>
      <c r="K1028">
        <v>950048</v>
      </c>
      <c r="L1028">
        <f t="shared" ref="L1028:L1091" si="143">+F1028/260</f>
        <v>1.2483737076923077E-2</v>
      </c>
      <c r="M1028">
        <f t="shared" ref="M1028:M1091" si="144">+G1028/260</f>
        <v>5.1156206923076925E-3</v>
      </c>
      <c r="N1028">
        <f t="shared" ref="N1028:N1091" si="145">+H1028/260</f>
        <v>1.0857339307692308E-2</v>
      </c>
      <c r="O1028">
        <f t="shared" ref="O1028:O1091" si="146">(+G1028+H1028)/520</f>
        <v>7.9864800000000007E-3</v>
      </c>
      <c r="P1028">
        <f t="shared" si="142"/>
        <v>39.971827619506747</v>
      </c>
      <c r="R1028">
        <f t="shared" ref="R1028:R1091" si="147">+(P1028+P1029)/2*(O1029-O1028)</f>
        <v>2.798768349545983E-3</v>
      </c>
    </row>
    <row r="1029" spans="1:19" x14ac:dyDescent="0.2">
      <c r="A1029" t="s">
        <v>1040</v>
      </c>
      <c r="B1029">
        <v>5.8700161800000004</v>
      </c>
      <c r="C1029">
        <v>0.82677186000000003</v>
      </c>
      <c r="D1029">
        <v>6.0398698099999999</v>
      </c>
      <c r="E1029">
        <v>0.47410824000000001</v>
      </c>
      <c r="F1029">
        <v>3.2605738199999998</v>
      </c>
      <c r="G1029">
        <v>1.3352248200000001</v>
      </c>
      <c r="H1029">
        <v>2.8512948200000001</v>
      </c>
      <c r="I1029">
        <v>9.8609400000000003E-3</v>
      </c>
      <c r="J1029">
        <v>1</v>
      </c>
      <c r="K1029">
        <v>950048</v>
      </c>
      <c r="L1029">
        <f t="shared" si="143"/>
        <v>1.2540668538461537E-2</v>
      </c>
      <c r="M1029">
        <f t="shared" si="144"/>
        <v>5.1354800769230768E-3</v>
      </c>
      <c r="N1029">
        <f t="shared" si="145"/>
        <v>1.0966518538461539E-2</v>
      </c>
      <c r="O1029">
        <f t="shared" si="146"/>
        <v>8.0509993076923088E-3</v>
      </c>
      <c r="P1029">
        <f t="shared" si="142"/>
        <v>46.785716738944167</v>
      </c>
      <c r="R1029">
        <f t="shared" si="147"/>
        <v>9.4326402191027196E-4</v>
      </c>
    </row>
    <row r="1030" spans="1:19" x14ac:dyDescent="0.2">
      <c r="A1030" t="s">
        <v>1041</v>
      </c>
      <c r="B1030">
        <v>5.8809168600000001</v>
      </c>
      <c r="C1030">
        <v>0.85502628000000003</v>
      </c>
      <c r="D1030">
        <v>6.0511296300000001</v>
      </c>
      <c r="E1030">
        <v>0.41484471000000001</v>
      </c>
      <c r="F1030">
        <v>3.2783679299999999</v>
      </c>
      <c r="G1030">
        <v>1.33651568</v>
      </c>
      <c r="H1030">
        <v>2.8603117400000002</v>
      </c>
      <c r="I1030">
        <v>9.8609400000000003E-3</v>
      </c>
      <c r="J1030">
        <v>1</v>
      </c>
      <c r="K1030">
        <v>950048</v>
      </c>
      <c r="L1030">
        <f t="shared" si="143"/>
        <v>1.2609107423076922E-2</v>
      </c>
      <c r="M1030">
        <f t="shared" si="144"/>
        <v>5.1404449230769231E-3</v>
      </c>
      <c r="N1030">
        <f t="shared" si="145"/>
        <v>1.1001199000000001E-2</v>
      </c>
      <c r="O1030">
        <f t="shared" si="146"/>
        <v>8.0708219615384623E-3</v>
      </c>
      <c r="P1030">
        <f t="shared" si="142"/>
        <v>48.384589843724434</v>
      </c>
      <c r="R1030">
        <f t="shared" si="147"/>
        <v>2.7777670860831794E-4</v>
      </c>
    </row>
    <row r="1031" spans="1:19" x14ac:dyDescent="0.2">
      <c r="A1031" t="s">
        <v>1042</v>
      </c>
      <c r="B1031">
        <v>5.8832527199999998</v>
      </c>
      <c r="C1031">
        <v>0.85463018999999996</v>
      </c>
      <c r="D1031">
        <v>6.0526650599999998</v>
      </c>
      <c r="E1031">
        <v>0.41484471000000001</v>
      </c>
      <c r="F1031">
        <v>3.2937999900000001</v>
      </c>
      <c r="G1031">
        <v>1.3373309600000001</v>
      </c>
      <c r="H1031">
        <v>2.8624824800000002</v>
      </c>
      <c r="I1031">
        <v>9.6783300000000006E-3</v>
      </c>
      <c r="J1031">
        <v>1</v>
      </c>
      <c r="K1031">
        <v>950048</v>
      </c>
      <c r="L1031">
        <f t="shared" si="143"/>
        <v>1.26684615E-2</v>
      </c>
      <c r="M1031">
        <f t="shared" si="144"/>
        <v>5.1435806153846157E-3</v>
      </c>
      <c r="N1031">
        <f t="shared" si="145"/>
        <v>1.1009548000000001E-2</v>
      </c>
      <c r="O1031">
        <f t="shared" si="146"/>
        <v>8.076564307692307E-3</v>
      </c>
      <c r="P1031">
        <f t="shared" si="142"/>
        <v>48.362175734778916</v>
      </c>
      <c r="R1031">
        <f t="shared" si="147"/>
        <v>-1.0285099627843702E-4</v>
      </c>
      <c r="S1031">
        <f>ABS(SUMIFS($R:$R,$K:$K,K1031))</f>
        <v>5.2387149937195218E-3</v>
      </c>
    </row>
    <row r="1032" spans="1:19" x14ac:dyDescent="0.2">
      <c r="A1032" t="s">
        <v>1043</v>
      </c>
      <c r="B1032">
        <v>5.8809168600000001</v>
      </c>
      <c r="C1032">
        <v>0.81515322000000001</v>
      </c>
      <c r="D1032">
        <v>6.0490823899999997</v>
      </c>
      <c r="E1032">
        <v>0.41484471000000001</v>
      </c>
      <c r="F1032">
        <v>3.30624012</v>
      </c>
      <c r="G1032">
        <v>1.3375347799999999</v>
      </c>
      <c r="H1032">
        <v>2.8611466399999999</v>
      </c>
      <c r="I1032">
        <v>9.4957199999999992E-3</v>
      </c>
      <c r="J1032">
        <v>1</v>
      </c>
      <c r="K1032">
        <v>950048</v>
      </c>
      <c r="L1032">
        <f t="shared" si="143"/>
        <v>1.2716308153846154E-2</v>
      </c>
      <c r="M1032">
        <f t="shared" si="144"/>
        <v>5.1443645384615377E-3</v>
      </c>
      <c r="N1032">
        <f t="shared" si="145"/>
        <v>1.1004410153846154E-2</v>
      </c>
      <c r="O1032">
        <f t="shared" si="146"/>
        <v>8.0743873461538457E-3</v>
      </c>
      <c r="P1032">
        <f t="shared" si="142"/>
        <v>46.128236209875638</v>
      </c>
      <c r="R1032">
        <f t="shared" si="147"/>
        <v>-9.1632313480916419E-4</v>
      </c>
    </row>
    <row r="1033" spans="1:19" x14ac:dyDescent="0.2">
      <c r="A1033" t="s">
        <v>1044</v>
      </c>
      <c r="B1033">
        <v>5.8650849200000001</v>
      </c>
      <c r="C1033">
        <v>0.71032139999999999</v>
      </c>
      <c r="D1033">
        <v>6.0383343800000002</v>
      </c>
      <c r="E1033">
        <v>0.41484471000000001</v>
      </c>
      <c r="F1033">
        <v>3.3207273599999998</v>
      </c>
      <c r="G1033">
        <v>1.3377386</v>
      </c>
      <c r="H1033">
        <v>2.8499033200000001</v>
      </c>
      <c r="I1033">
        <v>9.6783300000000006E-3</v>
      </c>
      <c r="J1033">
        <v>1</v>
      </c>
      <c r="K1033">
        <v>950048</v>
      </c>
      <c r="L1033">
        <f t="shared" si="143"/>
        <v>1.2772028307692307E-2</v>
      </c>
      <c r="M1033">
        <f t="shared" si="144"/>
        <v>5.1451484615384615E-3</v>
      </c>
      <c r="N1033">
        <f t="shared" si="145"/>
        <v>1.0961166615384616E-2</v>
      </c>
      <c r="O1033">
        <f t="shared" si="146"/>
        <v>8.0531575384615375E-3</v>
      </c>
      <c r="P1033">
        <f t="shared" si="142"/>
        <v>40.195968708961928</v>
      </c>
      <c r="R1033">
        <f t="shared" si="147"/>
        <v>-1.0501121962091745E-3</v>
      </c>
    </row>
    <row r="1034" spans="1:19" x14ac:dyDescent="0.2">
      <c r="A1034" t="s">
        <v>1045</v>
      </c>
      <c r="B1034">
        <v>5.8453598800000002</v>
      </c>
      <c r="C1034">
        <v>0.61644807000000001</v>
      </c>
      <c r="D1034">
        <v>6.0178619800000002</v>
      </c>
      <c r="E1034">
        <v>0.41484471000000001</v>
      </c>
      <c r="F1034">
        <v>3.3298606199999998</v>
      </c>
      <c r="G1034">
        <v>1.3379424200000001</v>
      </c>
      <c r="H1034">
        <v>2.8351534200000001</v>
      </c>
      <c r="I1034">
        <v>9.8609400000000003E-3</v>
      </c>
      <c r="J1034">
        <v>1</v>
      </c>
      <c r="K1034">
        <v>950048</v>
      </c>
      <c r="L1034">
        <f t="shared" si="143"/>
        <v>1.280715623076923E-2</v>
      </c>
      <c r="M1034">
        <f t="shared" si="144"/>
        <v>5.1459323846153853E-3</v>
      </c>
      <c r="N1034">
        <f t="shared" si="145"/>
        <v>1.0904436230769232E-2</v>
      </c>
      <c r="O1034">
        <f t="shared" si="146"/>
        <v>8.0251843076923086E-3</v>
      </c>
      <c r="P1034">
        <f t="shared" si="142"/>
        <v>34.883824888874209</v>
      </c>
      <c r="R1034">
        <f t="shared" si="147"/>
        <v>-1.4041304787231943E-3</v>
      </c>
    </row>
    <row r="1035" spans="1:19" x14ac:dyDescent="0.2">
      <c r="A1035" t="s">
        <v>1046</v>
      </c>
      <c r="B1035">
        <v>5.8256348400000002</v>
      </c>
      <c r="C1035">
        <v>0.52178256000000001</v>
      </c>
      <c r="D1035">
        <v>5.9932951000000001</v>
      </c>
      <c r="E1035">
        <v>0.41484471000000001</v>
      </c>
      <c r="F1035">
        <v>3.33647436</v>
      </c>
      <c r="G1035">
        <v>1.3375347799999999</v>
      </c>
      <c r="H1035">
        <v>2.8128894199999999</v>
      </c>
      <c r="I1035">
        <v>9.8609400000000003E-3</v>
      </c>
      <c r="J1035">
        <v>1</v>
      </c>
      <c r="K1035">
        <v>950048</v>
      </c>
      <c r="L1035">
        <f t="shared" si="143"/>
        <v>1.2832593692307692E-2</v>
      </c>
      <c r="M1035">
        <f t="shared" si="144"/>
        <v>5.1443645384615377E-3</v>
      </c>
      <c r="N1035">
        <f t="shared" si="145"/>
        <v>1.0818805461538461E-2</v>
      </c>
      <c r="O1035">
        <f t="shared" si="146"/>
        <v>7.9815849999999994E-3</v>
      </c>
      <c r="P1035">
        <f t="shared" si="142"/>
        <v>29.526852850895455</v>
      </c>
      <c r="R1035">
        <f t="shared" si="147"/>
        <v>-2.062689414367005E-3</v>
      </c>
    </row>
    <row r="1036" spans="1:19" x14ac:dyDescent="0.2">
      <c r="A1036" t="s">
        <v>1047</v>
      </c>
      <c r="B1036">
        <v>5.7890397</v>
      </c>
      <c r="C1036">
        <v>0.41747886000000001</v>
      </c>
      <c r="D1036">
        <v>5.9492794399999998</v>
      </c>
      <c r="E1036">
        <v>0.41484471000000001</v>
      </c>
      <c r="F1036">
        <v>3.3389938799999999</v>
      </c>
      <c r="G1036">
        <v>1.33318662</v>
      </c>
      <c r="H1036">
        <v>2.7768774000000001</v>
      </c>
      <c r="I1036">
        <v>9.6783300000000006E-3</v>
      </c>
      <c r="J1036">
        <v>1</v>
      </c>
      <c r="K1036">
        <v>950048</v>
      </c>
      <c r="L1036">
        <f t="shared" si="143"/>
        <v>1.2842284153846154E-2</v>
      </c>
      <c r="M1036">
        <f t="shared" si="144"/>
        <v>5.1276408461538459E-3</v>
      </c>
      <c r="N1036">
        <f t="shared" si="145"/>
        <v>1.0680297692307692E-2</v>
      </c>
      <c r="O1036">
        <f t="shared" si="146"/>
        <v>7.9039692692307699E-3</v>
      </c>
      <c r="P1036">
        <f t="shared" si="142"/>
        <v>23.624470828575767</v>
      </c>
      <c r="R1036">
        <f t="shared" si="147"/>
        <v>-2.2215580122143049E-3</v>
      </c>
    </row>
    <row r="1037" spans="1:19" x14ac:dyDescent="0.2">
      <c r="A1037" t="s">
        <v>1048</v>
      </c>
      <c r="B1037">
        <v>5.7431011200000004</v>
      </c>
      <c r="C1037">
        <v>0.32228522999999998</v>
      </c>
      <c r="D1037">
        <v>5.8975866300000002</v>
      </c>
      <c r="E1037">
        <v>0.41484471000000001</v>
      </c>
      <c r="F1037">
        <v>3.3394662899999998</v>
      </c>
      <c r="G1037">
        <v>1.32469412</v>
      </c>
      <c r="H1037">
        <v>2.73017866</v>
      </c>
      <c r="I1037">
        <v>9.4957199999999992E-3</v>
      </c>
      <c r="J1037">
        <v>1</v>
      </c>
      <c r="K1037">
        <v>950048</v>
      </c>
      <c r="L1037">
        <f t="shared" si="143"/>
        <v>1.2844101115384615E-2</v>
      </c>
      <c r="M1037">
        <f t="shared" si="144"/>
        <v>5.0949773846153843E-3</v>
      </c>
      <c r="N1037">
        <f t="shared" si="145"/>
        <v>1.0500687153846154E-2</v>
      </c>
      <c r="O1037">
        <f t="shared" si="146"/>
        <v>7.7978322692307698E-3</v>
      </c>
      <c r="P1037">
        <f t="shared" si="142"/>
        <v>18.237613312002985</v>
      </c>
      <c r="R1037">
        <f t="shared" si="147"/>
        <v>-1.9820369750024815E-3</v>
      </c>
    </row>
    <row r="1038" spans="1:19" x14ac:dyDescent="0.2">
      <c r="A1038" t="s">
        <v>1049</v>
      </c>
      <c r="B1038">
        <v>5.6963839199999997</v>
      </c>
      <c r="C1038">
        <v>0.23976648</v>
      </c>
      <c r="D1038">
        <v>5.8382166700000004</v>
      </c>
      <c r="E1038">
        <v>0.41484471000000001</v>
      </c>
      <c r="F1038">
        <v>3.3326950800000001</v>
      </c>
      <c r="G1038">
        <v>1.31287256</v>
      </c>
      <c r="H1038">
        <v>2.6771903400000001</v>
      </c>
      <c r="I1038">
        <v>9.6783300000000006E-3</v>
      </c>
      <c r="J1038">
        <v>1</v>
      </c>
      <c r="K1038">
        <v>950048</v>
      </c>
      <c r="L1038">
        <f t="shared" si="143"/>
        <v>1.2818058E-2</v>
      </c>
      <c r="M1038">
        <f t="shared" si="144"/>
        <v>5.0495098461538464E-3</v>
      </c>
      <c r="N1038">
        <f t="shared" si="145"/>
        <v>1.0296885923076924E-2</v>
      </c>
      <c r="O1038">
        <f t="shared" si="146"/>
        <v>7.6731978846153841E-3</v>
      </c>
      <c r="P1038">
        <f t="shared" si="142"/>
        <v>13.568007281686777</v>
      </c>
      <c r="R1038">
        <f t="shared" si="147"/>
        <v>-1.5185164527733597E-3</v>
      </c>
    </row>
    <row r="1039" spans="1:19" x14ac:dyDescent="0.2">
      <c r="A1039" t="s">
        <v>1050</v>
      </c>
      <c r="B1039">
        <v>5.6442163799999996</v>
      </c>
      <c r="C1039">
        <v>0.16516953000000001</v>
      </c>
      <c r="D1039">
        <v>5.78242938</v>
      </c>
      <c r="E1039">
        <v>0.41484471000000001</v>
      </c>
      <c r="F1039">
        <v>3.3202549499999998</v>
      </c>
      <c r="G1039">
        <v>1.2983334</v>
      </c>
      <c r="H1039">
        <v>2.6228105199999998</v>
      </c>
      <c r="I1039">
        <v>1.004355E-2</v>
      </c>
      <c r="J1039">
        <v>1</v>
      </c>
      <c r="K1039">
        <v>950048</v>
      </c>
      <c r="L1039">
        <f t="shared" si="143"/>
        <v>1.2770211346153845E-2</v>
      </c>
      <c r="M1039">
        <f t="shared" si="144"/>
        <v>4.99359E-3</v>
      </c>
      <c r="N1039">
        <f t="shared" si="145"/>
        <v>1.0087732769230768E-2</v>
      </c>
      <c r="O1039">
        <f t="shared" si="146"/>
        <v>7.5406613846153835E-3</v>
      </c>
      <c r="P1039">
        <f t="shared" si="142"/>
        <v>9.3466834302809243</v>
      </c>
      <c r="R1039">
        <f t="shared" si="147"/>
        <v>-9.8427387047859971E-4</v>
      </c>
    </row>
    <row r="1040" spans="1:19" x14ac:dyDescent="0.2">
      <c r="A1040" t="s">
        <v>1051</v>
      </c>
      <c r="B1040">
        <v>5.5917893000000003</v>
      </c>
      <c r="C1040">
        <v>9.9154530000000005E-2</v>
      </c>
      <c r="D1040">
        <v>5.7292011399999998</v>
      </c>
      <c r="E1040">
        <v>0.67165333999999999</v>
      </c>
      <c r="F1040">
        <v>3.30576771</v>
      </c>
      <c r="G1040">
        <v>1.2833866</v>
      </c>
      <c r="H1040">
        <v>2.5693212600000002</v>
      </c>
      <c r="I1040">
        <v>9.6783300000000006E-3</v>
      </c>
      <c r="J1040">
        <v>1</v>
      </c>
      <c r="K1040">
        <v>950048</v>
      </c>
      <c r="L1040">
        <f t="shared" si="143"/>
        <v>1.2714491192307692E-2</v>
      </c>
      <c r="M1040">
        <f t="shared" si="144"/>
        <v>4.9361023076923078E-3</v>
      </c>
      <c r="N1040">
        <f t="shared" si="145"/>
        <v>9.8820048461538464E-3</v>
      </c>
      <c r="O1040">
        <f t="shared" si="146"/>
        <v>7.4090535769230775E-3</v>
      </c>
      <c r="P1040">
        <f t="shared" si="142"/>
        <v>5.6109986060279571</v>
      </c>
      <c r="R1040">
        <f t="shared" si="147"/>
        <v>-3.9512606780710475E-4</v>
      </c>
    </row>
    <row r="1041" spans="1:19" x14ac:dyDescent="0.2">
      <c r="A1041" t="s">
        <v>1052</v>
      </c>
      <c r="B1041">
        <v>5.5523392200000004</v>
      </c>
      <c r="C1041">
        <v>5.4000270000000003E-2</v>
      </c>
      <c r="D1041">
        <v>5.6918390099999998</v>
      </c>
      <c r="E1041">
        <v>1.0272345199999999</v>
      </c>
      <c r="F1041">
        <v>3.28702878</v>
      </c>
      <c r="G1041">
        <v>1.2726520800000001</v>
      </c>
      <c r="H1041">
        <v>2.5326413200000002</v>
      </c>
      <c r="I1041">
        <v>9.8609400000000003E-3</v>
      </c>
      <c r="J1041">
        <v>1</v>
      </c>
      <c r="K1041">
        <v>950048</v>
      </c>
      <c r="L1041">
        <f t="shared" si="143"/>
        <v>1.2642418384615384E-2</v>
      </c>
      <c r="M1041">
        <f t="shared" si="144"/>
        <v>4.8948156923076924E-3</v>
      </c>
      <c r="N1041">
        <f t="shared" si="145"/>
        <v>9.740928153846154E-3</v>
      </c>
      <c r="O1041">
        <f t="shared" si="146"/>
        <v>7.3178719230769232E-3</v>
      </c>
      <c r="P1041">
        <f t="shared" si="142"/>
        <v>3.0557901862389274</v>
      </c>
      <c r="R1041">
        <f t="shared" si="147"/>
        <v>-7.278085689267592E-5</v>
      </c>
    </row>
    <row r="1042" spans="1:19" x14ac:dyDescent="0.2">
      <c r="A1042" t="s">
        <v>1053</v>
      </c>
      <c r="B1042">
        <v>5.5419576199999998</v>
      </c>
      <c r="C1042">
        <v>5.2415910000000003E-2</v>
      </c>
      <c r="D1042">
        <v>5.6775083300000002</v>
      </c>
      <c r="E1042">
        <v>1.1457615800000001</v>
      </c>
      <c r="F1042">
        <v>3.2649829800000001</v>
      </c>
      <c r="G1042">
        <v>1.2699344800000001</v>
      </c>
      <c r="H1042">
        <v>2.5227895</v>
      </c>
      <c r="I1042">
        <v>1.004355E-2</v>
      </c>
      <c r="J1042">
        <v>1</v>
      </c>
      <c r="K1042">
        <v>950048</v>
      </c>
      <c r="L1042">
        <f t="shared" si="143"/>
        <v>1.2557626846153847E-2</v>
      </c>
      <c r="M1042">
        <f t="shared" si="144"/>
        <v>4.8843633846153848E-3</v>
      </c>
      <c r="N1042">
        <f t="shared" si="145"/>
        <v>9.7030365384615392E-3</v>
      </c>
      <c r="O1042">
        <f t="shared" si="146"/>
        <v>7.2936999615384615E-3</v>
      </c>
      <c r="P1042">
        <f t="shared" si="142"/>
        <v>2.9661337504568563</v>
      </c>
      <c r="R1042">
        <f t="shared" si="147"/>
        <v>1.7651175192054703E-4</v>
      </c>
    </row>
    <row r="1043" spans="1:19" x14ac:dyDescent="0.2">
      <c r="A1043" t="s">
        <v>1054</v>
      </c>
      <c r="B1043">
        <v>5.5616826599999998</v>
      </c>
      <c r="C1043">
        <v>0.11037708</v>
      </c>
      <c r="D1043">
        <v>5.6979807300000003</v>
      </c>
      <c r="E1043">
        <v>1.1457615800000001</v>
      </c>
      <c r="F1043">
        <v>3.24624405</v>
      </c>
      <c r="G1043">
        <v>1.2693230200000001</v>
      </c>
      <c r="H1043">
        <v>2.54332804</v>
      </c>
      <c r="I1043">
        <v>1.004355E-2</v>
      </c>
      <c r="J1043">
        <v>1</v>
      </c>
      <c r="K1043">
        <v>950048</v>
      </c>
      <c r="L1043">
        <f t="shared" si="143"/>
        <v>1.2485554038461539E-2</v>
      </c>
      <c r="M1043">
        <f t="shared" si="144"/>
        <v>4.882011615384616E-3</v>
      </c>
      <c r="N1043">
        <f t="shared" si="145"/>
        <v>9.7820309230769228E-3</v>
      </c>
      <c r="O1043">
        <f t="shared" si="146"/>
        <v>7.3320212692307698E-3</v>
      </c>
      <c r="P1043">
        <f t="shared" si="142"/>
        <v>6.2460650261509612</v>
      </c>
      <c r="R1043">
        <f t="shared" si="147"/>
        <v>7.9569741780462244E-4</v>
      </c>
    </row>
    <row r="1044" spans="1:19" x14ac:dyDescent="0.2">
      <c r="A1044" t="s">
        <v>1055</v>
      </c>
      <c r="B1044">
        <v>5.5990564200000001</v>
      </c>
      <c r="C1044">
        <v>0.18933101999999999</v>
      </c>
      <c r="D1044">
        <v>5.7414845799999998</v>
      </c>
      <c r="E1044">
        <v>1.0864980500000001</v>
      </c>
      <c r="F1044">
        <v>3.2350636800000001</v>
      </c>
      <c r="G1044">
        <v>1.2759811400000001</v>
      </c>
      <c r="H1044">
        <v>2.5854626600000001</v>
      </c>
      <c r="I1044">
        <v>9.8609400000000003E-3</v>
      </c>
      <c r="J1044">
        <v>1</v>
      </c>
      <c r="K1044">
        <v>950049</v>
      </c>
      <c r="L1044">
        <f t="shared" si="143"/>
        <v>1.2442552615384616E-2</v>
      </c>
      <c r="M1044">
        <f t="shared" si="144"/>
        <v>4.9076197692307696E-3</v>
      </c>
      <c r="N1044">
        <f t="shared" si="145"/>
        <v>9.9440871538461536E-3</v>
      </c>
      <c r="O1044">
        <f t="shared" si="146"/>
        <v>7.4258534615384616E-3</v>
      </c>
      <c r="P1044">
        <f t="shared" si="142"/>
        <v>10.71394407595751</v>
      </c>
      <c r="Q1044">
        <f t="shared" ref="Q1044" si="148">ABS(0.5*(SUMPRODUCT(O1044:O1062,P1045:P1063)+O1063*P1044-(SUMPRODUCT(O1045:O1063,P1044:P1062)+O1044*P1063)))</f>
        <v>5.1785009937941329E-3</v>
      </c>
      <c r="R1044">
        <f t="shared" si="147"/>
        <v>1.798752604371611E-3</v>
      </c>
    </row>
    <row r="1045" spans="1:19" x14ac:dyDescent="0.2">
      <c r="A1045" t="s">
        <v>1056</v>
      </c>
      <c r="B1045">
        <v>5.6512239600000003</v>
      </c>
      <c r="C1045">
        <v>0.28241217000000002</v>
      </c>
      <c r="D1045">
        <v>5.8039253999999998</v>
      </c>
      <c r="E1045">
        <v>0.90870746000000002</v>
      </c>
      <c r="F1045">
        <v>3.22750512</v>
      </c>
      <c r="G1045">
        <v>1.2898409</v>
      </c>
      <c r="H1045">
        <v>2.6416792600000001</v>
      </c>
      <c r="I1045">
        <v>9.8609400000000003E-3</v>
      </c>
      <c r="J1045">
        <v>1</v>
      </c>
      <c r="K1045">
        <v>950049</v>
      </c>
      <c r="L1045">
        <f t="shared" si="143"/>
        <v>1.2413481230769231E-2</v>
      </c>
      <c r="M1045">
        <f t="shared" si="144"/>
        <v>4.9609265384615384E-3</v>
      </c>
      <c r="N1045">
        <f t="shared" si="145"/>
        <v>1.0160304846153847E-2</v>
      </c>
      <c r="O1045">
        <f t="shared" si="146"/>
        <v>7.5606156923076918E-3</v>
      </c>
      <c r="P1045">
        <f t="shared" si="142"/>
        <v>15.981259678154196</v>
      </c>
      <c r="R1045">
        <f t="shared" si="147"/>
        <v>2.8861084101587634E-3</v>
      </c>
    </row>
    <row r="1046" spans="1:19" x14ac:dyDescent="0.2">
      <c r="A1046" t="s">
        <v>1057</v>
      </c>
      <c r="B1046">
        <v>5.7075441400000004</v>
      </c>
      <c r="C1046">
        <v>0.39160097999999999</v>
      </c>
      <c r="D1046">
        <v>5.8663662199999997</v>
      </c>
      <c r="E1046">
        <v>0.67165333999999999</v>
      </c>
      <c r="F1046">
        <v>3.22844994</v>
      </c>
      <c r="G1046">
        <v>1.30519534</v>
      </c>
      <c r="H1046">
        <v>2.7050203399999999</v>
      </c>
      <c r="I1046">
        <v>9.6783300000000006E-3</v>
      </c>
      <c r="J1046">
        <v>1</v>
      </c>
      <c r="K1046">
        <v>950049</v>
      </c>
      <c r="L1046">
        <f t="shared" si="143"/>
        <v>1.2417115153846154E-2</v>
      </c>
      <c r="M1046">
        <f t="shared" si="144"/>
        <v>5.0199820769230774E-3</v>
      </c>
      <c r="N1046">
        <f t="shared" si="145"/>
        <v>1.0403924384615385E-2</v>
      </c>
      <c r="O1046">
        <f t="shared" si="146"/>
        <v>7.7119532307692307E-3</v>
      </c>
      <c r="P1046">
        <f t="shared" si="142"/>
        <v>22.160082377468601</v>
      </c>
      <c r="R1046">
        <f t="shared" si="147"/>
        <v>3.8306425965189362E-3</v>
      </c>
    </row>
    <row r="1047" spans="1:19" x14ac:dyDescent="0.2">
      <c r="A1047" t="s">
        <v>1058</v>
      </c>
      <c r="B1047">
        <v>5.7708719000000004</v>
      </c>
      <c r="C1047">
        <v>0.52495128000000002</v>
      </c>
      <c r="D1047">
        <v>5.9339251400000004</v>
      </c>
      <c r="E1047">
        <v>0.67165333999999999</v>
      </c>
      <c r="F1047">
        <v>3.23711079</v>
      </c>
      <c r="G1047">
        <v>1.3196665599999999</v>
      </c>
      <c r="H1047">
        <v>2.7673595400000002</v>
      </c>
      <c r="I1047">
        <v>9.6783300000000006E-3</v>
      </c>
      <c r="J1047">
        <v>1</v>
      </c>
      <c r="K1047">
        <v>950049</v>
      </c>
      <c r="L1047">
        <f t="shared" si="143"/>
        <v>1.2450426115384616E-2</v>
      </c>
      <c r="M1047">
        <f t="shared" si="144"/>
        <v>5.075640615384615E-3</v>
      </c>
      <c r="N1047">
        <f t="shared" si="145"/>
        <v>1.0643690538461538E-2</v>
      </c>
      <c r="O1047">
        <f t="shared" si="146"/>
        <v>7.8596655769230771E-3</v>
      </c>
      <c r="P1047">
        <f t="shared" si="142"/>
        <v>29.706165722459598</v>
      </c>
      <c r="R1047">
        <f t="shared" si="147"/>
        <v>4.4285054076276852E-3</v>
      </c>
    </row>
    <row r="1048" spans="1:19" x14ac:dyDescent="0.2">
      <c r="A1048" t="s">
        <v>1059</v>
      </c>
      <c r="B1048">
        <v>5.8295279400000002</v>
      </c>
      <c r="C1048">
        <v>0.70477614</v>
      </c>
      <c r="D1048">
        <v>6.0025076799999999</v>
      </c>
      <c r="E1048">
        <v>0.67165333999999999</v>
      </c>
      <c r="F1048">
        <v>3.2500233299999999</v>
      </c>
      <c r="G1048">
        <v>1.33046902</v>
      </c>
      <c r="H1048">
        <v>2.82274124</v>
      </c>
      <c r="I1048">
        <v>9.6783300000000006E-3</v>
      </c>
      <c r="J1048">
        <v>1</v>
      </c>
      <c r="K1048">
        <v>950049</v>
      </c>
      <c r="L1048">
        <f t="shared" si="143"/>
        <v>1.2500089730769231E-2</v>
      </c>
      <c r="M1048">
        <f t="shared" si="144"/>
        <v>5.1171885384615383E-3</v>
      </c>
      <c r="N1048">
        <f t="shared" si="145"/>
        <v>1.0856697076923078E-2</v>
      </c>
      <c r="O1048">
        <f t="shared" si="146"/>
        <v>7.9869428076923075E-3</v>
      </c>
      <c r="P1048">
        <f t="shared" si="142"/>
        <v>39.88217118372468</v>
      </c>
      <c r="R1048">
        <f t="shared" si="147"/>
        <v>2.7951529925667211E-3</v>
      </c>
    </row>
    <row r="1049" spans="1:19" x14ac:dyDescent="0.2">
      <c r="A1049" t="s">
        <v>1060</v>
      </c>
      <c r="B1049">
        <v>5.8707947999999996</v>
      </c>
      <c r="C1049">
        <v>0.82637576999999995</v>
      </c>
      <c r="D1049">
        <v>6.0367989499999997</v>
      </c>
      <c r="E1049">
        <v>0.53337177000000002</v>
      </c>
      <c r="F1049">
        <v>3.2629358700000002</v>
      </c>
      <c r="G1049">
        <v>1.33563246</v>
      </c>
      <c r="H1049">
        <v>2.8511278400000002</v>
      </c>
      <c r="I1049">
        <v>9.6783300000000006E-3</v>
      </c>
      <c r="J1049">
        <v>1</v>
      </c>
      <c r="K1049">
        <v>950049</v>
      </c>
      <c r="L1049">
        <f t="shared" si="143"/>
        <v>1.2549753346153847E-2</v>
      </c>
      <c r="M1049">
        <f t="shared" si="144"/>
        <v>5.1370479230769235E-3</v>
      </c>
      <c r="N1049">
        <f t="shared" si="145"/>
        <v>1.0965876307692309E-2</v>
      </c>
      <c r="O1049">
        <f t="shared" si="146"/>
        <v>8.0514621153846156E-3</v>
      </c>
      <c r="P1049">
        <f t="shared" si="142"/>
        <v>46.763302629998641</v>
      </c>
      <c r="R1049">
        <f t="shared" si="147"/>
        <v>9.5974107391951803E-4</v>
      </c>
    </row>
    <row r="1050" spans="1:19" x14ac:dyDescent="0.2">
      <c r="A1050" t="s">
        <v>1061</v>
      </c>
      <c r="B1050">
        <v>5.88013824</v>
      </c>
      <c r="C1050">
        <v>0.85463018999999996</v>
      </c>
      <c r="D1050">
        <v>6.0511296300000001</v>
      </c>
      <c r="E1050">
        <v>0.53337177000000002</v>
      </c>
      <c r="F1050">
        <v>3.2802575699999998</v>
      </c>
      <c r="G1050">
        <v>1.3373309600000001</v>
      </c>
      <c r="H1050">
        <v>2.8599221199999998</v>
      </c>
      <c r="I1050">
        <v>9.6783300000000006E-3</v>
      </c>
      <c r="J1050">
        <v>1</v>
      </c>
      <c r="K1050">
        <v>950049</v>
      </c>
      <c r="L1050">
        <f t="shared" si="143"/>
        <v>1.2616375269230769E-2</v>
      </c>
      <c r="M1050">
        <f t="shared" si="144"/>
        <v>5.1435806153846157E-3</v>
      </c>
      <c r="N1050">
        <f t="shared" si="145"/>
        <v>1.0999700461538461E-2</v>
      </c>
      <c r="O1050">
        <f t="shared" si="146"/>
        <v>8.0716405384615372E-3</v>
      </c>
      <c r="P1050">
        <f t="shared" si="142"/>
        <v>48.362175734778916</v>
      </c>
      <c r="R1050">
        <f t="shared" si="147"/>
        <v>1.9157906150739297E-4</v>
      </c>
    </row>
    <row r="1051" spans="1:19" x14ac:dyDescent="0.2">
      <c r="A1051" t="s">
        <v>1062</v>
      </c>
      <c r="B1051">
        <v>5.8824740999999996</v>
      </c>
      <c r="C1051">
        <v>0.85502628000000003</v>
      </c>
      <c r="D1051">
        <v>6.0542004900000004</v>
      </c>
      <c r="E1051">
        <v>0.47410824000000001</v>
      </c>
      <c r="F1051">
        <v>3.29616204</v>
      </c>
      <c r="G1051">
        <v>1.3373309600000001</v>
      </c>
      <c r="H1051">
        <v>2.8619815399999999</v>
      </c>
      <c r="I1051">
        <v>9.6783300000000006E-3</v>
      </c>
      <c r="J1051">
        <v>1</v>
      </c>
      <c r="K1051">
        <v>950049</v>
      </c>
      <c r="L1051">
        <f t="shared" si="143"/>
        <v>1.2677546307692307E-2</v>
      </c>
      <c r="M1051">
        <f t="shared" si="144"/>
        <v>5.1435806153846157E-3</v>
      </c>
      <c r="N1051">
        <f t="shared" si="145"/>
        <v>1.1007621307692308E-2</v>
      </c>
      <c r="O1051">
        <f t="shared" si="146"/>
        <v>8.0756009615384605E-3</v>
      </c>
      <c r="P1051">
        <f t="shared" si="142"/>
        <v>48.384589843724434</v>
      </c>
      <c r="R1051">
        <f t="shared" si="147"/>
        <v>-5.0775370659132884E-5</v>
      </c>
    </row>
    <row r="1052" spans="1:19" x14ac:dyDescent="0.2">
      <c r="A1052" t="s">
        <v>1063</v>
      </c>
      <c r="B1052">
        <v>5.8785809999999996</v>
      </c>
      <c r="C1052">
        <v>0.81911411999999995</v>
      </c>
      <c r="D1052">
        <v>6.0490823899999997</v>
      </c>
      <c r="E1052">
        <v>0.41484471000000001</v>
      </c>
      <c r="F1052">
        <v>3.3095469899999999</v>
      </c>
      <c r="G1052">
        <v>1.3379424200000001</v>
      </c>
      <c r="H1052">
        <v>2.86081268</v>
      </c>
      <c r="I1052">
        <v>9.4957199999999992E-3</v>
      </c>
      <c r="J1052">
        <v>1</v>
      </c>
      <c r="K1052">
        <v>950049</v>
      </c>
      <c r="L1052">
        <f t="shared" si="143"/>
        <v>1.2729026884615384E-2</v>
      </c>
      <c r="M1052">
        <f t="shared" si="144"/>
        <v>5.1459323846153853E-3</v>
      </c>
      <c r="N1052">
        <f t="shared" si="145"/>
        <v>1.1003125692307693E-2</v>
      </c>
      <c r="O1052">
        <f t="shared" si="146"/>
        <v>8.0745290384615382E-3</v>
      </c>
      <c r="P1052">
        <f t="shared" si="142"/>
        <v>46.352377299330819</v>
      </c>
      <c r="R1052">
        <f t="shared" si="147"/>
        <v>-1.0297261095192349E-3</v>
      </c>
      <c r="S1052">
        <f>ABS(SUMIFS($R:$R,$K:$K,K1052))</f>
        <v>5.1827430239718905E-3</v>
      </c>
    </row>
    <row r="1053" spans="1:19" x14ac:dyDescent="0.2">
      <c r="A1053" t="s">
        <v>1064</v>
      </c>
      <c r="B1053">
        <v>5.8604132</v>
      </c>
      <c r="C1053">
        <v>0.70556832000000003</v>
      </c>
      <c r="D1053">
        <v>6.0306572300000001</v>
      </c>
      <c r="E1053">
        <v>0.35558118</v>
      </c>
      <c r="F1053">
        <v>3.3207273599999998</v>
      </c>
      <c r="G1053">
        <v>1.3379424200000001</v>
      </c>
      <c r="H1053">
        <v>2.8484004999999999</v>
      </c>
      <c r="I1053">
        <v>9.6783300000000006E-3</v>
      </c>
      <c r="J1053">
        <v>1</v>
      </c>
      <c r="K1053">
        <v>950049</v>
      </c>
      <c r="L1053">
        <f t="shared" si="143"/>
        <v>1.2772028307692307E-2</v>
      </c>
      <c r="M1053">
        <f t="shared" si="144"/>
        <v>5.1459323846153853E-3</v>
      </c>
      <c r="N1053">
        <f t="shared" si="145"/>
        <v>1.0955386538461538E-2</v>
      </c>
      <c r="O1053">
        <f t="shared" si="146"/>
        <v>8.0506594615384602E-3</v>
      </c>
      <c r="P1053">
        <f t="shared" si="142"/>
        <v>39.926999401615717</v>
      </c>
      <c r="R1053">
        <f t="shared" si="147"/>
        <v>-1.0979681278850636E-3</v>
      </c>
    </row>
    <row r="1054" spans="1:19" x14ac:dyDescent="0.2">
      <c r="A1054" t="s">
        <v>1065</v>
      </c>
      <c r="B1054">
        <v>5.8422454000000004</v>
      </c>
      <c r="C1054">
        <v>0.60958250999999997</v>
      </c>
      <c r="D1054">
        <v>6.0132556900000003</v>
      </c>
      <c r="E1054">
        <v>0.35558118</v>
      </c>
      <c r="F1054">
        <v>3.3326950800000001</v>
      </c>
      <c r="G1054">
        <v>1.3377386</v>
      </c>
      <c r="H1054">
        <v>2.8332609799999999</v>
      </c>
      <c r="I1054">
        <v>9.8609400000000003E-3</v>
      </c>
      <c r="J1054">
        <v>1</v>
      </c>
      <c r="K1054">
        <v>950049</v>
      </c>
      <c r="L1054">
        <f t="shared" si="143"/>
        <v>1.2818058E-2</v>
      </c>
      <c r="M1054">
        <f t="shared" si="144"/>
        <v>5.1451484615384615E-3</v>
      </c>
      <c r="N1054">
        <f t="shared" si="145"/>
        <v>1.0897157615384616E-2</v>
      </c>
      <c r="O1054">
        <f t="shared" si="146"/>
        <v>8.0211530384615391E-3</v>
      </c>
      <c r="P1054">
        <f t="shared" si="142"/>
        <v>34.495313667151898</v>
      </c>
      <c r="R1054">
        <f t="shared" si="147"/>
        <v>-1.2903533205795169E-3</v>
      </c>
    </row>
    <row r="1055" spans="1:19" x14ac:dyDescent="0.2">
      <c r="A1055" t="s">
        <v>1066</v>
      </c>
      <c r="B1055">
        <v>5.8240775999999999</v>
      </c>
      <c r="C1055">
        <v>0.52059429000000002</v>
      </c>
      <c r="D1055">
        <v>5.9917596700000004</v>
      </c>
      <c r="E1055">
        <v>0.35558118</v>
      </c>
      <c r="F1055">
        <v>3.3389938799999999</v>
      </c>
      <c r="G1055">
        <v>1.33712714</v>
      </c>
      <c r="H1055">
        <v>2.8128894199999999</v>
      </c>
      <c r="I1055">
        <v>1.004355E-2</v>
      </c>
      <c r="J1055">
        <v>1</v>
      </c>
      <c r="K1055">
        <v>950049</v>
      </c>
      <c r="L1055">
        <f t="shared" si="143"/>
        <v>1.2842284153846154E-2</v>
      </c>
      <c r="M1055">
        <f t="shared" si="144"/>
        <v>5.1427966923076919E-3</v>
      </c>
      <c r="N1055">
        <f t="shared" si="145"/>
        <v>1.0818805461538461E-2</v>
      </c>
      <c r="O1055">
        <f t="shared" si="146"/>
        <v>7.9808010769230765E-3</v>
      </c>
      <c r="P1055">
        <f t="shared" si="142"/>
        <v>29.459610524058903</v>
      </c>
      <c r="R1055">
        <f t="shared" si="147"/>
        <v>-1.9950565790105004E-3</v>
      </c>
    </row>
    <row r="1056" spans="1:19" x14ac:dyDescent="0.2">
      <c r="A1056" t="s">
        <v>1067</v>
      </c>
      <c r="B1056">
        <v>5.7931923400000001</v>
      </c>
      <c r="C1056">
        <v>0.41985539999999999</v>
      </c>
      <c r="D1056">
        <v>5.9446731499999999</v>
      </c>
      <c r="E1056">
        <v>0.35558118</v>
      </c>
      <c r="F1056">
        <v>3.3399386999999998</v>
      </c>
      <c r="G1056">
        <v>1.3329827999999999</v>
      </c>
      <c r="H1056">
        <v>2.77804626</v>
      </c>
      <c r="I1056">
        <v>9.8609400000000003E-3</v>
      </c>
      <c r="J1056">
        <v>1</v>
      </c>
      <c r="K1056">
        <v>950049</v>
      </c>
      <c r="L1056">
        <f t="shared" si="143"/>
        <v>1.2845918076923077E-2</v>
      </c>
      <c r="M1056">
        <f t="shared" si="144"/>
        <v>5.126856923076923E-3</v>
      </c>
      <c r="N1056">
        <f t="shared" si="145"/>
        <v>1.0684793307692307E-2</v>
      </c>
      <c r="O1056">
        <f t="shared" si="146"/>
        <v>7.9058251153846151E-3</v>
      </c>
      <c r="P1056">
        <f t="shared" si="142"/>
        <v>23.758955482248872</v>
      </c>
      <c r="R1056">
        <f t="shared" si="147"/>
        <v>-2.2141230578777739E-3</v>
      </c>
    </row>
    <row r="1057" spans="1:18" x14ac:dyDescent="0.2">
      <c r="A1057" t="s">
        <v>1068</v>
      </c>
      <c r="B1057">
        <v>5.7480323799999997</v>
      </c>
      <c r="C1057">
        <v>0.32518988999999998</v>
      </c>
      <c r="D1057">
        <v>5.8960511999999996</v>
      </c>
      <c r="E1057">
        <v>0.35558118</v>
      </c>
      <c r="F1057">
        <v>3.3389938799999999</v>
      </c>
      <c r="G1057">
        <v>1.3248979400000001</v>
      </c>
      <c r="H1057">
        <v>2.7315144999999998</v>
      </c>
      <c r="I1057">
        <v>9.6783300000000006E-3</v>
      </c>
      <c r="J1057">
        <v>1</v>
      </c>
      <c r="K1057">
        <v>950049</v>
      </c>
      <c r="L1057">
        <f t="shared" si="143"/>
        <v>1.2842284153846154E-2</v>
      </c>
      <c r="M1057">
        <f t="shared" si="144"/>
        <v>5.0957613076923081E-3</v>
      </c>
      <c r="N1057">
        <f t="shared" si="145"/>
        <v>1.0505825E-2</v>
      </c>
      <c r="O1057">
        <f t="shared" si="146"/>
        <v>7.800793153846154E-3</v>
      </c>
      <c r="P1057">
        <f t="shared" si="142"/>
        <v>18.401983444270115</v>
      </c>
      <c r="R1057">
        <f t="shared" si="147"/>
        <v>-1.9889619383882313E-3</v>
      </c>
    </row>
    <row r="1058" spans="1:18" x14ac:dyDescent="0.2">
      <c r="A1058" t="s">
        <v>1069</v>
      </c>
      <c r="B1058">
        <v>5.6971625399999999</v>
      </c>
      <c r="C1058">
        <v>0.24174693</v>
      </c>
      <c r="D1058">
        <v>5.8448701999999999</v>
      </c>
      <c r="E1058">
        <v>0.35558118</v>
      </c>
      <c r="F1058">
        <v>3.3341123100000001</v>
      </c>
      <c r="G1058">
        <v>1.31307638</v>
      </c>
      <c r="H1058">
        <v>2.6788601399999998</v>
      </c>
      <c r="I1058">
        <v>9.4957199999999992E-3</v>
      </c>
      <c r="J1058">
        <v>1</v>
      </c>
      <c r="K1058">
        <v>950049</v>
      </c>
      <c r="L1058">
        <f t="shared" si="143"/>
        <v>1.2823508884615385E-2</v>
      </c>
      <c r="M1058">
        <f t="shared" si="144"/>
        <v>5.0502937692307693E-3</v>
      </c>
      <c r="N1058">
        <f t="shared" si="145"/>
        <v>1.0303308230769231E-2</v>
      </c>
      <c r="O1058">
        <f t="shared" si="146"/>
        <v>7.6768009999999996E-3</v>
      </c>
      <c r="P1058">
        <f t="shared" si="142"/>
        <v>13.680077826414367</v>
      </c>
      <c r="R1058">
        <f t="shared" si="147"/>
        <v>-1.5368510201814432E-3</v>
      </c>
    </row>
    <row r="1059" spans="1:18" x14ac:dyDescent="0.2">
      <c r="A1059" t="s">
        <v>1070</v>
      </c>
      <c r="B1059">
        <v>5.6442163799999996</v>
      </c>
      <c r="C1059">
        <v>0.16675388999999999</v>
      </c>
      <c r="D1059">
        <v>5.7855002400000002</v>
      </c>
      <c r="E1059">
        <v>0.47410824000000001</v>
      </c>
      <c r="F1059">
        <v>3.3211997700000002</v>
      </c>
      <c r="G1059">
        <v>1.2991486800000001</v>
      </c>
      <c r="H1059">
        <v>2.6236454199999999</v>
      </c>
      <c r="I1059">
        <v>9.3131099999999994E-3</v>
      </c>
      <c r="J1059">
        <v>1</v>
      </c>
      <c r="K1059">
        <v>950049</v>
      </c>
      <c r="L1059">
        <f t="shared" si="143"/>
        <v>1.277384526923077E-2</v>
      </c>
      <c r="M1059">
        <f t="shared" si="144"/>
        <v>4.9967256923076925E-3</v>
      </c>
      <c r="N1059">
        <f t="shared" si="145"/>
        <v>1.0090943923076922E-2</v>
      </c>
      <c r="O1059">
        <f t="shared" si="146"/>
        <v>7.5438348076923073E-3</v>
      </c>
      <c r="P1059">
        <f t="shared" si="142"/>
        <v>9.436339866062994</v>
      </c>
      <c r="R1059">
        <f t="shared" si="147"/>
        <v>-9.8486807051827358E-4</v>
      </c>
    </row>
    <row r="1060" spans="1:18" x14ac:dyDescent="0.2">
      <c r="A1060" t="s">
        <v>1071</v>
      </c>
      <c r="B1060">
        <v>5.5943847</v>
      </c>
      <c r="C1060">
        <v>9.9946709999999994E-2</v>
      </c>
      <c r="D1060">
        <v>5.7307365700000004</v>
      </c>
      <c r="E1060">
        <v>0.73091687000000005</v>
      </c>
      <c r="F1060">
        <v>3.3038780700000001</v>
      </c>
      <c r="G1060">
        <v>1.28426982</v>
      </c>
      <c r="H1060">
        <v>2.5706571</v>
      </c>
      <c r="I1060">
        <v>9.4957199999999992E-3</v>
      </c>
      <c r="J1060">
        <v>1</v>
      </c>
      <c r="K1060">
        <v>950049</v>
      </c>
      <c r="L1060">
        <f t="shared" si="143"/>
        <v>1.2707223346153847E-2</v>
      </c>
      <c r="M1060">
        <f t="shared" si="144"/>
        <v>4.9394993076923074E-3</v>
      </c>
      <c r="N1060">
        <f t="shared" si="145"/>
        <v>9.8871426923076919E-3</v>
      </c>
      <c r="O1060">
        <f t="shared" si="146"/>
        <v>7.4133210000000005E-3</v>
      </c>
      <c r="P1060">
        <f t="shared" si="142"/>
        <v>5.6558268239189919</v>
      </c>
      <c r="R1060">
        <f t="shared" si="147"/>
        <v>-4.0916052965020601E-4</v>
      </c>
    </row>
    <row r="1061" spans="1:18" x14ac:dyDescent="0.2">
      <c r="A1061" t="s">
        <v>1072</v>
      </c>
      <c r="B1061">
        <v>5.5523392200000004</v>
      </c>
      <c r="C1061">
        <v>5.2811999999999998E-2</v>
      </c>
      <c r="D1061">
        <v>5.6887681499999996</v>
      </c>
      <c r="E1061">
        <v>1.20502511</v>
      </c>
      <c r="F1061">
        <v>3.2879735999999999</v>
      </c>
      <c r="G1061">
        <v>1.27305972</v>
      </c>
      <c r="H1061">
        <v>2.5326413200000002</v>
      </c>
      <c r="I1061">
        <v>9.4957199999999992E-3</v>
      </c>
      <c r="J1061">
        <v>1</v>
      </c>
      <c r="K1061">
        <v>950049</v>
      </c>
      <c r="L1061">
        <f t="shared" si="143"/>
        <v>1.2646052307692307E-2</v>
      </c>
      <c r="M1061">
        <f t="shared" si="144"/>
        <v>4.8963835384615382E-3</v>
      </c>
      <c r="N1061">
        <f t="shared" si="145"/>
        <v>9.740928153846154E-3</v>
      </c>
      <c r="O1061">
        <f t="shared" si="146"/>
        <v>7.3186558461538469E-3</v>
      </c>
      <c r="P1061">
        <f t="shared" si="142"/>
        <v>2.9885478594023738</v>
      </c>
      <c r="R1061">
        <f t="shared" si="147"/>
        <v>-7.5330687937843856E-5</v>
      </c>
    </row>
    <row r="1062" spans="1:18" x14ac:dyDescent="0.2">
      <c r="A1062" t="s">
        <v>1073</v>
      </c>
      <c r="B1062">
        <v>5.5411789999999996</v>
      </c>
      <c r="C1062">
        <v>4.9907340000000001E-2</v>
      </c>
      <c r="D1062">
        <v>5.6821146200000001</v>
      </c>
      <c r="E1062">
        <v>1.20502511</v>
      </c>
      <c r="F1062">
        <v>3.26734503</v>
      </c>
      <c r="G1062">
        <v>1.2699344800000001</v>
      </c>
      <c r="H1062">
        <v>2.5222885599999998</v>
      </c>
      <c r="I1062">
        <v>9.8609400000000003E-3</v>
      </c>
      <c r="J1062">
        <v>1</v>
      </c>
      <c r="K1062">
        <v>950049</v>
      </c>
      <c r="L1062">
        <f t="shared" si="143"/>
        <v>1.2566711653846154E-2</v>
      </c>
      <c r="M1062">
        <f t="shared" si="144"/>
        <v>4.8843633846153848E-3</v>
      </c>
      <c r="N1062">
        <f t="shared" si="145"/>
        <v>9.7011098461538461E-3</v>
      </c>
      <c r="O1062">
        <f t="shared" si="146"/>
        <v>7.292736615384615E-3</v>
      </c>
      <c r="P1062">
        <f t="shared" si="142"/>
        <v>2.8241777271352433</v>
      </c>
      <c r="R1062">
        <f t="shared" si="147"/>
        <v>1.7123075767732149E-4</v>
      </c>
    </row>
    <row r="1063" spans="1:18" x14ac:dyDescent="0.2">
      <c r="A1063" t="s">
        <v>1074</v>
      </c>
      <c r="B1063">
        <v>5.5570109399999996</v>
      </c>
      <c r="C1063">
        <v>0.10641618</v>
      </c>
      <c r="D1063">
        <v>5.7025870200000002</v>
      </c>
      <c r="E1063">
        <v>1.1457615800000001</v>
      </c>
      <c r="F1063">
        <v>3.24718887</v>
      </c>
      <c r="G1063">
        <v>1.2695268399999999</v>
      </c>
      <c r="H1063">
        <v>2.5428270999999998</v>
      </c>
      <c r="I1063">
        <v>9.6783300000000006E-3</v>
      </c>
      <c r="J1063">
        <v>1</v>
      </c>
      <c r="K1063">
        <v>950049</v>
      </c>
      <c r="L1063">
        <f t="shared" si="143"/>
        <v>1.2489187961538462E-2</v>
      </c>
      <c r="M1063">
        <f t="shared" si="144"/>
        <v>4.882795538461538E-3</v>
      </c>
      <c r="N1063">
        <f t="shared" si="145"/>
        <v>9.7801042307692296E-3</v>
      </c>
      <c r="O1063">
        <f t="shared" si="146"/>
        <v>7.3314498846153838E-3</v>
      </c>
      <c r="P1063">
        <f t="shared" si="142"/>
        <v>6.0219239366957833</v>
      </c>
      <c r="R1063">
        <f t="shared" si="147"/>
        <v>7.9420493183115994E-4</v>
      </c>
    </row>
    <row r="1064" spans="1:18" x14ac:dyDescent="0.2">
      <c r="A1064" t="s">
        <v>1075</v>
      </c>
      <c r="B1064">
        <v>5.5967205599999996</v>
      </c>
      <c r="C1064">
        <v>0.18853884000000001</v>
      </c>
      <c r="D1064">
        <v>5.7414845799999998</v>
      </c>
      <c r="E1064">
        <v>1.0272345199999999</v>
      </c>
      <c r="F1064">
        <v>3.23663838</v>
      </c>
      <c r="G1064">
        <v>1.2757093799999999</v>
      </c>
      <c r="H1064">
        <v>2.5861305799999998</v>
      </c>
      <c r="I1064">
        <v>9.1304999999999997E-3</v>
      </c>
      <c r="J1064">
        <v>1</v>
      </c>
      <c r="K1064">
        <v>950050</v>
      </c>
      <c r="L1064">
        <f t="shared" si="143"/>
        <v>1.2448609153846154E-2</v>
      </c>
      <c r="M1064">
        <f t="shared" si="144"/>
        <v>4.9065745384615379E-3</v>
      </c>
      <c r="N1064">
        <f t="shared" si="145"/>
        <v>9.9466560769230772E-3</v>
      </c>
      <c r="O1064">
        <f t="shared" si="146"/>
        <v>7.4266153076923075E-3</v>
      </c>
      <c r="P1064">
        <f t="shared" si="142"/>
        <v>10.669115858066476</v>
      </c>
      <c r="Q1064">
        <f t="shared" ref="Q1064" si="149">ABS(0.5*(SUMPRODUCT(O1064:O1082,P1065:P1083)+O1083*P1064-(SUMPRODUCT(O1065:O1083,P1064:P1082)+O1064*P1083)))</f>
        <v>5.1647485428216733E-3</v>
      </c>
      <c r="R1064">
        <f t="shared" si="147"/>
        <v>1.8433592978767351E-3</v>
      </c>
    </row>
    <row r="1065" spans="1:18" x14ac:dyDescent="0.2">
      <c r="A1065" t="s">
        <v>1076</v>
      </c>
      <c r="B1065">
        <v>5.6481094799999996</v>
      </c>
      <c r="C1065">
        <v>0.28492074000000001</v>
      </c>
      <c r="D1065">
        <v>5.8023899700000001</v>
      </c>
      <c r="E1065">
        <v>0.79018040000000001</v>
      </c>
      <c r="F1065">
        <v>3.2312843999999998</v>
      </c>
      <c r="G1065">
        <v>1.29004472</v>
      </c>
      <c r="H1065">
        <v>2.6433490599999998</v>
      </c>
      <c r="I1065">
        <v>9.3131099999999994E-3</v>
      </c>
      <c r="J1065">
        <v>1</v>
      </c>
      <c r="K1065">
        <v>950050</v>
      </c>
      <c r="L1065">
        <f t="shared" si="143"/>
        <v>1.2428016923076922E-2</v>
      </c>
      <c r="M1065">
        <f t="shared" si="144"/>
        <v>4.9617104615384613E-3</v>
      </c>
      <c r="N1065">
        <f t="shared" si="145"/>
        <v>1.0166727153846153E-2</v>
      </c>
      <c r="O1065">
        <f t="shared" si="146"/>
        <v>7.5642188076923073E-3</v>
      </c>
      <c r="P1065">
        <f t="shared" si="142"/>
        <v>16.123215701475807</v>
      </c>
      <c r="R1065">
        <f t="shared" si="147"/>
        <v>2.9239853476265374E-3</v>
      </c>
    </row>
    <row r="1066" spans="1:18" x14ac:dyDescent="0.2">
      <c r="A1066" t="s">
        <v>1077</v>
      </c>
      <c r="B1066">
        <v>5.7083227599999997</v>
      </c>
      <c r="C1066">
        <v>0.39569390999999998</v>
      </c>
      <c r="D1066">
        <v>5.8679016500000003</v>
      </c>
      <c r="E1066">
        <v>0.53337177000000002</v>
      </c>
      <c r="F1066">
        <v>3.2289223499999999</v>
      </c>
      <c r="G1066">
        <v>1.30560298</v>
      </c>
      <c r="H1066">
        <v>2.7067458000000002</v>
      </c>
      <c r="I1066">
        <v>9.6783300000000006E-3</v>
      </c>
      <c r="J1066">
        <v>1</v>
      </c>
      <c r="K1066">
        <v>950050</v>
      </c>
      <c r="L1066">
        <f t="shared" si="143"/>
        <v>1.2418932115384616E-2</v>
      </c>
      <c r="M1066">
        <f t="shared" si="144"/>
        <v>5.0215499230769232E-3</v>
      </c>
      <c r="N1066">
        <f t="shared" si="145"/>
        <v>1.041056076923077E-2</v>
      </c>
      <c r="O1066">
        <f t="shared" si="146"/>
        <v>7.7160553461538463E-3</v>
      </c>
      <c r="P1066">
        <f t="shared" si="142"/>
        <v>22.391694836572285</v>
      </c>
      <c r="R1066">
        <f t="shared" si="147"/>
        <v>3.8441356454167841E-3</v>
      </c>
    </row>
    <row r="1067" spans="1:18" x14ac:dyDescent="0.2">
      <c r="A1067" t="s">
        <v>1078</v>
      </c>
      <c r="B1067">
        <v>5.7716505199999997</v>
      </c>
      <c r="C1067">
        <v>0.52944029999999997</v>
      </c>
      <c r="D1067">
        <v>5.9416022899999996</v>
      </c>
      <c r="E1067">
        <v>0.53337177000000002</v>
      </c>
      <c r="F1067">
        <v>3.2355360900000001</v>
      </c>
      <c r="G1067">
        <v>1.3194627400000001</v>
      </c>
      <c r="H1067">
        <v>2.7692519799999999</v>
      </c>
      <c r="I1067">
        <v>9.4957199999999992E-3</v>
      </c>
      <c r="J1067">
        <v>1</v>
      </c>
      <c r="K1067">
        <v>950050</v>
      </c>
      <c r="L1067">
        <f t="shared" si="143"/>
        <v>1.2444369576923077E-2</v>
      </c>
      <c r="M1067">
        <f t="shared" si="144"/>
        <v>5.0748566923076929E-3</v>
      </c>
      <c r="N1067">
        <f t="shared" si="145"/>
        <v>1.0650969153846154E-2</v>
      </c>
      <c r="O1067">
        <f t="shared" si="146"/>
        <v>7.8629129230769236E-3</v>
      </c>
      <c r="P1067">
        <f t="shared" si="142"/>
        <v>29.960192290508797</v>
      </c>
      <c r="R1067">
        <f t="shared" si="147"/>
        <v>4.4505312271936612E-3</v>
      </c>
    </row>
    <row r="1068" spans="1:18" x14ac:dyDescent="0.2">
      <c r="A1068" t="s">
        <v>1079</v>
      </c>
      <c r="B1068">
        <v>5.8334210400000002</v>
      </c>
      <c r="C1068">
        <v>0.70952921999999996</v>
      </c>
      <c r="D1068">
        <v>6.01018483</v>
      </c>
      <c r="E1068">
        <v>0.53337177000000002</v>
      </c>
      <c r="F1068">
        <v>3.2504957399999999</v>
      </c>
      <c r="G1068">
        <v>1.3302651999999999</v>
      </c>
      <c r="H1068">
        <v>2.8244666999999999</v>
      </c>
      <c r="I1068">
        <v>9.4957199999999992E-3</v>
      </c>
      <c r="J1068">
        <v>1</v>
      </c>
      <c r="K1068">
        <v>950050</v>
      </c>
      <c r="L1068">
        <f t="shared" si="143"/>
        <v>1.2501906692307692E-2</v>
      </c>
      <c r="M1068">
        <f t="shared" si="144"/>
        <v>5.1164046153846154E-3</v>
      </c>
      <c r="N1068">
        <f t="shared" si="145"/>
        <v>1.0863333461538461E-2</v>
      </c>
      <c r="O1068">
        <f t="shared" si="146"/>
        <v>7.9898690384615379E-3</v>
      </c>
      <c r="P1068">
        <f t="shared" si="142"/>
        <v>40.15114049107089</v>
      </c>
      <c r="R1068">
        <f t="shared" si="147"/>
        <v>2.7038760807892529E-3</v>
      </c>
    </row>
    <row r="1069" spans="1:18" x14ac:dyDescent="0.2">
      <c r="A1069" t="s">
        <v>1080</v>
      </c>
      <c r="B1069">
        <v>5.8707947999999996</v>
      </c>
      <c r="C1069">
        <v>0.82597967999999999</v>
      </c>
      <c r="D1069">
        <v>6.0444760999999998</v>
      </c>
      <c r="E1069">
        <v>0.53337177000000002</v>
      </c>
      <c r="F1069">
        <v>3.2654553900000001</v>
      </c>
      <c r="G1069">
        <v>1.33563246</v>
      </c>
      <c r="H1069">
        <v>2.8514618</v>
      </c>
      <c r="I1069">
        <v>9.4957199999999992E-3</v>
      </c>
      <c r="J1069">
        <v>1</v>
      </c>
      <c r="K1069">
        <v>950050</v>
      </c>
      <c r="L1069">
        <f t="shared" si="143"/>
        <v>1.2559443807692307E-2</v>
      </c>
      <c r="M1069">
        <f t="shared" si="144"/>
        <v>5.1370479230769235E-3</v>
      </c>
      <c r="N1069">
        <f t="shared" si="145"/>
        <v>1.0967160769230769E-2</v>
      </c>
      <c r="O1069">
        <f t="shared" si="146"/>
        <v>8.0521043461538461E-3</v>
      </c>
      <c r="P1069">
        <f t="shared" si="142"/>
        <v>46.74088852105313</v>
      </c>
      <c r="R1069">
        <f t="shared" si="147"/>
        <v>8.935209969762409E-4</v>
      </c>
    </row>
    <row r="1070" spans="1:18" x14ac:dyDescent="0.2">
      <c r="A1070" t="s">
        <v>1081</v>
      </c>
      <c r="B1070">
        <v>5.8824740999999996</v>
      </c>
      <c r="C1070">
        <v>0.85172552999999995</v>
      </c>
      <c r="D1070">
        <v>6.0526650599999998</v>
      </c>
      <c r="E1070">
        <v>0.47410824000000001</v>
      </c>
      <c r="F1070">
        <v>3.2788403399999999</v>
      </c>
      <c r="G1070">
        <v>1.33712714</v>
      </c>
      <c r="H1070">
        <v>2.8597551399999999</v>
      </c>
      <c r="I1070">
        <v>9.4957199999999992E-3</v>
      </c>
      <c r="J1070">
        <v>1</v>
      </c>
      <c r="K1070">
        <v>950050</v>
      </c>
      <c r="L1070">
        <f t="shared" si="143"/>
        <v>1.2610924384615384E-2</v>
      </c>
      <c r="M1070">
        <f t="shared" si="144"/>
        <v>5.1427966923076919E-3</v>
      </c>
      <c r="N1070">
        <f t="shared" si="145"/>
        <v>1.0999058230769231E-2</v>
      </c>
      <c r="O1070">
        <f t="shared" si="146"/>
        <v>8.0709274615384605E-3</v>
      </c>
      <c r="P1070">
        <f t="shared" si="142"/>
        <v>48.197805602511785</v>
      </c>
      <c r="R1070">
        <f t="shared" si="147"/>
        <v>2.4091608445599017E-4</v>
      </c>
    </row>
    <row r="1071" spans="1:18" x14ac:dyDescent="0.2">
      <c r="A1071" t="s">
        <v>1082</v>
      </c>
      <c r="B1071">
        <v>5.8824740999999996</v>
      </c>
      <c r="C1071">
        <v>0.85304583</v>
      </c>
      <c r="D1071">
        <v>6.0511296300000001</v>
      </c>
      <c r="E1071">
        <v>0.47410824000000001</v>
      </c>
      <c r="F1071">
        <v>3.29710686</v>
      </c>
      <c r="G1071">
        <v>1.3373309600000001</v>
      </c>
      <c r="H1071">
        <v>2.8621485199999999</v>
      </c>
      <c r="I1071">
        <v>9.4957199999999992E-3</v>
      </c>
      <c r="J1071">
        <v>1</v>
      </c>
      <c r="K1071">
        <v>950050</v>
      </c>
      <c r="L1071">
        <f t="shared" si="143"/>
        <v>1.268118023076923E-2</v>
      </c>
      <c r="M1071">
        <f t="shared" si="144"/>
        <v>5.1435806153846157E-3</v>
      </c>
      <c r="N1071">
        <f t="shared" si="145"/>
        <v>1.1008263538461538E-2</v>
      </c>
      <c r="O1071">
        <f t="shared" si="146"/>
        <v>8.0759220769230766E-3</v>
      </c>
      <c r="P1071">
        <f t="shared" si="142"/>
        <v>48.272519298996841</v>
      </c>
      <c r="R1071">
        <f t="shared" si="147"/>
        <v>-1.0311936687045001E-4</v>
      </c>
    </row>
    <row r="1072" spans="1:18" x14ac:dyDescent="0.2">
      <c r="A1072" t="s">
        <v>1083</v>
      </c>
      <c r="B1072">
        <v>5.8770237600000002</v>
      </c>
      <c r="C1072">
        <v>0.82109456999999997</v>
      </c>
      <c r="D1072">
        <v>6.0460115300000004</v>
      </c>
      <c r="E1072">
        <v>0.47410824000000001</v>
      </c>
      <c r="F1072">
        <v>3.3101768699999998</v>
      </c>
      <c r="G1072">
        <v>1.3375347799999999</v>
      </c>
      <c r="H1072">
        <v>2.86081268</v>
      </c>
      <c r="I1072">
        <v>9.4957199999999992E-3</v>
      </c>
      <c r="J1072">
        <v>1</v>
      </c>
      <c r="K1072">
        <v>950050</v>
      </c>
      <c r="L1072">
        <f t="shared" si="143"/>
        <v>1.2731449499999999E-2</v>
      </c>
      <c r="M1072">
        <f t="shared" si="144"/>
        <v>5.1443645384615377E-3</v>
      </c>
      <c r="N1072">
        <f t="shared" si="145"/>
        <v>1.1003125692307693E-2</v>
      </c>
      <c r="O1072">
        <f t="shared" si="146"/>
        <v>8.0737451153846153E-3</v>
      </c>
      <c r="P1072">
        <f t="shared" si="142"/>
        <v>46.464447844058405</v>
      </c>
      <c r="R1072">
        <f t="shared" si="147"/>
        <v>-1.0446633527618201E-3</v>
      </c>
    </row>
    <row r="1073" spans="1:19" x14ac:dyDescent="0.2">
      <c r="A1073" t="s">
        <v>1084</v>
      </c>
      <c r="B1073">
        <v>5.8611918200000002</v>
      </c>
      <c r="C1073">
        <v>0.70517222999999996</v>
      </c>
      <c r="D1073">
        <v>6.0337280900000003</v>
      </c>
      <c r="E1073">
        <v>0.47410824000000001</v>
      </c>
      <c r="F1073">
        <v>3.3202549499999998</v>
      </c>
      <c r="G1073">
        <v>1.3375347799999999</v>
      </c>
      <c r="H1073">
        <v>2.84823352</v>
      </c>
      <c r="I1073">
        <v>9.8609400000000003E-3</v>
      </c>
      <c r="J1073">
        <v>1</v>
      </c>
      <c r="K1073">
        <v>950050</v>
      </c>
      <c r="L1073">
        <f t="shared" si="143"/>
        <v>1.2770211346153845E-2</v>
      </c>
      <c r="M1073">
        <f t="shared" si="144"/>
        <v>5.1443645384615377E-3</v>
      </c>
      <c r="N1073">
        <f t="shared" si="145"/>
        <v>1.0954744307692308E-2</v>
      </c>
      <c r="O1073">
        <f t="shared" si="146"/>
        <v>8.0495544230769212E-3</v>
      </c>
      <c r="P1073">
        <f t="shared" si="142"/>
        <v>39.904585292670191</v>
      </c>
      <c r="R1073">
        <f t="shared" si="147"/>
        <v>-1.0226411420108479E-3</v>
      </c>
      <c r="S1073">
        <f>ABS(SUMIFS($R:$R,$K:$K,K1073))</f>
        <v>5.1469239864794392E-3</v>
      </c>
    </row>
    <row r="1074" spans="1:19" x14ac:dyDescent="0.2">
      <c r="A1074" t="s">
        <v>1085</v>
      </c>
      <c r="B1074">
        <v>5.8461385000000003</v>
      </c>
      <c r="C1074">
        <v>0.61209108000000001</v>
      </c>
      <c r="D1074">
        <v>6.0117202599999997</v>
      </c>
      <c r="E1074">
        <v>0.47410824000000001</v>
      </c>
      <c r="F1074">
        <v>3.3289157999999999</v>
      </c>
      <c r="G1074">
        <v>1.3377386</v>
      </c>
      <c r="H1074">
        <v>2.8337619200000002</v>
      </c>
      <c r="I1074">
        <v>9.6783300000000006E-3</v>
      </c>
      <c r="J1074">
        <v>1</v>
      </c>
      <c r="K1074">
        <v>950050</v>
      </c>
      <c r="L1074">
        <f t="shared" si="143"/>
        <v>1.2803522307692307E-2</v>
      </c>
      <c r="M1074">
        <f t="shared" si="144"/>
        <v>5.1451484615384615E-3</v>
      </c>
      <c r="N1074">
        <f t="shared" si="145"/>
        <v>1.0899084307692309E-2</v>
      </c>
      <c r="O1074">
        <f t="shared" si="146"/>
        <v>8.0221163846153857E-3</v>
      </c>
      <c r="P1074">
        <f t="shared" si="142"/>
        <v>34.637269690473516</v>
      </c>
      <c r="R1074">
        <f t="shared" si="147"/>
        <v>-1.2918497791664374E-3</v>
      </c>
    </row>
    <row r="1075" spans="1:19" x14ac:dyDescent="0.2">
      <c r="A1075" t="s">
        <v>1086</v>
      </c>
      <c r="B1075">
        <v>5.8279706999999998</v>
      </c>
      <c r="C1075">
        <v>0.52138647000000005</v>
      </c>
      <c r="D1075">
        <v>5.9881770000000003</v>
      </c>
      <c r="E1075">
        <v>0.47410824000000001</v>
      </c>
      <c r="F1075">
        <v>3.3380490599999999</v>
      </c>
      <c r="G1075">
        <v>1.3373309600000001</v>
      </c>
      <c r="H1075">
        <v>2.8132233800000002</v>
      </c>
      <c r="I1075">
        <v>9.8609400000000003E-3</v>
      </c>
      <c r="J1075">
        <v>1</v>
      </c>
      <c r="K1075">
        <v>950050</v>
      </c>
      <c r="L1075">
        <f t="shared" si="143"/>
        <v>1.283865023076923E-2</v>
      </c>
      <c r="M1075">
        <f t="shared" si="144"/>
        <v>5.1435806153846157E-3</v>
      </c>
      <c r="N1075">
        <f t="shared" si="145"/>
        <v>1.0820089923076924E-2</v>
      </c>
      <c r="O1075">
        <f t="shared" si="146"/>
        <v>7.9818352692307692E-3</v>
      </c>
      <c r="P1075">
        <f t="shared" si="142"/>
        <v>29.50443874194994</v>
      </c>
      <c r="R1075">
        <f t="shared" si="147"/>
        <v>-2.0259830945441293E-3</v>
      </c>
    </row>
    <row r="1076" spans="1:19" x14ac:dyDescent="0.2">
      <c r="A1076" t="s">
        <v>1087</v>
      </c>
      <c r="B1076">
        <v>5.7913755599999996</v>
      </c>
      <c r="C1076">
        <v>0.42064758000000002</v>
      </c>
      <c r="D1076">
        <v>5.9477440100000001</v>
      </c>
      <c r="E1076">
        <v>0.47410824000000001</v>
      </c>
      <c r="F1076">
        <v>3.3408835200000002</v>
      </c>
      <c r="G1076">
        <v>1.3329827999999999</v>
      </c>
      <c r="H1076">
        <v>2.77804626</v>
      </c>
      <c r="I1076">
        <v>9.6783300000000006E-3</v>
      </c>
      <c r="J1076">
        <v>1</v>
      </c>
      <c r="K1076">
        <v>950050</v>
      </c>
      <c r="L1076">
        <f t="shared" si="143"/>
        <v>1.2849552E-2</v>
      </c>
      <c r="M1076">
        <f t="shared" si="144"/>
        <v>5.126856923076923E-3</v>
      </c>
      <c r="N1076">
        <f t="shared" si="145"/>
        <v>1.0684793307692307E-2</v>
      </c>
      <c r="O1076">
        <f t="shared" si="146"/>
        <v>7.9058251153846151E-3</v>
      </c>
      <c r="P1076">
        <f t="shared" si="142"/>
        <v>23.80378370013991</v>
      </c>
      <c r="R1076">
        <f t="shared" si="147"/>
        <v>-2.2161585025079582E-3</v>
      </c>
    </row>
    <row r="1077" spans="1:19" x14ac:dyDescent="0.2">
      <c r="A1077" t="s">
        <v>1088</v>
      </c>
      <c r="B1077">
        <v>5.7495896200000001</v>
      </c>
      <c r="C1077">
        <v>0.32558598</v>
      </c>
      <c r="D1077">
        <v>5.8975866300000002</v>
      </c>
      <c r="E1077">
        <v>0.47410824000000001</v>
      </c>
      <c r="F1077">
        <v>3.3380490599999999</v>
      </c>
      <c r="G1077">
        <v>1.3251017599999999</v>
      </c>
      <c r="H1077">
        <v>2.7313475199999999</v>
      </c>
      <c r="I1077">
        <v>9.6783300000000006E-3</v>
      </c>
      <c r="J1077">
        <v>1</v>
      </c>
      <c r="K1077">
        <v>950050</v>
      </c>
      <c r="L1077">
        <f t="shared" si="143"/>
        <v>1.283865023076923E-2</v>
      </c>
      <c r="M1077">
        <f t="shared" si="144"/>
        <v>5.0965452307692302E-3</v>
      </c>
      <c r="N1077">
        <f t="shared" si="145"/>
        <v>1.0505182769230769E-2</v>
      </c>
      <c r="O1077">
        <f t="shared" si="146"/>
        <v>7.8008639999999994E-3</v>
      </c>
      <c r="P1077">
        <f t="shared" si="142"/>
        <v>18.424397553215634</v>
      </c>
      <c r="R1077">
        <f t="shared" si="147"/>
        <v>-2.0004004271566463E-3</v>
      </c>
    </row>
    <row r="1078" spans="1:19" x14ac:dyDescent="0.2">
      <c r="A1078" t="s">
        <v>1089</v>
      </c>
      <c r="B1078">
        <v>5.6987197800000002</v>
      </c>
      <c r="C1078">
        <v>0.24135084000000001</v>
      </c>
      <c r="D1078">
        <v>5.84026391</v>
      </c>
      <c r="E1078">
        <v>0.47410824000000001</v>
      </c>
      <c r="F1078">
        <v>3.3331674900000001</v>
      </c>
      <c r="G1078">
        <v>1.31307638</v>
      </c>
      <c r="H1078">
        <v>2.67852618</v>
      </c>
      <c r="I1078">
        <v>9.6783300000000006E-3</v>
      </c>
      <c r="J1078">
        <v>1</v>
      </c>
      <c r="K1078">
        <v>950050</v>
      </c>
      <c r="L1078">
        <f t="shared" si="143"/>
        <v>1.2819874961538462E-2</v>
      </c>
      <c r="M1078">
        <f t="shared" si="144"/>
        <v>5.0502937692307693E-3</v>
      </c>
      <c r="N1078">
        <f t="shared" si="145"/>
        <v>1.030202376923077E-2</v>
      </c>
      <c r="O1078">
        <f t="shared" si="146"/>
        <v>7.6761587692307691E-3</v>
      </c>
      <c r="P1078">
        <f t="shared" si="142"/>
        <v>13.65766371746885</v>
      </c>
      <c r="R1078">
        <f t="shared" si="147"/>
        <v>-1.5324710015651019E-3</v>
      </c>
    </row>
    <row r="1079" spans="1:19" x14ac:dyDescent="0.2">
      <c r="A1079" t="s">
        <v>1090</v>
      </c>
      <c r="B1079">
        <v>5.6481094799999996</v>
      </c>
      <c r="C1079">
        <v>0.16675388999999999</v>
      </c>
      <c r="D1079">
        <v>5.7855002400000002</v>
      </c>
      <c r="E1079">
        <v>0.47410824000000001</v>
      </c>
      <c r="F1079">
        <v>3.3230894100000001</v>
      </c>
      <c r="G1079">
        <v>1.29894486</v>
      </c>
      <c r="H1079">
        <v>2.6236454199999999</v>
      </c>
      <c r="I1079">
        <v>9.6783300000000006E-3</v>
      </c>
      <c r="J1079">
        <v>1</v>
      </c>
      <c r="K1079">
        <v>950050</v>
      </c>
      <c r="L1079">
        <f t="shared" si="143"/>
        <v>1.2781113115384615E-2</v>
      </c>
      <c r="M1079">
        <f t="shared" si="144"/>
        <v>4.9959417692307688E-3</v>
      </c>
      <c r="N1079">
        <f t="shared" si="145"/>
        <v>1.0090943923076922E-2</v>
      </c>
      <c r="O1079">
        <f t="shared" si="146"/>
        <v>7.5434428461538458E-3</v>
      </c>
      <c r="P1079">
        <f t="shared" si="142"/>
        <v>9.436339866062994</v>
      </c>
      <c r="R1079">
        <f t="shared" si="147"/>
        <v>-9.9513382652584997E-4</v>
      </c>
    </row>
    <row r="1080" spans="1:19" x14ac:dyDescent="0.2">
      <c r="A1080" t="s">
        <v>1091</v>
      </c>
      <c r="B1080">
        <v>5.5974991799999998</v>
      </c>
      <c r="C1080">
        <v>0.1003428</v>
      </c>
      <c r="D1080">
        <v>5.7276657100000001</v>
      </c>
      <c r="E1080">
        <v>0.73091687000000005</v>
      </c>
      <c r="F1080">
        <v>3.3043504800000001</v>
      </c>
      <c r="G1080">
        <v>1.28379424</v>
      </c>
      <c r="H1080">
        <v>2.5703231400000002</v>
      </c>
      <c r="I1080">
        <v>9.4957199999999992E-3</v>
      </c>
      <c r="J1080">
        <v>1</v>
      </c>
      <c r="K1080">
        <v>950050</v>
      </c>
      <c r="L1080">
        <f t="shared" si="143"/>
        <v>1.2709040307692309E-2</v>
      </c>
      <c r="M1080">
        <f t="shared" si="144"/>
        <v>4.9376701538461536E-3</v>
      </c>
      <c r="N1080">
        <f t="shared" si="145"/>
        <v>9.885858230769231E-3</v>
      </c>
      <c r="O1080">
        <f t="shared" si="146"/>
        <v>7.4117641923076918E-3</v>
      </c>
      <c r="P1080">
        <f t="shared" si="142"/>
        <v>5.6782409328645098</v>
      </c>
      <c r="R1080">
        <f t="shared" si="147"/>
        <v>-4.038196359997098E-4</v>
      </c>
    </row>
    <row r="1081" spans="1:19" x14ac:dyDescent="0.2">
      <c r="A1081" t="s">
        <v>1092</v>
      </c>
      <c r="B1081">
        <v>5.5538964599999998</v>
      </c>
      <c r="C1081">
        <v>5.2415910000000003E-2</v>
      </c>
      <c r="D1081">
        <v>5.6903035800000001</v>
      </c>
      <c r="E1081">
        <v>1.1457615800000001</v>
      </c>
      <c r="F1081">
        <v>3.28655637</v>
      </c>
      <c r="G1081">
        <v>1.27305972</v>
      </c>
      <c r="H1081">
        <v>2.5324743399999998</v>
      </c>
      <c r="I1081">
        <v>9.6783300000000006E-3</v>
      </c>
      <c r="J1081">
        <v>1</v>
      </c>
      <c r="K1081">
        <v>950050</v>
      </c>
      <c r="L1081">
        <f t="shared" si="143"/>
        <v>1.2640601423076924E-2</v>
      </c>
      <c r="M1081">
        <f t="shared" si="144"/>
        <v>4.8963835384615382E-3</v>
      </c>
      <c r="N1081">
        <f t="shared" si="145"/>
        <v>9.7402859230769218E-3</v>
      </c>
      <c r="O1081">
        <f t="shared" si="146"/>
        <v>7.3183347307692308E-3</v>
      </c>
      <c r="P1081">
        <f t="shared" si="142"/>
        <v>2.9661337504568563</v>
      </c>
      <c r="R1081">
        <f t="shared" si="147"/>
        <v>-7.8754471815306305E-5</v>
      </c>
    </row>
    <row r="1082" spans="1:19" x14ac:dyDescent="0.2">
      <c r="A1082" t="s">
        <v>1093</v>
      </c>
      <c r="B1082">
        <v>5.54273624</v>
      </c>
      <c r="C1082">
        <v>4.9907340000000001E-2</v>
      </c>
      <c r="D1082">
        <v>5.6821146200000001</v>
      </c>
      <c r="E1082">
        <v>1.26428864</v>
      </c>
      <c r="F1082">
        <v>3.26687262</v>
      </c>
      <c r="G1082">
        <v>1.2693230200000001</v>
      </c>
      <c r="H1082">
        <v>2.5220659200000002</v>
      </c>
      <c r="I1082">
        <v>1.004355E-2</v>
      </c>
      <c r="J1082">
        <v>1</v>
      </c>
      <c r="K1082">
        <v>950050</v>
      </c>
      <c r="L1082">
        <f t="shared" si="143"/>
        <v>1.2564894692307692E-2</v>
      </c>
      <c r="M1082">
        <f t="shared" si="144"/>
        <v>4.882011615384616E-3</v>
      </c>
      <c r="N1082">
        <f t="shared" si="145"/>
        <v>9.7002535384615399E-3</v>
      </c>
      <c r="O1082">
        <f t="shared" si="146"/>
        <v>7.2911325769230767E-3</v>
      </c>
      <c r="P1082">
        <f t="shared" si="142"/>
        <v>2.8241777271352433</v>
      </c>
      <c r="R1082">
        <f t="shared" si="147"/>
        <v>1.8138834405720207E-4</v>
      </c>
    </row>
    <row r="1083" spans="1:19" x14ac:dyDescent="0.2">
      <c r="A1083" t="s">
        <v>1094</v>
      </c>
      <c r="B1083">
        <v>5.55856818</v>
      </c>
      <c r="C1083">
        <v>0.10839662999999999</v>
      </c>
      <c r="D1083">
        <v>5.7041224499999998</v>
      </c>
      <c r="E1083">
        <v>1.20502511</v>
      </c>
      <c r="F1083">
        <v>3.24671646</v>
      </c>
      <c r="G1083">
        <v>1.2691192</v>
      </c>
      <c r="H1083">
        <v>2.54332804</v>
      </c>
      <c r="I1083">
        <v>1.004355E-2</v>
      </c>
      <c r="J1083">
        <v>1</v>
      </c>
      <c r="K1083">
        <v>950050</v>
      </c>
      <c r="L1083">
        <f t="shared" si="143"/>
        <v>1.2487371000000001E-2</v>
      </c>
      <c r="M1083">
        <f t="shared" si="144"/>
        <v>4.8812276923076922E-3</v>
      </c>
      <c r="N1083">
        <f t="shared" si="145"/>
        <v>9.7820309230769228E-3</v>
      </c>
      <c r="O1083">
        <f t="shared" si="146"/>
        <v>7.3316293076923075E-3</v>
      </c>
      <c r="P1083">
        <f t="shared" si="142"/>
        <v>6.1339944814233718</v>
      </c>
      <c r="R1083">
        <f t="shared" si="147"/>
        <v>7.8020556301129618E-4</v>
      </c>
    </row>
    <row r="1084" spans="1:19" x14ac:dyDescent="0.2">
      <c r="A1084" t="s">
        <v>1095</v>
      </c>
      <c r="B1084">
        <v>5.5974991799999998</v>
      </c>
      <c r="C1084">
        <v>0.18814275</v>
      </c>
      <c r="D1084">
        <v>5.7384137199999996</v>
      </c>
      <c r="E1084">
        <v>1.1457615800000001</v>
      </c>
      <c r="F1084">
        <v>3.2336464500000002</v>
      </c>
      <c r="G1084">
        <v>1.27550556</v>
      </c>
      <c r="H1084">
        <v>2.5852956800000002</v>
      </c>
      <c r="I1084">
        <v>1.004355E-2</v>
      </c>
      <c r="J1084">
        <v>1</v>
      </c>
      <c r="K1084">
        <v>950051</v>
      </c>
      <c r="L1084">
        <f t="shared" si="143"/>
        <v>1.2437101730769231E-2</v>
      </c>
      <c r="M1084">
        <f t="shared" si="144"/>
        <v>4.9057906153846158E-3</v>
      </c>
      <c r="N1084">
        <f t="shared" si="145"/>
        <v>9.9434449230769231E-3</v>
      </c>
      <c r="O1084">
        <f t="shared" si="146"/>
        <v>7.4246177692307699E-3</v>
      </c>
      <c r="P1084">
        <f t="shared" si="142"/>
        <v>10.646701749120957</v>
      </c>
      <c r="Q1084">
        <f t="shared" ref="Q1084" si="150">ABS(0.5*(SUMPRODUCT(O1084:O1102,P1085:P1103)+O1103*P1084-(SUMPRODUCT(O1085:O1103,P1084:P1102)+O1084*P1103)))</f>
        <v>5.1842780399982136E-3</v>
      </c>
      <c r="R1084">
        <f t="shared" si="147"/>
        <v>1.7959612641761694E-3</v>
      </c>
    </row>
    <row r="1085" spans="1:19" x14ac:dyDescent="0.2">
      <c r="A1085" t="s">
        <v>1096</v>
      </c>
      <c r="B1085">
        <v>5.6488880999999997</v>
      </c>
      <c r="C1085">
        <v>0.28241217000000002</v>
      </c>
      <c r="D1085">
        <v>5.7993191099999999</v>
      </c>
      <c r="E1085">
        <v>1.0272345199999999</v>
      </c>
      <c r="F1085">
        <v>3.2298671699999999</v>
      </c>
      <c r="G1085">
        <v>1.28943326</v>
      </c>
      <c r="H1085">
        <v>2.6415122800000002</v>
      </c>
      <c r="I1085">
        <v>9.8609400000000003E-3</v>
      </c>
      <c r="J1085">
        <v>1</v>
      </c>
      <c r="K1085">
        <v>950051</v>
      </c>
      <c r="L1085">
        <f t="shared" si="143"/>
        <v>1.2422566038461537E-2</v>
      </c>
      <c r="M1085">
        <f t="shared" si="144"/>
        <v>4.9593586923076926E-3</v>
      </c>
      <c r="N1085">
        <f t="shared" si="145"/>
        <v>1.0159662615384616E-2</v>
      </c>
      <c r="O1085">
        <f t="shared" si="146"/>
        <v>7.5595106538461545E-3</v>
      </c>
      <c r="P1085">
        <f t="shared" si="142"/>
        <v>15.981259678154196</v>
      </c>
      <c r="R1085">
        <f t="shared" si="147"/>
        <v>2.911594089972617E-3</v>
      </c>
    </row>
    <row r="1086" spans="1:19" x14ac:dyDescent="0.2">
      <c r="A1086" t="s">
        <v>1097</v>
      </c>
      <c r="B1086">
        <v>5.7083227599999997</v>
      </c>
      <c r="C1086">
        <v>0.39120489000000003</v>
      </c>
      <c r="D1086">
        <v>5.8648307900000001</v>
      </c>
      <c r="E1086">
        <v>0.90870746000000002</v>
      </c>
      <c r="F1086">
        <v>3.2293947599999999</v>
      </c>
      <c r="G1086">
        <v>1.30519534</v>
      </c>
      <c r="H1086">
        <v>2.7051873199999998</v>
      </c>
      <c r="I1086">
        <v>9.8609400000000003E-3</v>
      </c>
      <c r="J1086">
        <v>1</v>
      </c>
      <c r="K1086">
        <v>950051</v>
      </c>
      <c r="L1086">
        <f t="shared" si="143"/>
        <v>1.2420749076923077E-2</v>
      </c>
      <c r="M1086">
        <f t="shared" si="144"/>
        <v>5.0199820769230774E-3</v>
      </c>
      <c r="N1086">
        <f t="shared" si="145"/>
        <v>1.0404566615384615E-2</v>
      </c>
      <c r="O1086">
        <f t="shared" si="146"/>
        <v>7.712274346153845E-3</v>
      </c>
      <c r="P1086">
        <f t="shared" si="142"/>
        <v>22.137668268523086</v>
      </c>
      <c r="R1086">
        <f t="shared" si="147"/>
        <v>3.7802230955295648E-3</v>
      </c>
    </row>
    <row r="1087" spans="1:19" x14ac:dyDescent="0.2">
      <c r="A1087" t="s">
        <v>1098</v>
      </c>
      <c r="B1087">
        <v>5.77320776</v>
      </c>
      <c r="C1087">
        <v>0.52455518999999995</v>
      </c>
      <c r="D1087">
        <v>5.93546057</v>
      </c>
      <c r="E1087">
        <v>0.67165333999999999</v>
      </c>
      <c r="F1087">
        <v>3.2331740400000002</v>
      </c>
      <c r="G1087">
        <v>1.3190550999999999</v>
      </c>
      <c r="H1087">
        <v>2.7671925599999998</v>
      </c>
      <c r="I1087">
        <v>9.6783300000000006E-3</v>
      </c>
      <c r="J1087">
        <v>1</v>
      </c>
      <c r="K1087">
        <v>950051</v>
      </c>
      <c r="L1087">
        <f t="shared" si="143"/>
        <v>1.2435284769230771E-2</v>
      </c>
      <c r="M1087">
        <f t="shared" si="144"/>
        <v>5.0732888461538462E-3</v>
      </c>
      <c r="N1087">
        <f t="shared" si="145"/>
        <v>1.0643048307692306E-2</v>
      </c>
      <c r="O1087">
        <f t="shared" si="146"/>
        <v>7.8581685769230757E-3</v>
      </c>
      <c r="P1087">
        <f t="shared" si="142"/>
        <v>29.683751613514076</v>
      </c>
      <c r="R1087">
        <f t="shared" si="147"/>
        <v>4.4495622098034756E-3</v>
      </c>
    </row>
    <row r="1088" spans="1:19" x14ac:dyDescent="0.2">
      <c r="A1088" t="s">
        <v>1099</v>
      </c>
      <c r="B1088">
        <v>5.8341996600000003</v>
      </c>
      <c r="C1088">
        <v>0.70345584000000005</v>
      </c>
      <c r="D1088">
        <v>6.0055785400000001</v>
      </c>
      <c r="E1088">
        <v>0.61238981000000003</v>
      </c>
      <c r="F1088">
        <v>3.24718887</v>
      </c>
      <c r="G1088">
        <v>1.3302651999999999</v>
      </c>
      <c r="H1088">
        <v>2.8225742600000001</v>
      </c>
      <c r="I1088">
        <v>9.4957199999999992E-3</v>
      </c>
      <c r="J1088">
        <v>1</v>
      </c>
      <c r="K1088">
        <v>950051</v>
      </c>
      <c r="L1088">
        <f t="shared" si="143"/>
        <v>1.2489187961538462E-2</v>
      </c>
      <c r="M1088">
        <f t="shared" si="144"/>
        <v>5.1164046153846154E-3</v>
      </c>
      <c r="N1088">
        <f t="shared" si="145"/>
        <v>1.0856054846153847E-2</v>
      </c>
      <c r="O1088">
        <f t="shared" si="146"/>
        <v>7.9862297307692308E-3</v>
      </c>
      <c r="P1088">
        <f t="shared" si="142"/>
        <v>39.807457487239624</v>
      </c>
      <c r="R1088">
        <f t="shared" si="147"/>
        <v>2.8639376825163273E-3</v>
      </c>
    </row>
    <row r="1089" spans="1:19" x14ac:dyDescent="0.2">
      <c r="A1089" t="s">
        <v>1100</v>
      </c>
      <c r="B1089">
        <v>5.8715734199999998</v>
      </c>
      <c r="C1089">
        <v>0.82677186000000003</v>
      </c>
      <c r="D1089">
        <v>6.0414052399999996</v>
      </c>
      <c r="E1089">
        <v>0.61238981000000003</v>
      </c>
      <c r="F1089">
        <v>3.2640381600000001</v>
      </c>
      <c r="G1089">
        <v>1.3361080400000001</v>
      </c>
      <c r="H1089">
        <v>2.8511278400000002</v>
      </c>
      <c r="I1089">
        <v>9.4957199999999992E-3</v>
      </c>
      <c r="J1089">
        <v>1</v>
      </c>
      <c r="K1089">
        <v>950051</v>
      </c>
      <c r="L1089">
        <f t="shared" si="143"/>
        <v>1.2553992923076924E-2</v>
      </c>
      <c r="M1089">
        <f t="shared" si="144"/>
        <v>5.1388770769230773E-3</v>
      </c>
      <c r="N1089">
        <f t="shared" si="145"/>
        <v>1.0965876307692309E-2</v>
      </c>
      <c r="O1089">
        <f t="shared" si="146"/>
        <v>8.0523766923076921E-3</v>
      </c>
      <c r="P1089">
        <f t="shared" si="142"/>
        <v>46.785716738944167</v>
      </c>
      <c r="R1089">
        <f t="shared" si="147"/>
        <v>9.3576518951846784E-4</v>
      </c>
    </row>
    <row r="1090" spans="1:19" x14ac:dyDescent="0.2">
      <c r="A1090" t="s">
        <v>1101</v>
      </c>
      <c r="B1090">
        <v>5.8824740999999996</v>
      </c>
      <c r="C1090">
        <v>0.85581845999999995</v>
      </c>
      <c r="D1090">
        <v>6.0511296300000001</v>
      </c>
      <c r="E1090">
        <v>0.61238981000000003</v>
      </c>
      <c r="F1090">
        <v>3.27742311</v>
      </c>
      <c r="G1090">
        <v>1.3375347799999999</v>
      </c>
      <c r="H1090">
        <v>2.8599221199999998</v>
      </c>
      <c r="I1090">
        <v>9.6783300000000006E-3</v>
      </c>
      <c r="J1090">
        <v>1</v>
      </c>
      <c r="K1090">
        <v>950051</v>
      </c>
      <c r="L1090">
        <f t="shared" si="143"/>
        <v>1.26054735E-2</v>
      </c>
      <c r="M1090">
        <f t="shared" si="144"/>
        <v>5.1443645384615377E-3</v>
      </c>
      <c r="N1090">
        <f t="shared" si="145"/>
        <v>1.0999700461538461E-2</v>
      </c>
      <c r="O1090">
        <f t="shared" si="146"/>
        <v>8.0720324999999996E-3</v>
      </c>
      <c r="P1090">
        <f t="shared" si="142"/>
        <v>48.429418061615465</v>
      </c>
      <c r="R1090">
        <f t="shared" si="147"/>
        <v>2.3867600231579093E-4</v>
      </c>
    </row>
    <row r="1091" spans="1:19" x14ac:dyDescent="0.2">
      <c r="A1091" t="s">
        <v>1102</v>
      </c>
      <c r="B1091">
        <v>5.8850695000000002</v>
      </c>
      <c r="C1091">
        <v>0.85740282000000001</v>
      </c>
      <c r="D1091">
        <v>6.0526650599999998</v>
      </c>
      <c r="E1091">
        <v>0.61238981000000003</v>
      </c>
      <c r="F1091">
        <v>3.2928551700000002</v>
      </c>
      <c r="G1091">
        <v>1.3375347799999999</v>
      </c>
      <c r="H1091">
        <v>2.8624824800000002</v>
      </c>
      <c r="I1091">
        <v>9.6783300000000006E-3</v>
      </c>
      <c r="J1091">
        <v>1</v>
      </c>
      <c r="K1091">
        <v>950051</v>
      </c>
      <c r="L1091">
        <f t="shared" si="143"/>
        <v>1.2664827576923077E-2</v>
      </c>
      <c r="M1091">
        <f t="shared" si="144"/>
        <v>5.1443645384615377E-3</v>
      </c>
      <c r="N1091">
        <f t="shared" si="145"/>
        <v>1.1009548000000001E-2</v>
      </c>
      <c r="O1091">
        <f t="shared" si="146"/>
        <v>8.0769562692307693E-3</v>
      </c>
      <c r="P1091">
        <f t="shared" ref="P1091:P1154" si="151">+C1091*4/(PI()*0.15^2)</f>
        <v>48.51907449739754</v>
      </c>
      <c r="R1091">
        <f t="shared" si="147"/>
        <v>-1.2168599056577342E-4</v>
      </c>
    </row>
    <row r="1092" spans="1:19" x14ac:dyDescent="0.2">
      <c r="A1092" t="s">
        <v>1103</v>
      </c>
      <c r="B1092">
        <v>5.8809168600000001</v>
      </c>
      <c r="C1092">
        <v>0.81673757999999996</v>
      </c>
      <c r="D1092">
        <v>6.0526650599999998</v>
      </c>
      <c r="E1092">
        <v>0.61238981000000003</v>
      </c>
      <c r="F1092">
        <v>3.3086021699999999</v>
      </c>
      <c r="G1092">
        <v>1.3375347799999999</v>
      </c>
      <c r="H1092">
        <v>2.8611466399999999</v>
      </c>
      <c r="I1092">
        <v>9.4957199999999992E-3</v>
      </c>
      <c r="J1092">
        <v>1</v>
      </c>
      <c r="K1092">
        <v>950051</v>
      </c>
      <c r="L1092">
        <f t="shared" ref="L1092:L1155" si="152">+F1092/260</f>
        <v>1.2725392961538462E-2</v>
      </c>
      <c r="M1092">
        <f t="shared" ref="M1092:M1155" si="153">+G1092/260</f>
        <v>5.1443645384615377E-3</v>
      </c>
      <c r="N1092">
        <f t="shared" ref="N1092:N1155" si="154">+H1092/260</f>
        <v>1.1004410153846154E-2</v>
      </c>
      <c r="O1092">
        <f t="shared" ref="O1092:O1155" si="155">(+G1092+H1092)/520</f>
        <v>8.0743873461538457E-3</v>
      </c>
      <c r="P1092">
        <f t="shared" si="151"/>
        <v>46.217892645657713</v>
      </c>
      <c r="R1092">
        <f t="shared" ref="R1092:R1155" si="156">+(P1092+P1093)/2*(O1093-O1092)</f>
        <v>-1.026961863814701E-3</v>
      </c>
    </row>
    <row r="1093" spans="1:19" x14ac:dyDescent="0.2">
      <c r="A1093" t="s">
        <v>1104</v>
      </c>
      <c r="B1093">
        <v>5.8650849200000001</v>
      </c>
      <c r="C1093">
        <v>0.70385193000000001</v>
      </c>
      <c r="D1093">
        <v>6.0321926599999998</v>
      </c>
      <c r="E1093">
        <v>0.61238981000000003</v>
      </c>
      <c r="F1093">
        <v>3.3191526599999999</v>
      </c>
      <c r="G1093">
        <v>1.3375347799999999</v>
      </c>
      <c r="H1093">
        <v>2.8487344600000002</v>
      </c>
      <c r="I1093">
        <v>9.6783300000000006E-3</v>
      </c>
      <c r="J1093">
        <v>1</v>
      </c>
      <c r="K1093">
        <v>950051</v>
      </c>
      <c r="L1093">
        <f t="shared" si="152"/>
        <v>1.2765971769230769E-2</v>
      </c>
      <c r="M1093">
        <f t="shared" si="153"/>
        <v>5.1443645384615377E-3</v>
      </c>
      <c r="N1093">
        <f t="shared" si="154"/>
        <v>1.0956671000000001E-2</v>
      </c>
      <c r="O1093">
        <f t="shared" si="155"/>
        <v>8.0505177692307694E-3</v>
      </c>
      <c r="P1093">
        <f t="shared" si="151"/>
        <v>39.829871596185136</v>
      </c>
      <c r="R1093">
        <f t="shared" si="156"/>
        <v>-1.0435525362469159E-3</v>
      </c>
    </row>
    <row r="1094" spans="1:19" x14ac:dyDescent="0.2">
      <c r="A1094" t="s">
        <v>1105</v>
      </c>
      <c r="B1094">
        <v>5.8469171199999996</v>
      </c>
      <c r="C1094">
        <v>0.61129889999999998</v>
      </c>
      <c r="D1094">
        <v>6.0147911199999999</v>
      </c>
      <c r="E1094">
        <v>0.61238981000000003</v>
      </c>
      <c r="F1094">
        <v>3.3278135099999999</v>
      </c>
      <c r="G1094">
        <v>1.3375347799999999</v>
      </c>
      <c r="H1094">
        <v>2.8341515400000001</v>
      </c>
      <c r="I1094">
        <v>9.6783300000000006E-3</v>
      </c>
      <c r="J1094">
        <v>1</v>
      </c>
      <c r="K1094">
        <v>950051</v>
      </c>
      <c r="L1094">
        <f t="shared" si="152"/>
        <v>1.279928273076923E-2</v>
      </c>
      <c r="M1094">
        <f t="shared" si="153"/>
        <v>5.1443645384615377E-3</v>
      </c>
      <c r="N1094">
        <f t="shared" si="154"/>
        <v>1.0900582846153847E-2</v>
      </c>
      <c r="O1094">
        <f t="shared" si="155"/>
        <v>8.0224736923076925E-3</v>
      </c>
      <c r="P1094">
        <f t="shared" si="151"/>
        <v>34.592441472582479</v>
      </c>
      <c r="R1094">
        <f t="shared" si="156"/>
        <v>-1.2957352263021805E-3</v>
      </c>
      <c r="S1094">
        <f>ABS(SUMIFS($R:$R,$K:$K,K1094))</f>
        <v>5.1724652373350329E-3</v>
      </c>
    </row>
    <row r="1095" spans="1:19" x14ac:dyDescent="0.2">
      <c r="A1095" t="s">
        <v>1106</v>
      </c>
      <c r="B1095">
        <v>5.8264134600000004</v>
      </c>
      <c r="C1095">
        <v>0.52257474000000004</v>
      </c>
      <c r="D1095">
        <v>5.98971243</v>
      </c>
      <c r="E1095">
        <v>0.61238981000000003</v>
      </c>
      <c r="F1095">
        <v>3.3374191799999999</v>
      </c>
      <c r="G1095">
        <v>1.33712714</v>
      </c>
      <c r="H1095">
        <v>2.81355734</v>
      </c>
      <c r="I1095">
        <v>9.4957199999999992E-3</v>
      </c>
      <c r="J1095">
        <v>1</v>
      </c>
      <c r="K1095">
        <v>950051</v>
      </c>
      <c r="L1095">
        <f t="shared" si="152"/>
        <v>1.2836227615384615E-2</v>
      </c>
      <c r="M1095">
        <f t="shared" si="153"/>
        <v>5.1427966923076919E-3</v>
      </c>
      <c r="N1095">
        <f t="shared" si="154"/>
        <v>1.0821374384615385E-2</v>
      </c>
      <c r="O1095">
        <f t="shared" si="155"/>
        <v>7.9820855384615374E-3</v>
      </c>
      <c r="P1095">
        <f t="shared" si="151"/>
        <v>29.571681068786493</v>
      </c>
      <c r="R1095">
        <f t="shared" si="156"/>
        <v>-1.9729639449972353E-3</v>
      </c>
    </row>
    <row r="1096" spans="1:19" x14ac:dyDescent="0.2">
      <c r="A1096" t="s">
        <v>1107</v>
      </c>
      <c r="B1096">
        <v>5.7931923400000001</v>
      </c>
      <c r="C1096">
        <v>0.42183585000000001</v>
      </c>
      <c r="D1096">
        <v>5.9462085800000004</v>
      </c>
      <c r="E1096">
        <v>0.61238981000000003</v>
      </c>
      <c r="F1096">
        <v>3.3427731600000001</v>
      </c>
      <c r="G1096">
        <v>1.33318662</v>
      </c>
      <c r="H1096">
        <v>2.7791038000000001</v>
      </c>
      <c r="I1096">
        <v>9.4957199999999992E-3</v>
      </c>
      <c r="J1096">
        <v>1</v>
      </c>
      <c r="K1096">
        <v>950051</v>
      </c>
      <c r="L1096">
        <f t="shared" si="152"/>
        <v>1.2856819846153847E-2</v>
      </c>
      <c r="M1096">
        <f t="shared" si="153"/>
        <v>5.1276408461538459E-3</v>
      </c>
      <c r="N1096">
        <f t="shared" si="154"/>
        <v>1.0688860769230769E-2</v>
      </c>
      <c r="O1096">
        <f t="shared" si="155"/>
        <v>7.9082508076923075E-3</v>
      </c>
      <c r="P1096">
        <f t="shared" si="151"/>
        <v>23.871026026976462</v>
      </c>
      <c r="R1096">
        <f t="shared" si="156"/>
        <v>-2.2805981924381444E-3</v>
      </c>
    </row>
    <row r="1097" spans="1:19" x14ac:dyDescent="0.2">
      <c r="A1097" t="s">
        <v>1108</v>
      </c>
      <c r="B1097">
        <v>5.7480323799999997</v>
      </c>
      <c r="C1097">
        <v>0.32677424999999999</v>
      </c>
      <c r="D1097">
        <v>5.8945157699999999</v>
      </c>
      <c r="E1097">
        <v>0.61238981000000003</v>
      </c>
      <c r="F1097">
        <v>3.3380490599999999</v>
      </c>
      <c r="G1097">
        <v>1.32428648</v>
      </c>
      <c r="H1097">
        <v>2.7320154400000001</v>
      </c>
      <c r="I1097">
        <v>9.8609400000000003E-3</v>
      </c>
      <c r="J1097">
        <v>1</v>
      </c>
      <c r="K1097">
        <v>950051</v>
      </c>
      <c r="L1097">
        <f t="shared" si="152"/>
        <v>1.283865023076923E-2</v>
      </c>
      <c r="M1097">
        <f t="shared" si="153"/>
        <v>5.0934095384615385E-3</v>
      </c>
      <c r="N1097">
        <f t="shared" si="154"/>
        <v>1.0507751692307693E-2</v>
      </c>
      <c r="O1097">
        <f t="shared" si="155"/>
        <v>7.8005806153846153E-3</v>
      </c>
      <c r="P1097">
        <f t="shared" si="151"/>
        <v>18.491639880052187</v>
      </c>
      <c r="R1097">
        <f t="shared" si="156"/>
        <v>-2.0039670731047073E-3</v>
      </c>
    </row>
    <row r="1098" spans="1:19" x14ac:dyDescent="0.2">
      <c r="A1098" t="s">
        <v>1109</v>
      </c>
      <c r="B1098">
        <v>5.6971625399999999</v>
      </c>
      <c r="C1098">
        <v>0.24214301999999999</v>
      </c>
      <c r="D1098">
        <v>5.8433347700000002</v>
      </c>
      <c r="E1098">
        <v>0.61238981000000003</v>
      </c>
      <c r="F1098">
        <v>3.3326950800000001</v>
      </c>
      <c r="G1098">
        <v>1.31287256</v>
      </c>
      <c r="H1098">
        <v>2.6786931599999999</v>
      </c>
      <c r="I1098">
        <v>9.6783300000000006E-3</v>
      </c>
      <c r="J1098">
        <v>1</v>
      </c>
      <c r="K1098">
        <v>950051</v>
      </c>
      <c r="L1098">
        <f t="shared" si="152"/>
        <v>1.2818058E-2</v>
      </c>
      <c r="M1098">
        <f t="shared" si="153"/>
        <v>5.0495098461538464E-3</v>
      </c>
      <c r="N1098">
        <f t="shared" si="154"/>
        <v>1.0302666E-2</v>
      </c>
      <c r="O1098">
        <f t="shared" si="155"/>
        <v>7.676087923076922E-3</v>
      </c>
      <c r="P1098">
        <f t="shared" si="151"/>
        <v>13.702491935359884</v>
      </c>
      <c r="R1098">
        <f t="shared" si="156"/>
        <v>-1.53462606210493E-3</v>
      </c>
    </row>
    <row r="1099" spans="1:19" x14ac:dyDescent="0.2">
      <c r="A1099" t="s">
        <v>1110</v>
      </c>
      <c r="B1099">
        <v>5.6449949999999998</v>
      </c>
      <c r="C1099">
        <v>0.16675388999999999</v>
      </c>
      <c r="D1099">
        <v>5.78242938</v>
      </c>
      <c r="E1099">
        <v>0.61238981000000003</v>
      </c>
      <c r="F1099">
        <v>3.3226170000000002</v>
      </c>
      <c r="G1099">
        <v>1.29894486</v>
      </c>
      <c r="H1099">
        <v>2.6236454199999999</v>
      </c>
      <c r="I1099">
        <v>9.6783300000000006E-3</v>
      </c>
      <c r="J1099">
        <v>1</v>
      </c>
      <c r="K1099">
        <v>950051</v>
      </c>
      <c r="L1099">
        <f t="shared" si="152"/>
        <v>1.2779296153846154E-2</v>
      </c>
      <c r="M1099">
        <f t="shared" si="153"/>
        <v>4.9959417692307688E-3</v>
      </c>
      <c r="N1099">
        <f t="shared" si="154"/>
        <v>1.0090943923076922E-2</v>
      </c>
      <c r="O1099">
        <f t="shared" si="155"/>
        <v>7.5434428461538458E-3</v>
      </c>
      <c r="P1099">
        <f t="shared" si="151"/>
        <v>9.436339866062994</v>
      </c>
      <c r="R1099">
        <f t="shared" si="156"/>
        <v>-9.9118427029707399E-4</v>
      </c>
    </row>
    <row r="1100" spans="1:19" x14ac:dyDescent="0.2">
      <c r="A1100" t="s">
        <v>1111</v>
      </c>
      <c r="B1100">
        <v>5.5974991799999998</v>
      </c>
      <c r="C1100">
        <v>0.1003428</v>
      </c>
      <c r="D1100">
        <v>5.7292011399999998</v>
      </c>
      <c r="E1100">
        <v>0.79018040000000001</v>
      </c>
      <c r="F1100">
        <v>3.30576771</v>
      </c>
      <c r="G1100">
        <v>1.2840659999999999</v>
      </c>
      <c r="H1100">
        <v>2.5703231400000002</v>
      </c>
      <c r="I1100">
        <v>9.4957199999999992E-3</v>
      </c>
      <c r="J1100">
        <v>1</v>
      </c>
      <c r="K1100">
        <v>950051</v>
      </c>
      <c r="L1100">
        <f t="shared" si="152"/>
        <v>1.2714491192307692E-2</v>
      </c>
      <c r="M1100">
        <f t="shared" si="153"/>
        <v>4.9387153846153845E-3</v>
      </c>
      <c r="N1100">
        <f t="shared" si="154"/>
        <v>9.885858230769231E-3</v>
      </c>
      <c r="O1100">
        <f t="shared" si="155"/>
        <v>7.4122868076923086E-3</v>
      </c>
      <c r="P1100">
        <f t="shared" si="151"/>
        <v>5.6782409328645098</v>
      </c>
      <c r="R1100">
        <f t="shared" si="156"/>
        <v>-4.101950446588205E-4</v>
      </c>
    </row>
    <row r="1101" spans="1:19" x14ac:dyDescent="0.2">
      <c r="A1101" t="s">
        <v>1112</v>
      </c>
      <c r="B1101">
        <v>5.5531178399999996</v>
      </c>
      <c r="C1101">
        <v>5.320809E-2</v>
      </c>
      <c r="D1101">
        <v>5.68672091</v>
      </c>
      <c r="E1101">
        <v>1.0864980500000001</v>
      </c>
      <c r="F1101">
        <v>3.2851391400000001</v>
      </c>
      <c r="G1101">
        <v>1.2726520800000001</v>
      </c>
      <c r="H1101">
        <v>2.5326413200000002</v>
      </c>
      <c r="I1101">
        <v>9.8609400000000003E-3</v>
      </c>
      <c r="J1101">
        <v>1</v>
      </c>
      <c r="K1101">
        <v>950051</v>
      </c>
      <c r="L1101">
        <f t="shared" si="152"/>
        <v>1.2635150538461539E-2</v>
      </c>
      <c r="M1101">
        <f t="shared" si="153"/>
        <v>4.8948156923076924E-3</v>
      </c>
      <c r="N1101">
        <f t="shared" si="154"/>
        <v>9.740928153846154E-3</v>
      </c>
      <c r="O1101">
        <f t="shared" si="155"/>
        <v>7.3178719230769232E-3</v>
      </c>
      <c r="P1101">
        <f t="shared" si="151"/>
        <v>3.0109619683478916</v>
      </c>
      <c r="R1101">
        <f t="shared" si="156"/>
        <v>-7.8313579395699083E-5</v>
      </c>
    </row>
    <row r="1102" spans="1:19" x14ac:dyDescent="0.2">
      <c r="A1102" t="s">
        <v>1113</v>
      </c>
      <c r="B1102">
        <v>5.5396217600000002</v>
      </c>
      <c r="C1102">
        <v>5.0303430000000003E-2</v>
      </c>
      <c r="D1102">
        <v>5.6805791899999996</v>
      </c>
      <c r="E1102">
        <v>1.1457615800000001</v>
      </c>
      <c r="F1102">
        <v>3.26734503</v>
      </c>
      <c r="G1102">
        <v>1.2693230200000001</v>
      </c>
      <c r="H1102">
        <v>2.5220659200000002</v>
      </c>
      <c r="I1102">
        <v>9.8609400000000003E-3</v>
      </c>
      <c r="J1102">
        <v>1</v>
      </c>
      <c r="K1102">
        <v>950051</v>
      </c>
      <c r="L1102">
        <f t="shared" si="152"/>
        <v>1.2566711653846154E-2</v>
      </c>
      <c r="M1102">
        <f t="shared" si="153"/>
        <v>4.882011615384616E-3</v>
      </c>
      <c r="N1102">
        <f t="shared" si="154"/>
        <v>9.7002535384615399E-3</v>
      </c>
      <c r="O1102">
        <f t="shared" si="155"/>
        <v>7.2911325769230767E-3</v>
      </c>
      <c r="P1102">
        <f t="shared" si="151"/>
        <v>2.8465918360807612</v>
      </c>
      <c r="R1102">
        <f t="shared" si="156"/>
        <v>1.7244119729135769E-4</v>
      </c>
    </row>
    <row r="1103" spans="1:19" x14ac:dyDescent="0.2">
      <c r="A1103" t="s">
        <v>1114</v>
      </c>
      <c r="B1103">
        <v>5.5577895599999998</v>
      </c>
      <c r="C1103">
        <v>0.10800054000000001</v>
      </c>
      <c r="D1103">
        <v>5.7025870200000002</v>
      </c>
      <c r="E1103">
        <v>1.1457615800000001</v>
      </c>
      <c r="F1103">
        <v>3.2495509199999999</v>
      </c>
      <c r="G1103">
        <v>1.2689153799999999</v>
      </c>
      <c r="H1103">
        <v>2.5424931399999999</v>
      </c>
      <c r="I1103">
        <v>9.6783300000000006E-3</v>
      </c>
      <c r="J1103">
        <v>1</v>
      </c>
      <c r="K1103">
        <v>950051</v>
      </c>
      <c r="L1103">
        <f t="shared" si="152"/>
        <v>1.2498272769230769E-2</v>
      </c>
      <c r="M1103">
        <f t="shared" si="153"/>
        <v>4.8804437692307693E-3</v>
      </c>
      <c r="N1103">
        <f t="shared" si="154"/>
        <v>9.7788197692307687E-3</v>
      </c>
      <c r="O1103">
        <f t="shared" si="155"/>
        <v>7.3296317692307681E-3</v>
      </c>
      <c r="P1103">
        <f t="shared" si="151"/>
        <v>6.1115803724778548</v>
      </c>
      <c r="R1103">
        <f t="shared" si="156"/>
        <v>7.8408829013744462E-4</v>
      </c>
    </row>
    <row r="1104" spans="1:19" x14ac:dyDescent="0.2">
      <c r="A1104" t="s">
        <v>1115</v>
      </c>
      <c r="B1104">
        <v>5.5943847</v>
      </c>
      <c r="C1104">
        <v>0.18774666000000001</v>
      </c>
      <c r="D1104">
        <v>5.7430200100000004</v>
      </c>
      <c r="E1104">
        <v>1.0864980500000001</v>
      </c>
      <c r="F1104">
        <v>3.2341188600000002</v>
      </c>
      <c r="G1104">
        <v>1.27550556</v>
      </c>
      <c r="H1104">
        <v>2.5846277600000001</v>
      </c>
      <c r="I1104">
        <v>9.6783300000000006E-3</v>
      </c>
      <c r="J1104">
        <v>1</v>
      </c>
      <c r="K1104">
        <v>950052</v>
      </c>
      <c r="L1104">
        <f t="shared" si="152"/>
        <v>1.2438918692307692E-2</v>
      </c>
      <c r="M1104">
        <f t="shared" si="153"/>
        <v>4.9057906153846158E-3</v>
      </c>
      <c r="N1104">
        <f t="shared" si="154"/>
        <v>9.9408759999999995E-3</v>
      </c>
      <c r="O1104">
        <f t="shared" si="155"/>
        <v>7.4233333076923081E-3</v>
      </c>
      <c r="P1104">
        <f t="shared" si="151"/>
        <v>10.62428764017544</v>
      </c>
      <c r="Q1104">
        <f t="shared" ref="Q1104" si="157">ABS(0.5*(SUMPRODUCT(O1104:O1122,P1105:P1123)+O1123*P1104-(SUMPRODUCT(O1105:O1123,P1104:P1122)+O1104*P1123)))</f>
        <v>5.2455871635448403E-3</v>
      </c>
      <c r="R1104">
        <f t="shared" si="156"/>
        <v>1.7941751855598707E-3</v>
      </c>
    </row>
    <row r="1105" spans="1:19" x14ac:dyDescent="0.2">
      <c r="A1105" t="s">
        <v>1116</v>
      </c>
      <c r="B1105">
        <v>5.6473308600000003</v>
      </c>
      <c r="C1105">
        <v>0.28122390000000003</v>
      </c>
      <c r="D1105">
        <v>5.8008545399999996</v>
      </c>
      <c r="E1105">
        <v>0.90870746000000002</v>
      </c>
      <c r="F1105">
        <v>3.2289223499999999</v>
      </c>
      <c r="G1105">
        <v>1.28943326</v>
      </c>
      <c r="H1105">
        <v>2.6410113399999999</v>
      </c>
      <c r="I1105">
        <v>1.004355E-2</v>
      </c>
      <c r="J1105">
        <v>1</v>
      </c>
      <c r="K1105">
        <v>950052</v>
      </c>
      <c r="L1105">
        <f t="shared" si="152"/>
        <v>1.2418932115384616E-2</v>
      </c>
      <c r="M1105">
        <f t="shared" si="153"/>
        <v>4.9593586923076926E-3</v>
      </c>
      <c r="N1105">
        <f t="shared" si="154"/>
        <v>1.0157735923076923E-2</v>
      </c>
      <c r="O1105">
        <f t="shared" si="155"/>
        <v>7.5585473076923079E-3</v>
      </c>
      <c r="P1105">
        <f t="shared" si="151"/>
        <v>15.914017351317643</v>
      </c>
      <c r="R1105">
        <f t="shared" si="156"/>
        <v>2.8911870679301237E-3</v>
      </c>
    </row>
    <row r="1106" spans="1:19" x14ac:dyDescent="0.2">
      <c r="A1106" t="s">
        <v>1117</v>
      </c>
      <c r="B1106">
        <v>5.7075441400000004</v>
      </c>
      <c r="C1106">
        <v>0.39080880000000001</v>
      </c>
      <c r="D1106">
        <v>5.8648307900000001</v>
      </c>
      <c r="E1106">
        <v>0.84944392999999996</v>
      </c>
      <c r="F1106">
        <v>3.2312843999999998</v>
      </c>
      <c r="G1106">
        <v>1.30499152</v>
      </c>
      <c r="H1106">
        <v>2.7045194000000001</v>
      </c>
      <c r="I1106">
        <v>1.004355E-2</v>
      </c>
      <c r="J1106">
        <v>1</v>
      </c>
      <c r="K1106">
        <v>950052</v>
      </c>
      <c r="L1106">
        <f t="shared" si="152"/>
        <v>1.2428016923076922E-2</v>
      </c>
      <c r="M1106">
        <f t="shared" si="153"/>
        <v>5.0191981538461536E-3</v>
      </c>
      <c r="N1106">
        <f t="shared" si="154"/>
        <v>1.0401997692307693E-2</v>
      </c>
      <c r="O1106">
        <f t="shared" si="155"/>
        <v>7.7105979230769235E-3</v>
      </c>
      <c r="P1106">
        <f t="shared" si="151"/>
        <v>22.115254159577567</v>
      </c>
      <c r="R1106">
        <f t="shared" si="156"/>
        <v>3.8286658729748107E-3</v>
      </c>
    </row>
    <row r="1107" spans="1:19" x14ac:dyDescent="0.2">
      <c r="A1107" t="s">
        <v>1118</v>
      </c>
      <c r="B1107">
        <v>5.7685360399999999</v>
      </c>
      <c r="C1107">
        <v>0.52415909999999999</v>
      </c>
      <c r="D1107">
        <v>5.9400668599999999</v>
      </c>
      <c r="E1107">
        <v>0.67165333999999999</v>
      </c>
      <c r="F1107">
        <v>3.2355360900000001</v>
      </c>
      <c r="G1107">
        <v>1.3190550999999999</v>
      </c>
      <c r="H1107">
        <v>2.7673595400000002</v>
      </c>
      <c r="I1107">
        <v>1.004355E-2</v>
      </c>
      <c r="J1107">
        <v>1</v>
      </c>
      <c r="K1107">
        <v>950052</v>
      </c>
      <c r="L1107">
        <f t="shared" si="152"/>
        <v>1.2444369576923077E-2</v>
      </c>
      <c r="M1107">
        <f t="shared" si="153"/>
        <v>5.0732888461538462E-3</v>
      </c>
      <c r="N1107">
        <f t="shared" si="154"/>
        <v>1.0643690538461538E-2</v>
      </c>
      <c r="O1107">
        <f t="shared" si="155"/>
        <v>7.8584896923076918E-3</v>
      </c>
      <c r="P1107">
        <f t="shared" si="151"/>
        <v>29.661337504568561</v>
      </c>
      <c r="R1107">
        <f t="shared" si="156"/>
        <v>4.4122049747738687E-3</v>
      </c>
    </row>
    <row r="1108" spans="1:19" x14ac:dyDescent="0.2">
      <c r="A1108" t="s">
        <v>1119</v>
      </c>
      <c r="B1108">
        <v>5.8303065600000004</v>
      </c>
      <c r="C1108">
        <v>0.70345584000000005</v>
      </c>
      <c r="D1108">
        <v>6.0055785400000001</v>
      </c>
      <c r="E1108">
        <v>0.61238981000000003</v>
      </c>
      <c r="F1108">
        <v>3.24671646</v>
      </c>
      <c r="G1108">
        <v>1.3300613800000001</v>
      </c>
      <c r="H1108">
        <v>2.8224072800000002</v>
      </c>
      <c r="I1108">
        <v>9.8609400000000003E-3</v>
      </c>
      <c r="J1108">
        <v>1</v>
      </c>
      <c r="K1108">
        <v>950052</v>
      </c>
      <c r="L1108">
        <f t="shared" si="152"/>
        <v>1.2487371000000001E-2</v>
      </c>
      <c r="M1108">
        <f t="shared" si="153"/>
        <v>5.1156206923076925E-3</v>
      </c>
      <c r="N1108">
        <f t="shared" si="154"/>
        <v>1.0855412615384617E-2</v>
      </c>
      <c r="O1108">
        <f t="shared" si="155"/>
        <v>7.9855166538461541E-3</v>
      </c>
      <c r="P1108">
        <f t="shared" si="151"/>
        <v>39.807457487239624</v>
      </c>
      <c r="R1108">
        <f t="shared" si="156"/>
        <v>2.8413102199896646E-3</v>
      </c>
    </row>
    <row r="1109" spans="1:19" x14ac:dyDescent="0.2">
      <c r="A1109" t="s">
        <v>1120</v>
      </c>
      <c r="B1109">
        <v>5.8715734199999998</v>
      </c>
      <c r="C1109">
        <v>0.82677186000000003</v>
      </c>
      <c r="D1109">
        <v>6.0414052399999996</v>
      </c>
      <c r="E1109">
        <v>0.61238981000000003</v>
      </c>
      <c r="F1109">
        <v>3.2624634600000002</v>
      </c>
      <c r="G1109">
        <v>1.33563246</v>
      </c>
      <c r="H1109">
        <v>2.8509608599999998</v>
      </c>
      <c r="I1109">
        <v>9.8609400000000003E-3</v>
      </c>
      <c r="J1109">
        <v>1</v>
      </c>
      <c r="K1109">
        <v>950052</v>
      </c>
      <c r="L1109">
        <f t="shared" si="152"/>
        <v>1.2547936384615386E-2</v>
      </c>
      <c r="M1109">
        <f t="shared" si="153"/>
        <v>5.1370479230769235E-3</v>
      </c>
      <c r="N1109">
        <f t="shared" si="154"/>
        <v>1.0965234076923076E-2</v>
      </c>
      <c r="O1109">
        <f t="shared" si="155"/>
        <v>8.0511409999999995E-3</v>
      </c>
      <c r="P1109">
        <f t="shared" si="151"/>
        <v>46.785716738944167</v>
      </c>
      <c r="R1109">
        <f t="shared" si="156"/>
        <v>9.5637143678213707E-4</v>
      </c>
    </row>
    <row r="1110" spans="1:19" x14ac:dyDescent="0.2">
      <c r="A1110" t="s">
        <v>1121</v>
      </c>
      <c r="B1110">
        <v>5.8832527199999998</v>
      </c>
      <c r="C1110">
        <v>0.8542341</v>
      </c>
      <c r="D1110">
        <v>6.0526650599999998</v>
      </c>
      <c r="E1110">
        <v>0.61238981000000003</v>
      </c>
      <c r="F1110">
        <v>3.2802575699999998</v>
      </c>
      <c r="G1110">
        <v>1.33712714</v>
      </c>
      <c r="H1110">
        <v>2.8599221199999998</v>
      </c>
      <c r="I1110">
        <v>9.8609400000000003E-3</v>
      </c>
      <c r="J1110">
        <v>1</v>
      </c>
      <c r="K1110">
        <v>950052</v>
      </c>
      <c r="L1110">
        <f t="shared" si="152"/>
        <v>1.2616375269230769E-2</v>
      </c>
      <c r="M1110">
        <f t="shared" si="153"/>
        <v>5.1427966923076919E-3</v>
      </c>
      <c r="N1110">
        <f t="shared" si="154"/>
        <v>1.0999700461538461E-2</v>
      </c>
      <c r="O1110">
        <f t="shared" si="155"/>
        <v>8.0712485769230766E-3</v>
      </c>
      <c r="P1110">
        <f t="shared" si="151"/>
        <v>48.339761625833397</v>
      </c>
      <c r="R1110">
        <f t="shared" si="156"/>
        <v>2.7616435126189248E-4</v>
      </c>
    </row>
    <row r="1111" spans="1:19" x14ac:dyDescent="0.2">
      <c r="A1111" t="s">
        <v>1122</v>
      </c>
      <c r="B1111">
        <v>5.8874053599999998</v>
      </c>
      <c r="C1111">
        <v>0.85581845999999995</v>
      </c>
      <c r="D1111">
        <v>6.0526650599999998</v>
      </c>
      <c r="E1111">
        <v>0.61238981000000003</v>
      </c>
      <c r="F1111">
        <v>3.2937999900000001</v>
      </c>
      <c r="G1111">
        <v>1.3375347799999999</v>
      </c>
      <c r="H1111">
        <v>2.8624824800000002</v>
      </c>
      <c r="I1111">
        <v>9.6783300000000006E-3</v>
      </c>
      <c r="J1111">
        <v>1</v>
      </c>
      <c r="K1111">
        <v>950052</v>
      </c>
      <c r="L1111">
        <f t="shared" si="152"/>
        <v>1.26684615E-2</v>
      </c>
      <c r="M1111">
        <f t="shared" si="153"/>
        <v>5.1443645384615377E-3</v>
      </c>
      <c r="N1111">
        <f t="shared" si="154"/>
        <v>1.1009548000000001E-2</v>
      </c>
      <c r="O1111">
        <f t="shared" si="155"/>
        <v>8.0769562692307693E-3</v>
      </c>
      <c r="P1111">
        <f t="shared" si="151"/>
        <v>48.429418061615465</v>
      </c>
      <c r="R1111">
        <f t="shared" si="156"/>
        <v>-1.2182994087007047E-4</v>
      </c>
    </row>
    <row r="1112" spans="1:19" x14ac:dyDescent="0.2">
      <c r="A1112" t="s">
        <v>1123</v>
      </c>
      <c r="B1112">
        <v>5.8793596199999998</v>
      </c>
      <c r="C1112">
        <v>0.82030239000000005</v>
      </c>
      <c r="D1112">
        <v>6.0526650599999998</v>
      </c>
      <c r="E1112">
        <v>0.61238981000000003</v>
      </c>
      <c r="F1112">
        <v>3.3095469899999999</v>
      </c>
      <c r="G1112">
        <v>1.3375347799999999</v>
      </c>
      <c r="H1112">
        <v>2.8611466399999999</v>
      </c>
      <c r="I1112">
        <v>9.6783300000000006E-3</v>
      </c>
      <c r="J1112">
        <v>1</v>
      </c>
      <c r="K1112">
        <v>950052</v>
      </c>
      <c r="L1112">
        <f t="shared" si="152"/>
        <v>1.2729026884615384E-2</v>
      </c>
      <c r="M1112">
        <f t="shared" si="153"/>
        <v>5.1443645384615377E-3</v>
      </c>
      <c r="N1112">
        <f t="shared" si="154"/>
        <v>1.1004410153846154E-2</v>
      </c>
      <c r="O1112">
        <f t="shared" si="155"/>
        <v>8.0743873461538457E-3</v>
      </c>
      <c r="P1112">
        <f t="shared" si="151"/>
        <v>46.419619626167375</v>
      </c>
      <c r="R1112">
        <f t="shared" si="156"/>
        <v>-1.0100230508446428E-3</v>
      </c>
    </row>
    <row r="1113" spans="1:19" x14ac:dyDescent="0.2">
      <c r="A1113" t="s">
        <v>1124</v>
      </c>
      <c r="B1113">
        <v>5.8643063</v>
      </c>
      <c r="C1113">
        <v>0.70477614</v>
      </c>
      <c r="D1113">
        <v>6.0337280900000003</v>
      </c>
      <c r="E1113">
        <v>0.53337177000000002</v>
      </c>
      <c r="F1113">
        <v>3.3216721800000002</v>
      </c>
      <c r="G1113">
        <v>1.3379424200000001</v>
      </c>
      <c r="H1113">
        <v>2.8485674799999998</v>
      </c>
      <c r="I1113">
        <v>9.6783300000000006E-3</v>
      </c>
      <c r="J1113">
        <v>1</v>
      </c>
      <c r="K1113">
        <v>950052</v>
      </c>
      <c r="L1113">
        <f t="shared" si="152"/>
        <v>1.2775662230769232E-2</v>
      </c>
      <c r="M1113">
        <f t="shared" si="153"/>
        <v>5.1459323846153853E-3</v>
      </c>
      <c r="N1113">
        <f t="shared" si="154"/>
        <v>1.0956028769230769E-2</v>
      </c>
      <c r="O1113">
        <f t="shared" si="155"/>
        <v>8.0509805769230763E-3</v>
      </c>
      <c r="P1113">
        <f t="shared" si="151"/>
        <v>39.88217118372468</v>
      </c>
      <c r="R1113">
        <f t="shared" si="156"/>
        <v>-1.0751482534517129E-3</v>
      </c>
    </row>
    <row r="1114" spans="1:19" x14ac:dyDescent="0.2">
      <c r="A1114" t="s">
        <v>1125</v>
      </c>
      <c r="B1114">
        <v>5.8469171199999996</v>
      </c>
      <c r="C1114">
        <v>0.61169499000000005</v>
      </c>
      <c r="D1114">
        <v>6.0178619800000002</v>
      </c>
      <c r="E1114">
        <v>0.47410824000000001</v>
      </c>
      <c r="F1114">
        <v>3.3293882099999998</v>
      </c>
      <c r="G1114">
        <v>1.3377386</v>
      </c>
      <c r="H1114">
        <v>2.8337619200000002</v>
      </c>
      <c r="I1114">
        <v>9.6783300000000006E-3</v>
      </c>
      <c r="J1114">
        <v>1</v>
      </c>
      <c r="K1114">
        <v>950052</v>
      </c>
      <c r="L1114">
        <f t="shared" si="152"/>
        <v>1.2805339269230769E-2</v>
      </c>
      <c r="M1114">
        <f t="shared" si="153"/>
        <v>5.1451484615384615E-3</v>
      </c>
      <c r="N1114">
        <f t="shared" si="154"/>
        <v>1.0899084307692309E-2</v>
      </c>
      <c r="O1114">
        <f t="shared" si="155"/>
        <v>8.0221163846153857E-3</v>
      </c>
      <c r="P1114">
        <f t="shared" si="151"/>
        <v>34.614855581527998</v>
      </c>
      <c r="R1114">
        <f t="shared" si="156"/>
        <v>-1.2904954812034209E-3</v>
      </c>
    </row>
    <row r="1115" spans="1:19" x14ac:dyDescent="0.2">
      <c r="A1115" t="s">
        <v>1126</v>
      </c>
      <c r="B1115">
        <v>5.82485622</v>
      </c>
      <c r="C1115">
        <v>0.52059429000000002</v>
      </c>
      <c r="D1115">
        <v>5.9932951000000001</v>
      </c>
      <c r="E1115">
        <v>0.47410824000000001</v>
      </c>
      <c r="F1115">
        <v>3.33694677</v>
      </c>
      <c r="G1115">
        <v>1.3373309600000001</v>
      </c>
      <c r="H1115">
        <v>2.8132233800000002</v>
      </c>
      <c r="I1115">
        <v>9.6783300000000006E-3</v>
      </c>
      <c r="J1115">
        <v>1</v>
      </c>
      <c r="K1115">
        <v>950052</v>
      </c>
      <c r="L1115">
        <f t="shared" si="152"/>
        <v>1.2834410653846154E-2</v>
      </c>
      <c r="M1115">
        <f t="shared" si="153"/>
        <v>5.1435806153846157E-3</v>
      </c>
      <c r="N1115">
        <f t="shared" si="154"/>
        <v>1.0820089923076924E-2</v>
      </c>
      <c r="O1115">
        <f t="shared" si="155"/>
        <v>7.9818352692307692E-3</v>
      </c>
      <c r="P1115">
        <f t="shared" si="151"/>
        <v>29.459610524058903</v>
      </c>
      <c r="R1115">
        <f t="shared" si="156"/>
        <v>-1.9619774052697728E-3</v>
      </c>
      <c r="S1115">
        <f>ABS(SUMIFS($R:$R,$K:$K,K1115))</f>
        <v>5.2472133213736045E-3</v>
      </c>
    </row>
    <row r="1116" spans="1:19" x14ac:dyDescent="0.2">
      <c r="A1116" t="s">
        <v>1127</v>
      </c>
      <c r="B1116">
        <v>5.7924137199999999</v>
      </c>
      <c r="C1116">
        <v>0.41945930999999997</v>
      </c>
      <c r="D1116">
        <v>5.9492794399999998</v>
      </c>
      <c r="E1116">
        <v>0.47410824000000001</v>
      </c>
      <c r="F1116">
        <v>3.3427731600000001</v>
      </c>
      <c r="G1116">
        <v>1.3335942599999999</v>
      </c>
      <c r="H1116">
        <v>2.7786028599999999</v>
      </c>
      <c r="I1116">
        <v>9.6783300000000006E-3</v>
      </c>
      <c r="J1116">
        <v>1</v>
      </c>
      <c r="K1116">
        <v>950052</v>
      </c>
      <c r="L1116">
        <f t="shared" si="152"/>
        <v>1.2856819846153847E-2</v>
      </c>
      <c r="M1116">
        <f t="shared" si="153"/>
        <v>5.1292086923076918E-3</v>
      </c>
      <c r="N1116">
        <f t="shared" si="154"/>
        <v>1.0686934076923076E-2</v>
      </c>
      <c r="O1116">
        <f t="shared" si="155"/>
        <v>7.9080713846153838E-3</v>
      </c>
      <c r="P1116">
        <f t="shared" si="151"/>
        <v>23.736541373303353</v>
      </c>
      <c r="R1116">
        <f t="shared" si="156"/>
        <v>-2.2231487419571991E-3</v>
      </c>
    </row>
    <row r="1117" spans="1:19" x14ac:dyDescent="0.2">
      <c r="A1117" t="s">
        <v>1128</v>
      </c>
      <c r="B1117">
        <v>5.7495896200000001</v>
      </c>
      <c r="C1117">
        <v>0.32558598</v>
      </c>
      <c r="D1117">
        <v>5.8945157699999999</v>
      </c>
      <c r="E1117">
        <v>0.47410824000000001</v>
      </c>
      <c r="F1117">
        <v>3.3408835200000002</v>
      </c>
      <c r="G1117">
        <v>1.3255094000000001</v>
      </c>
      <c r="H1117">
        <v>2.7318484600000001</v>
      </c>
      <c r="I1117">
        <v>9.6783300000000006E-3</v>
      </c>
      <c r="J1117">
        <v>1</v>
      </c>
      <c r="K1117">
        <v>950052</v>
      </c>
      <c r="L1117">
        <f t="shared" si="152"/>
        <v>1.2849552E-2</v>
      </c>
      <c r="M1117">
        <f t="shared" si="153"/>
        <v>5.0981130769230769E-3</v>
      </c>
      <c r="N1117">
        <f t="shared" si="154"/>
        <v>1.0507109461538463E-2</v>
      </c>
      <c r="O1117">
        <f t="shared" si="155"/>
        <v>7.8026112692307689E-3</v>
      </c>
      <c r="P1117">
        <f t="shared" si="151"/>
        <v>18.424397553215634</v>
      </c>
      <c r="R1117">
        <f t="shared" si="156"/>
        <v>-2.0006607661699803E-3</v>
      </c>
    </row>
    <row r="1118" spans="1:19" x14ac:dyDescent="0.2">
      <c r="A1118" t="s">
        <v>1129</v>
      </c>
      <c r="B1118">
        <v>5.7005365599999998</v>
      </c>
      <c r="C1118">
        <v>0.24174693</v>
      </c>
      <c r="D1118">
        <v>5.8382166700000004</v>
      </c>
      <c r="E1118">
        <v>0.47410824000000001</v>
      </c>
      <c r="F1118">
        <v>3.3341123100000001</v>
      </c>
      <c r="G1118">
        <v>1.3136878400000001</v>
      </c>
      <c r="H1118">
        <v>2.6788601399999998</v>
      </c>
      <c r="I1118">
        <v>9.8609400000000003E-3</v>
      </c>
      <c r="J1118">
        <v>1</v>
      </c>
      <c r="K1118">
        <v>950052</v>
      </c>
      <c r="L1118">
        <f t="shared" si="152"/>
        <v>1.2823508884615385E-2</v>
      </c>
      <c r="M1118">
        <f t="shared" si="153"/>
        <v>5.052645538461539E-3</v>
      </c>
      <c r="N1118">
        <f t="shared" si="154"/>
        <v>1.0303308230769231E-2</v>
      </c>
      <c r="O1118">
        <f t="shared" si="155"/>
        <v>7.677976884615384E-3</v>
      </c>
      <c r="P1118">
        <f t="shared" si="151"/>
        <v>13.680077826414367</v>
      </c>
      <c r="R1118">
        <f t="shared" si="156"/>
        <v>-1.534358892535588E-3</v>
      </c>
    </row>
    <row r="1119" spans="1:19" x14ac:dyDescent="0.2">
      <c r="A1119" t="s">
        <v>1130</v>
      </c>
      <c r="B1119">
        <v>5.6496667199999999</v>
      </c>
      <c r="C1119">
        <v>0.16675388999999999</v>
      </c>
      <c r="D1119">
        <v>5.7885711000000004</v>
      </c>
      <c r="E1119">
        <v>0.53337177000000002</v>
      </c>
      <c r="F1119">
        <v>3.3240342300000001</v>
      </c>
      <c r="G1119">
        <v>1.2991486800000001</v>
      </c>
      <c r="H1119">
        <v>2.6243690000000002</v>
      </c>
      <c r="I1119">
        <v>9.8609400000000003E-3</v>
      </c>
      <c r="J1119">
        <v>1</v>
      </c>
      <c r="K1119">
        <v>950052</v>
      </c>
      <c r="L1119">
        <f t="shared" si="152"/>
        <v>1.2784747038461539E-2</v>
      </c>
      <c r="M1119">
        <f t="shared" si="153"/>
        <v>4.9967256923076925E-3</v>
      </c>
      <c r="N1119">
        <f t="shared" si="154"/>
        <v>1.0093726923076923E-2</v>
      </c>
      <c r="O1119">
        <f t="shared" si="155"/>
        <v>7.5452263076923078E-3</v>
      </c>
      <c r="P1119">
        <f t="shared" si="151"/>
        <v>9.436339866062994</v>
      </c>
      <c r="R1119">
        <f t="shared" si="156"/>
        <v>-1.0028045301613748E-3</v>
      </c>
    </row>
    <row r="1120" spans="1:19" x14ac:dyDescent="0.2">
      <c r="A1120" t="s">
        <v>1131</v>
      </c>
      <c r="B1120">
        <v>5.5959419400000003</v>
      </c>
      <c r="C1120">
        <v>9.9946709999999994E-2</v>
      </c>
      <c r="D1120">
        <v>5.7338074299999997</v>
      </c>
      <c r="E1120">
        <v>0.79018040000000001</v>
      </c>
      <c r="F1120">
        <v>3.3086021699999999</v>
      </c>
      <c r="G1120">
        <v>1.2835904199999999</v>
      </c>
      <c r="H1120">
        <v>2.57082408</v>
      </c>
      <c r="I1120">
        <v>9.6783300000000006E-3</v>
      </c>
      <c r="J1120">
        <v>1</v>
      </c>
      <c r="K1120">
        <v>950052</v>
      </c>
      <c r="L1120">
        <f t="shared" si="152"/>
        <v>1.2725392961538462E-2</v>
      </c>
      <c r="M1120">
        <f t="shared" si="153"/>
        <v>4.9368862307692307E-3</v>
      </c>
      <c r="N1120">
        <f t="shared" si="154"/>
        <v>9.8877849230769223E-3</v>
      </c>
      <c r="O1120">
        <f t="shared" si="155"/>
        <v>7.412335576923077E-3</v>
      </c>
      <c r="P1120">
        <f t="shared" si="151"/>
        <v>5.6558268239189919</v>
      </c>
      <c r="R1120">
        <f t="shared" si="156"/>
        <v>-4.0967752975146264E-4</v>
      </c>
    </row>
    <row r="1121" spans="1:19" x14ac:dyDescent="0.2">
      <c r="A1121" t="s">
        <v>1132</v>
      </c>
      <c r="B1121">
        <v>5.5515606000000002</v>
      </c>
      <c r="C1121">
        <v>5.2811999999999998E-2</v>
      </c>
      <c r="D1121">
        <v>5.6933744400000004</v>
      </c>
      <c r="E1121">
        <v>1.0272345199999999</v>
      </c>
      <c r="F1121">
        <v>3.28608396</v>
      </c>
      <c r="G1121">
        <v>1.2726520800000001</v>
      </c>
      <c r="H1121">
        <v>2.5324743399999998</v>
      </c>
      <c r="I1121">
        <v>9.8609400000000003E-3</v>
      </c>
      <c r="J1121">
        <v>1</v>
      </c>
      <c r="K1121">
        <v>950052</v>
      </c>
      <c r="L1121">
        <f t="shared" si="152"/>
        <v>1.2638784461538462E-2</v>
      </c>
      <c r="M1121">
        <f t="shared" si="153"/>
        <v>4.8948156923076924E-3</v>
      </c>
      <c r="N1121">
        <f t="shared" si="154"/>
        <v>9.7402859230769218E-3</v>
      </c>
      <c r="O1121">
        <f t="shared" si="155"/>
        <v>7.3175508076923071E-3</v>
      </c>
      <c r="P1121">
        <f t="shared" si="151"/>
        <v>2.9885478594023738</v>
      </c>
      <c r="R1121">
        <f t="shared" si="156"/>
        <v>-8.0712333455680381E-5</v>
      </c>
    </row>
    <row r="1122" spans="1:19" x14ac:dyDescent="0.2">
      <c r="A1122" t="s">
        <v>1133</v>
      </c>
      <c r="B1122">
        <v>5.5404003800000003</v>
      </c>
      <c r="C1122">
        <v>5.0831550000000003E-2</v>
      </c>
      <c r="D1122">
        <v>5.6805791899999996</v>
      </c>
      <c r="E1122">
        <v>1.1457615800000001</v>
      </c>
      <c r="F1122">
        <v>3.2659278</v>
      </c>
      <c r="G1122">
        <v>1.2689153799999999</v>
      </c>
      <c r="H1122">
        <v>2.5218989399999998</v>
      </c>
      <c r="I1122">
        <v>9.8609400000000003E-3</v>
      </c>
      <c r="J1122">
        <v>1</v>
      </c>
      <c r="K1122">
        <v>950052</v>
      </c>
      <c r="L1122">
        <f t="shared" si="152"/>
        <v>1.2561260769230769E-2</v>
      </c>
      <c r="M1122">
        <f t="shared" si="153"/>
        <v>4.8804437692307693E-3</v>
      </c>
      <c r="N1122">
        <f t="shared" si="154"/>
        <v>9.6996113076923077E-3</v>
      </c>
      <c r="O1122">
        <f t="shared" si="155"/>
        <v>7.2900275384615385E-3</v>
      </c>
      <c r="P1122">
        <f t="shared" si="151"/>
        <v>2.8764773146747848</v>
      </c>
      <c r="R1122">
        <f t="shared" si="156"/>
        <v>1.7808332061758182E-4</v>
      </c>
    </row>
    <row r="1123" spans="1:19" x14ac:dyDescent="0.2">
      <c r="A1123" t="s">
        <v>1134</v>
      </c>
      <c r="B1123">
        <v>5.5577895599999998</v>
      </c>
      <c r="C1123">
        <v>0.10681227</v>
      </c>
      <c r="D1123">
        <v>5.7025870200000002</v>
      </c>
      <c r="E1123">
        <v>1.1457615800000001</v>
      </c>
      <c r="F1123">
        <v>3.2509681499999998</v>
      </c>
      <c r="G1123">
        <v>1.2689153799999999</v>
      </c>
      <c r="H1123">
        <v>2.5426601199999999</v>
      </c>
      <c r="I1123">
        <v>9.6783300000000006E-3</v>
      </c>
      <c r="J1123">
        <v>1</v>
      </c>
      <c r="K1123">
        <v>950052</v>
      </c>
      <c r="L1123">
        <f t="shared" si="152"/>
        <v>1.2503723653846154E-2</v>
      </c>
      <c r="M1123">
        <f t="shared" si="153"/>
        <v>4.8804437692307693E-3</v>
      </c>
      <c r="N1123">
        <f t="shared" si="154"/>
        <v>9.7794619999999992E-3</v>
      </c>
      <c r="O1123">
        <f t="shared" si="155"/>
        <v>7.3299528846153842E-3</v>
      </c>
      <c r="P1123">
        <f t="shared" si="151"/>
        <v>6.0443380456413012</v>
      </c>
      <c r="R1123">
        <f t="shared" si="156"/>
        <v>7.7988781715455815E-4</v>
      </c>
    </row>
    <row r="1124" spans="1:19" x14ac:dyDescent="0.2">
      <c r="A1124" t="s">
        <v>1135</v>
      </c>
      <c r="B1124">
        <v>5.5967205599999996</v>
      </c>
      <c r="C1124">
        <v>0.18735056999999999</v>
      </c>
      <c r="D1124">
        <v>5.7414845799999998</v>
      </c>
      <c r="E1124">
        <v>1.0864980500000001</v>
      </c>
      <c r="F1124">
        <v>3.2355360900000001</v>
      </c>
      <c r="G1124">
        <v>1.27550556</v>
      </c>
      <c r="H1124">
        <v>2.58479474</v>
      </c>
      <c r="I1124">
        <v>9.6783300000000006E-3</v>
      </c>
      <c r="J1124">
        <v>1</v>
      </c>
      <c r="K1124">
        <v>950053</v>
      </c>
      <c r="L1124">
        <f t="shared" si="152"/>
        <v>1.2444369576923077E-2</v>
      </c>
      <c r="M1124">
        <f t="shared" si="153"/>
        <v>4.9057906153846158E-3</v>
      </c>
      <c r="N1124">
        <f t="shared" si="154"/>
        <v>9.94151823076923E-3</v>
      </c>
      <c r="O1124">
        <f t="shared" si="155"/>
        <v>7.4236544230769233E-3</v>
      </c>
      <c r="P1124">
        <f t="shared" si="151"/>
        <v>10.601873531229922</v>
      </c>
      <c r="Q1124">
        <f t="shared" ref="Q1124" si="158">ABS(0.5*(SUMPRODUCT(O1124:O1142,P1125:P1143)+O1143*P1124-(SUMPRODUCT(O1125:O1143,P1124:P1142)+O1124*P1143)))</f>
        <v>5.2055039882361598E-3</v>
      </c>
      <c r="R1124">
        <f t="shared" si="156"/>
        <v>1.7965559777288261E-3</v>
      </c>
    </row>
    <row r="1125" spans="1:19" x14ac:dyDescent="0.2">
      <c r="A1125" t="s">
        <v>1136</v>
      </c>
      <c r="B1125">
        <v>5.6496667199999999</v>
      </c>
      <c r="C1125">
        <v>0.28161998999999999</v>
      </c>
      <c r="D1125">
        <v>5.7962482499999997</v>
      </c>
      <c r="E1125">
        <v>0.90870746000000002</v>
      </c>
      <c r="F1125">
        <v>3.22750512</v>
      </c>
      <c r="G1125">
        <v>1.2890256200000001</v>
      </c>
      <c r="H1125">
        <v>2.6416792600000001</v>
      </c>
      <c r="I1125">
        <v>9.6783300000000006E-3</v>
      </c>
      <c r="J1125">
        <v>1</v>
      </c>
      <c r="K1125">
        <v>950053</v>
      </c>
      <c r="L1125">
        <f t="shared" si="152"/>
        <v>1.2413481230769231E-2</v>
      </c>
      <c r="M1125">
        <f t="shared" si="153"/>
        <v>4.9577908461538468E-3</v>
      </c>
      <c r="N1125">
        <f t="shared" si="154"/>
        <v>1.0160304846153847E-2</v>
      </c>
      <c r="O1125">
        <f t="shared" si="155"/>
        <v>7.5590478461538468E-3</v>
      </c>
      <c r="P1125">
        <f t="shared" si="151"/>
        <v>15.936431460263158</v>
      </c>
      <c r="R1125">
        <f t="shared" si="156"/>
        <v>2.8976486822579789E-3</v>
      </c>
    </row>
    <row r="1126" spans="1:19" x14ac:dyDescent="0.2">
      <c r="A1126" t="s">
        <v>1137</v>
      </c>
      <c r="B1126">
        <v>5.7091013799999999</v>
      </c>
      <c r="C1126">
        <v>0.39160097999999999</v>
      </c>
      <c r="D1126">
        <v>5.8663662199999997</v>
      </c>
      <c r="E1126">
        <v>0.79018040000000001</v>
      </c>
      <c r="F1126">
        <v>3.2303395799999999</v>
      </c>
      <c r="G1126">
        <v>1.3047877000000001</v>
      </c>
      <c r="H1126">
        <v>2.7050203399999999</v>
      </c>
      <c r="I1126">
        <v>9.8609400000000003E-3</v>
      </c>
      <c r="J1126">
        <v>1</v>
      </c>
      <c r="K1126">
        <v>950053</v>
      </c>
      <c r="L1126">
        <f t="shared" si="152"/>
        <v>1.2424382999999999E-2</v>
      </c>
      <c r="M1126">
        <f t="shared" si="153"/>
        <v>5.0184142307692315E-3</v>
      </c>
      <c r="N1126">
        <f t="shared" si="154"/>
        <v>1.0403924384615385E-2</v>
      </c>
      <c r="O1126">
        <f t="shared" si="155"/>
        <v>7.7111693076923078E-3</v>
      </c>
      <c r="P1126">
        <f t="shared" si="151"/>
        <v>22.160082377468601</v>
      </c>
      <c r="R1126">
        <f t="shared" si="156"/>
        <v>3.8530162030259029E-3</v>
      </c>
    </row>
    <row r="1127" spans="1:19" x14ac:dyDescent="0.2">
      <c r="A1127" t="s">
        <v>1138</v>
      </c>
      <c r="B1127">
        <v>5.7708719000000004</v>
      </c>
      <c r="C1127">
        <v>0.52587549</v>
      </c>
      <c r="D1127">
        <v>5.9385314300000003</v>
      </c>
      <c r="E1127">
        <v>0.67165333999999999</v>
      </c>
      <c r="F1127">
        <v>3.23805561</v>
      </c>
      <c r="G1127">
        <v>1.3194627400000001</v>
      </c>
      <c r="H1127">
        <v>2.7675265200000001</v>
      </c>
      <c r="I1127">
        <v>9.4957199999999992E-3</v>
      </c>
      <c r="J1127">
        <v>1</v>
      </c>
      <c r="K1127">
        <v>950053</v>
      </c>
      <c r="L1127">
        <f t="shared" si="152"/>
        <v>1.2454060038461539E-2</v>
      </c>
      <c r="M1127">
        <f t="shared" si="153"/>
        <v>5.0748566923076929E-3</v>
      </c>
      <c r="N1127">
        <f t="shared" si="154"/>
        <v>1.0644332769230769E-2</v>
      </c>
      <c r="O1127">
        <f t="shared" si="155"/>
        <v>7.8595947307692308E-3</v>
      </c>
      <c r="P1127">
        <f t="shared" si="151"/>
        <v>29.758465309999139</v>
      </c>
      <c r="R1127">
        <f t="shared" si="156"/>
        <v>4.4173324648425329E-3</v>
      </c>
    </row>
    <row r="1128" spans="1:19" x14ac:dyDescent="0.2">
      <c r="A1128" t="s">
        <v>1139</v>
      </c>
      <c r="B1128">
        <v>5.8295279400000002</v>
      </c>
      <c r="C1128">
        <v>0.70385193000000001</v>
      </c>
      <c r="D1128">
        <v>6.0055785400000001</v>
      </c>
      <c r="E1128">
        <v>0.61238981000000003</v>
      </c>
      <c r="F1128">
        <v>3.24766128</v>
      </c>
      <c r="G1128">
        <v>1.3302651999999999</v>
      </c>
      <c r="H1128">
        <v>2.82274124</v>
      </c>
      <c r="I1128">
        <v>9.4957199999999992E-3</v>
      </c>
      <c r="J1128">
        <v>1</v>
      </c>
      <c r="K1128">
        <v>950053</v>
      </c>
      <c r="L1128">
        <f t="shared" si="152"/>
        <v>1.2491004923076922E-2</v>
      </c>
      <c r="M1128">
        <f t="shared" si="153"/>
        <v>5.1164046153846154E-3</v>
      </c>
      <c r="N1128">
        <f t="shared" si="154"/>
        <v>1.0856697076923078E-2</v>
      </c>
      <c r="O1128">
        <f t="shared" si="155"/>
        <v>7.9865508461538469E-3</v>
      </c>
      <c r="P1128">
        <f t="shared" si="151"/>
        <v>39.829871596185136</v>
      </c>
      <c r="R1128">
        <f t="shared" si="156"/>
        <v>2.8645655054435394E-3</v>
      </c>
    </row>
    <row r="1129" spans="1:19" x14ac:dyDescent="0.2">
      <c r="A1129" t="s">
        <v>1140</v>
      </c>
      <c r="B1129">
        <v>5.8681994</v>
      </c>
      <c r="C1129">
        <v>0.82558359000000003</v>
      </c>
      <c r="D1129">
        <v>6.0414052399999996</v>
      </c>
      <c r="E1129">
        <v>0.61238981000000003</v>
      </c>
      <c r="F1129">
        <v>3.2640381600000001</v>
      </c>
      <c r="G1129">
        <v>1.33563246</v>
      </c>
      <c r="H1129">
        <v>2.8517957599999999</v>
      </c>
      <c r="I1129">
        <v>9.6783300000000006E-3</v>
      </c>
      <c r="J1129">
        <v>1</v>
      </c>
      <c r="K1129">
        <v>950053</v>
      </c>
      <c r="L1129">
        <f t="shared" si="152"/>
        <v>1.2553992923076924E-2</v>
      </c>
      <c r="M1129">
        <f t="shared" si="153"/>
        <v>5.1370479230769235E-3</v>
      </c>
      <c r="N1129">
        <f t="shared" si="154"/>
        <v>1.096844523076923E-2</v>
      </c>
      <c r="O1129">
        <f t="shared" si="155"/>
        <v>8.0527465769230765E-3</v>
      </c>
      <c r="P1129">
        <f t="shared" si="151"/>
        <v>46.718474412107611</v>
      </c>
      <c r="R1129">
        <f t="shared" si="156"/>
        <v>8.9758983649505222E-4</v>
      </c>
    </row>
    <row r="1130" spans="1:19" x14ac:dyDescent="0.2">
      <c r="A1130" t="s">
        <v>1141</v>
      </c>
      <c r="B1130">
        <v>5.8809168600000001</v>
      </c>
      <c r="C1130">
        <v>0.85344191999999997</v>
      </c>
      <c r="D1130">
        <v>6.0526650599999998</v>
      </c>
      <c r="E1130">
        <v>0.53337177000000002</v>
      </c>
      <c r="F1130">
        <v>3.2812023899999998</v>
      </c>
      <c r="G1130">
        <v>1.3373309600000001</v>
      </c>
      <c r="H1130">
        <v>2.8599221199999998</v>
      </c>
      <c r="I1130">
        <v>9.6783300000000006E-3</v>
      </c>
      <c r="J1130">
        <v>1</v>
      </c>
      <c r="K1130">
        <v>950053</v>
      </c>
      <c r="L1130">
        <f t="shared" si="152"/>
        <v>1.2620009192307692E-2</v>
      </c>
      <c r="M1130">
        <f t="shared" si="153"/>
        <v>5.1435806153846157E-3</v>
      </c>
      <c r="N1130">
        <f t="shared" si="154"/>
        <v>1.0999700461538461E-2</v>
      </c>
      <c r="O1130">
        <f t="shared" si="155"/>
        <v>8.0716405384615372E-3</v>
      </c>
      <c r="P1130">
        <f t="shared" si="151"/>
        <v>48.294933407942359</v>
      </c>
      <c r="R1130">
        <f t="shared" si="156"/>
        <v>2.7578055275033996E-4</v>
      </c>
    </row>
    <row r="1131" spans="1:19" x14ac:dyDescent="0.2">
      <c r="A1131" t="s">
        <v>1142</v>
      </c>
      <c r="B1131">
        <v>5.88429088</v>
      </c>
      <c r="C1131">
        <v>0.8542341</v>
      </c>
      <c r="D1131">
        <v>6.0526650599999998</v>
      </c>
      <c r="E1131">
        <v>0.47410824000000001</v>
      </c>
      <c r="F1131">
        <v>3.29568963</v>
      </c>
      <c r="G1131">
        <v>1.3377386</v>
      </c>
      <c r="H1131">
        <v>2.8624824800000002</v>
      </c>
      <c r="I1131">
        <v>9.6783300000000006E-3</v>
      </c>
      <c r="J1131">
        <v>1</v>
      </c>
      <c r="K1131">
        <v>950053</v>
      </c>
      <c r="L1131">
        <f t="shared" si="152"/>
        <v>1.2675729346153847E-2</v>
      </c>
      <c r="M1131">
        <f t="shared" si="153"/>
        <v>5.1451484615384615E-3</v>
      </c>
      <c r="N1131">
        <f t="shared" si="154"/>
        <v>1.1009548000000001E-2</v>
      </c>
      <c r="O1131">
        <f t="shared" si="155"/>
        <v>8.0773482307692317E-3</v>
      </c>
      <c r="P1131">
        <f t="shared" si="151"/>
        <v>48.339761625833397</v>
      </c>
      <c r="R1131">
        <f t="shared" si="156"/>
        <v>-7.2646269795031837E-5</v>
      </c>
    </row>
    <row r="1132" spans="1:19" x14ac:dyDescent="0.2">
      <c r="A1132" t="s">
        <v>1143</v>
      </c>
      <c r="B1132">
        <v>5.88013824</v>
      </c>
      <c r="C1132">
        <v>0.81871802999999999</v>
      </c>
      <c r="D1132">
        <v>6.0542004900000004</v>
      </c>
      <c r="E1132">
        <v>0.41484471000000001</v>
      </c>
      <c r="F1132">
        <v>3.3081297599999999</v>
      </c>
      <c r="G1132">
        <v>1.3379424200000001</v>
      </c>
      <c r="H1132">
        <v>2.8614806000000002</v>
      </c>
      <c r="I1132">
        <v>9.6783300000000006E-3</v>
      </c>
      <c r="J1132">
        <v>1</v>
      </c>
      <c r="K1132">
        <v>950053</v>
      </c>
      <c r="L1132">
        <f t="shared" si="152"/>
        <v>1.2723576E-2</v>
      </c>
      <c r="M1132">
        <f t="shared" si="153"/>
        <v>5.1459323846153853E-3</v>
      </c>
      <c r="N1132">
        <f t="shared" si="154"/>
        <v>1.1005694615384616E-2</v>
      </c>
      <c r="O1132">
        <f t="shared" si="155"/>
        <v>8.0758135000000009E-3</v>
      </c>
      <c r="P1132">
        <f t="shared" si="151"/>
        <v>46.3299631903853</v>
      </c>
      <c r="R1132">
        <f t="shared" si="156"/>
        <v>-1.1048156702087352E-3</v>
      </c>
    </row>
    <row r="1133" spans="1:19" x14ac:dyDescent="0.2">
      <c r="A1133" t="s">
        <v>1144</v>
      </c>
      <c r="B1133">
        <v>5.8619704400000003</v>
      </c>
      <c r="C1133">
        <v>0.70556832000000003</v>
      </c>
      <c r="D1133">
        <v>6.0383343800000002</v>
      </c>
      <c r="E1133">
        <v>0.41484471000000001</v>
      </c>
      <c r="F1133">
        <v>3.3226170000000002</v>
      </c>
      <c r="G1133">
        <v>1.3375347799999999</v>
      </c>
      <c r="H1133">
        <v>2.8485674799999998</v>
      </c>
      <c r="I1133">
        <v>9.6783300000000006E-3</v>
      </c>
      <c r="J1133">
        <v>1</v>
      </c>
      <c r="K1133">
        <v>950053</v>
      </c>
      <c r="L1133">
        <f t="shared" si="152"/>
        <v>1.2779296153846154E-2</v>
      </c>
      <c r="M1133">
        <f t="shared" si="153"/>
        <v>5.1443645384615377E-3</v>
      </c>
      <c r="N1133">
        <f t="shared" si="154"/>
        <v>1.0956028769230769E-2</v>
      </c>
      <c r="O1133">
        <f t="shared" si="155"/>
        <v>8.0501966538461533E-3</v>
      </c>
      <c r="P1133">
        <f t="shared" si="151"/>
        <v>39.926999401615717</v>
      </c>
      <c r="R1133">
        <f t="shared" si="156"/>
        <v>-1.0189580192778893E-3</v>
      </c>
    </row>
    <row r="1134" spans="1:19" x14ac:dyDescent="0.2">
      <c r="A1134" t="s">
        <v>1145</v>
      </c>
      <c r="B1134">
        <v>5.84847436</v>
      </c>
      <c r="C1134">
        <v>0.61209108000000001</v>
      </c>
      <c r="D1134">
        <v>6.0193974099999998</v>
      </c>
      <c r="E1134">
        <v>0.41484471000000001</v>
      </c>
      <c r="F1134">
        <v>3.3312778500000002</v>
      </c>
      <c r="G1134">
        <v>1.3377386</v>
      </c>
      <c r="H1134">
        <v>2.8341515400000001</v>
      </c>
      <c r="I1134">
        <v>9.6783300000000006E-3</v>
      </c>
      <c r="J1134">
        <v>1</v>
      </c>
      <c r="K1134">
        <v>950053</v>
      </c>
      <c r="L1134">
        <f t="shared" si="152"/>
        <v>1.2812607115384617E-2</v>
      </c>
      <c r="M1134">
        <f t="shared" si="153"/>
        <v>5.1451484615384615E-3</v>
      </c>
      <c r="N1134">
        <f t="shared" si="154"/>
        <v>1.0900582846153847E-2</v>
      </c>
      <c r="O1134">
        <f t="shared" si="155"/>
        <v>8.0228656538461549E-3</v>
      </c>
      <c r="P1134">
        <f t="shared" si="151"/>
        <v>34.637269690473516</v>
      </c>
      <c r="R1134">
        <f t="shared" si="156"/>
        <v>-1.3154196536797054E-3</v>
      </c>
    </row>
    <row r="1135" spans="1:19" x14ac:dyDescent="0.2">
      <c r="A1135" t="s">
        <v>1146</v>
      </c>
      <c r="B1135">
        <v>5.8214822000000002</v>
      </c>
      <c r="C1135">
        <v>0.52099037999999998</v>
      </c>
      <c r="D1135">
        <v>5.9917596700000004</v>
      </c>
      <c r="E1135">
        <v>0.41484471000000001</v>
      </c>
      <c r="F1135">
        <v>3.33600195</v>
      </c>
      <c r="G1135">
        <v>1.3373309600000001</v>
      </c>
      <c r="H1135">
        <v>2.8132233800000002</v>
      </c>
      <c r="I1135">
        <v>9.6783300000000006E-3</v>
      </c>
      <c r="J1135">
        <v>1</v>
      </c>
      <c r="K1135">
        <v>950053</v>
      </c>
      <c r="L1135">
        <f t="shared" si="152"/>
        <v>1.283077673076923E-2</v>
      </c>
      <c r="M1135">
        <f t="shared" si="153"/>
        <v>5.1435806153846157E-3</v>
      </c>
      <c r="N1135">
        <f t="shared" si="154"/>
        <v>1.0820089923076924E-2</v>
      </c>
      <c r="O1135">
        <f t="shared" si="155"/>
        <v>7.9818352692307692E-3</v>
      </c>
      <c r="P1135">
        <f t="shared" si="151"/>
        <v>29.482024633004418</v>
      </c>
      <c r="R1135">
        <f t="shared" si="156"/>
        <v>-2.0463244798859062E-3</v>
      </c>
    </row>
    <row r="1136" spans="1:19" x14ac:dyDescent="0.2">
      <c r="A1136" t="s">
        <v>1147</v>
      </c>
      <c r="B1136">
        <v>5.7913755599999996</v>
      </c>
      <c r="C1136">
        <v>0.41945930999999997</v>
      </c>
      <c r="D1136">
        <v>5.9446731499999999</v>
      </c>
      <c r="E1136">
        <v>0.41484471000000001</v>
      </c>
      <c r="F1136">
        <v>3.3408835200000002</v>
      </c>
      <c r="G1136">
        <v>1.33318662</v>
      </c>
      <c r="H1136">
        <v>2.7773783399999998</v>
      </c>
      <c r="I1136">
        <v>9.4957199999999992E-3</v>
      </c>
      <c r="J1136">
        <v>1</v>
      </c>
      <c r="K1136">
        <v>950053</v>
      </c>
      <c r="L1136">
        <f t="shared" si="152"/>
        <v>1.2849552E-2</v>
      </c>
      <c r="M1136">
        <f t="shared" si="153"/>
        <v>5.1276408461538459E-3</v>
      </c>
      <c r="N1136">
        <f t="shared" si="154"/>
        <v>1.0682224384615384E-2</v>
      </c>
      <c r="O1136">
        <f t="shared" si="155"/>
        <v>7.9049326153846147E-3</v>
      </c>
      <c r="P1136">
        <f t="shared" si="151"/>
        <v>23.736541373303353</v>
      </c>
      <c r="R1136">
        <f t="shared" si="156"/>
        <v>-2.210904956496292E-3</v>
      </c>
      <c r="S1136">
        <f>ABS(SUMIFS($R:$R,$K:$K,K1136))</f>
        <v>5.2139913349882726E-3</v>
      </c>
    </row>
    <row r="1137" spans="1:18" x14ac:dyDescent="0.2">
      <c r="A1137" t="s">
        <v>1148</v>
      </c>
      <c r="B1137">
        <v>5.7480323799999997</v>
      </c>
      <c r="C1137">
        <v>0.32400161999999999</v>
      </c>
      <c r="D1137">
        <v>5.90270473</v>
      </c>
      <c r="E1137">
        <v>0.41484471000000001</v>
      </c>
      <c r="F1137">
        <v>3.3413559300000002</v>
      </c>
      <c r="G1137">
        <v>1.3248979400000001</v>
      </c>
      <c r="H1137">
        <v>2.7310135600000001</v>
      </c>
      <c r="I1137">
        <v>9.4957199999999992E-3</v>
      </c>
      <c r="J1137">
        <v>1</v>
      </c>
      <c r="K1137">
        <v>950053</v>
      </c>
      <c r="L1137">
        <f t="shared" si="152"/>
        <v>1.2851368961538462E-2</v>
      </c>
      <c r="M1137">
        <f t="shared" si="153"/>
        <v>5.0957613076923081E-3</v>
      </c>
      <c r="N1137">
        <f t="shared" si="154"/>
        <v>1.0503898307692308E-2</v>
      </c>
      <c r="O1137">
        <f t="shared" si="155"/>
        <v>7.7998298076923092E-3</v>
      </c>
      <c r="P1137">
        <f t="shared" si="151"/>
        <v>18.334741117433563</v>
      </c>
      <c r="R1137">
        <f t="shared" si="156"/>
        <v>-1.9811370522640069E-3</v>
      </c>
    </row>
    <row r="1138" spans="1:18" x14ac:dyDescent="0.2">
      <c r="A1138" t="s">
        <v>1149</v>
      </c>
      <c r="B1138">
        <v>5.6994984000000004</v>
      </c>
      <c r="C1138">
        <v>0.24135084000000001</v>
      </c>
      <c r="D1138">
        <v>5.8433347700000002</v>
      </c>
      <c r="E1138">
        <v>0.41484471000000001</v>
      </c>
      <c r="F1138">
        <v>3.3331674900000001</v>
      </c>
      <c r="G1138">
        <v>1.31348402</v>
      </c>
      <c r="H1138">
        <v>2.6780252400000002</v>
      </c>
      <c r="I1138">
        <v>9.4957199999999992E-3</v>
      </c>
      <c r="J1138">
        <v>1</v>
      </c>
      <c r="K1138">
        <v>950053</v>
      </c>
      <c r="L1138">
        <f t="shared" si="152"/>
        <v>1.2819874961538462E-2</v>
      </c>
      <c r="M1138">
        <f t="shared" si="153"/>
        <v>5.0518616153846152E-3</v>
      </c>
      <c r="N1138">
        <f t="shared" si="154"/>
        <v>1.0300097076923078E-2</v>
      </c>
      <c r="O1138">
        <f t="shared" si="155"/>
        <v>7.6759793461538463E-3</v>
      </c>
      <c r="P1138">
        <f t="shared" si="151"/>
        <v>13.65766371746885</v>
      </c>
      <c r="R1138">
        <f t="shared" si="156"/>
        <v>-1.5265215832477998E-3</v>
      </c>
    </row>
    <row r="1139" spans="1:18" x14ac:dyDescent="0.2">
      <c r="A1139" t="s">
        <v>1150</v>
      </c>
      <c r="B1139">
        <v>5.6442163799999996</v>
      </c>
      <c r="C1139">
        <v>0.16516953000000001</v>
      </c>
      <c r="D1139">
        <v>5.7870356699999999</v>
      </c>
      <c r="E1139">
        <v>0.41484471000000001</v>
      </c>
      <c r="F1139">
        <v>3.3211997700000002</v>
      </c>
      <c r="G1139">
        <v>1.2993524999999999</v>
      </c>
      <c r="H1139">
        <v>2.6231444800000001</v>
      </c>
      <c r="I1139">
        <v>9.4957199999999992E-3</v>
      </c>
      <c r="J1139">
        <v>1</v>
      </c>
      <c r="K1139">
        <v>950053</v>
      </c>
      <c r="L1139">
        <f t="shared" si="152"/>
        <v>1.277384526923077E-2</v>
      </c>
      <c r="M1139">
        <f t="shared" si="153"/>
        <v>4.9975096153846155E-3</v>
      </c>
      <c r="N1139">
        <f t="shared" si="154"/>
        <v>1.0089017230769231E-2</v>
      </c>
      <c r="O1139">
        <f t="shared" si="155"/>
        <v>7.543263423076923E-3</v>
      </c>
      <c r="P1139">
        <f t="shared" si="151"/>
        <v>9.3466834302809243</v>
      </c>
      <c r="R1139">
        <f t="shared" si="156"/>
        <v>-9.9455623864555249E-4</v>
      </c>
    </row>
    <row r="1140" spans="1:18" x14ac:dyDescent="0.2">
      <c r="A1140" t="s">
        <v>1151</v>
      </c>
      <c r="B1140">
        <v>5.5951633200000002</v>
      </c>
      <c r="C1140">
        <v>9.9550620000000006E-2</v>
      </c>
      <c r="D1140">
        <v>5.7338074299999997</v>
      </c>
      <c r="E1140">
        <v>0.61238981000000003</v>
      </c>
      <c r="F1140">
        <v>3.30718494</v>
      </c>
      <c r="G1140">
        <v>1.28379424</v>
      </c>
      <c r="H1140">
        <v>2.56965522</v>
      </c>
      <c r="I1140">
        <v>9.4957199999999992E-3</v>
      </c>
      <c r="J1140">
        <v>1</v>
      </c>
      <c r="K1140">
        <v>950053</v>
      </c>
      <c r="L1140">
        <f t="shared" si="152"/>
        <v>1.2719942076923077E-2</v>
      </c>
      <c r="M1140">
        <f t="shared" si="153"/>
        <v>4.9376701538461536E-3</v>
      </c>
      <c r="N1140">
        <f t="shared" si="154"/>
        <v>9.8832893076923074E-3</v>
      </c>
      <c r="O1140">
        <f t="shared" si="155"/>
        <v>7.4104797307692309E-3</v>
      </c>
      <c r="P1140">
        <f t="shared" si="151"/>
        <v>5.633412714973475</v>
      </c>
      <c r="R1140">
        <f t="shared" si="156"/>
        <v>-4.0064939693063289E-4</v>
      </c>
    </row>
    <row r="1141" spans="1:18" x14ac:dyDescent="0.2">
      <c r="A1141" t="s">
        <v>1152</v>
      </c>
      <c r="B1141">
        <v>5.55467508</v>
      </c>
      <c r="C1141">
        <v>5.2415910000000003E-2</v>
      </c>
      <c r="D1141">
        <v>5.6903035800000001</v>
      </c>
      <c r="E1141">
        <v>0.90870746000000002</v>
      </c>
      <c r="F1141">
        <v>3.28655637</v>
      </c>
      <c r="G1141">
        <v>1.2728558999999999</v>
      </c>
      <c r="H1141">
        <v>2.53214038</v>
      </c>
      <c r="I1141">
        <v>9.8609400000000003E-3</v>
      </c>
      <c r="J1141">
        <v>1</v>
      </c>
      <c r="K1141">
        <v>950053</v>
      </c>
      <c r="L1141">
        <f t="shared" si="152"/>
        <v>1.2640601423076924E-2</v>
      </c>
      <c r="M1141">
        <f t="shared" si="153"/>
        <v>4.8955996153846153E-3</v>
      </c>
      <c r="N1141">
        <f t="shared" si="154"/>
        <v>9.7390014615384608E-3</v>
      </c>
      <c r="O1141">
        <f t="shared" si="155"/>
        <v>7.3173005384615389E-3</v>
      </c>
      <c r="P1141">
        <f t="shared" si="151"/>
        <v>2.9661337504568563</v>
      </c>
      <c r="R1141">
        <f t="shared" si="156"/>
        <v>-7.8549361166429279E-5</v>
      </c>
    </row>
    <row r="1142" spans="1:18" x14ac:dyDescent="0.2">
      <c r="A1142" t="s">
        <v>1153</v>
      </c>
      <c r="B1142">
        <v>5.53884314</v>
      </c>
      <c r="C1142">
        <v>4.9907340000000001E-2</v>
      </c>
      <c r="D1142">
        <v>5.6821146200000001</v>
      </c>
      <c r="E1142">
        <v>1.0864980500000001</v>
      </c>
      <c r="F1142">
        <v>3.2640381600000001</v>
      </c>
      <c r="G1142">
        <v>1.2693230200000001</v>
      </c>
      <c r="H1142">
        <v>2.52156498</v>
      </c>
      <c r="I1142">
        <v>9.6783300000000006E-3</v>
      </c>
      <c r="J1142">
        <v>1</v>
      </c>
      <c r="K1142">
        <v>950053</v>
      </c>
      <c r="L1142">
        <f t="shared" si="152"/>
        <v>1.2553992923076924E-2</v>
      </c>
      <c r="M1142">
        <f t="shared" si="153"/>
        <v>4.882011615384616E-3</v>
      </c>
      <c r="N1142">
        <f t="shared" si="154"/>
        <v>9.6983268461538468E-3</v>
      </c>
      <c r="O1142">
        <f t="shared" si="155"/>
        <v>7.2901692307692301E-3</v>
      </c>
      <c r="P1142">
        <f t="shared" si="151"/>
        <v>2.8241777271352433</v>
      </c>
      <c r="R1142">
        <f t="shared" si="156"/>
        <v>1.8176924813150403E-4</v>
      </c>
    </row>
    <row r="1143" spans="1:18" x14ac:dyDescent="0.2">
      <c r="A1143" t="s">
        <v>1154</v>
      </c>
      <c r="B1143">
        <v>5.5554537000000002</v>
      </c>
      <c r="C1143">
        <v>0.10720836</v>
      </c>
      <c r="D1143">
        <v>5.7010515899999996</v>
      </c>
      <c r="E1143">
        <v>1.0864980500000001</v>
      </c>
      <c r="F1143">
        <v>3.24813369</v>
      </c>
      <c r="G1143">
        <v>1.2693230200000001</v>
      </c>
      <c r="H1143">
        <v>2.5428270999999998</v>
      </c>
      <c r="I1143">
        <v>9.6783300000000006E-3</v>
      </c>
      <c r="J1143">
        <v>1</v>
      </c>
      <c r="K1143">
        <v>950053</v>
      </c>
      <c r="L1143">
        <f t="shared" si="152"/>
        <v>1.2492821884615384E-2</v>
      </c>
      <c r="M1143">
        <f t="shared" si="153"/>
        <v>4.882011615384616E-3</v>
      </c>
      <c r="N1143">
        <f t="shared" si="154"/>
        <v>9.7801042307692296E-3</v>
      </c>
      <c r="O1143">
        <f t="shared" si="155"/>
        <v>7.3310579230769233E-3</v>
      </c>
      <c r="P1143">
        <f t="shared" si="151"/>
        <v>6.066752154586819</v>
      </c>
      <c r="R1143">
        <f t="shared" si="156"/>
        <v>7.8021554591057901E-4</v>
      </c>
    </row>
    <row r="1144" spans="1:18" x14ac:dyDescent="0.2">
      <c r="A1144" t="s">
        <v>1155</v>
      </c>
      <c r="B1144">
        <v>5.5925679199999996</v>
      </c>
      <c r="C1144">
        <v>0.18853884000000001</v>
      </c>
      <c r="D1144">
        <v>5.7460908699999997</v>
      </c>
      <c r="E1144">
        <v>1.0272345199999999</v>
      </c>
      <c r="F1144">
        <v>3.23711079</v>
      </c>
      <c r="G1144">
        <v>1.27550556</v>
      </c>
      <c r="H1144">
        <v>2.5851286999999998</v>
      </c>
      <c r="I1144">
        <v>9.6783300000000006E-3</v>
      </c>
      <c r="J1144">
        <v>1</v>
      </c>
      <c r="K1144">
        <v>950054</v>
      </c>
      <c r="L1144">
        <f t="shared" si="152"/>
        <v>1.2450426115384616E-2</v>
      </c>
      <c r="M1144">
        <f t="shared" si="153"/>
        <v>4.9057906153846158E-3</v>
      </c>
      <c r="N1144">
        <f t="shared" si="154"/>
        <v>9.9428026923076909E-3</v>
      </c>
      <c r="O1144">
        <f t="shared" si="155"/>
        <v>7.4242966538461538E-3</v>
      </c>
      <c r="P1144">
        <f t="shared" si="151"/>
        <v>10.669115858066476</v>
      </c>
      <c r="Q1144">
        <f t="shared" ref="Q1144" si="159">ABS(0.5*(SUMPRODUCT(O1144:O1162,P1145:P1163)+O1163*P1144-(SUMPRODUCT(O1145:O1163,P1144:P1162)+O1144*P1163)))</f>
        <v>5.2174065786596557E-3</v>
      </c>
      <c r="R1144">
        <f t="shared" si="156"/>
        <v>1.8121066593568553E-3</v>
      </c>
    </row>
    <row r="1145" spans="1:18" x14ac:dyDescent="0.2">
      <c r="A1145" t="s">
        <v>1156</v>
      </c>
      <c r="B1145">
        <v>5.6473308600000003</v>
      </c>
      <c r="C1145">
        <v>0.28399653000000002</v>
      </c>
      <c r="D1145">
        <v>5.7993191099999999</v>
      </c>
      <c r="E1145">
        <v>0.84944392999999996</v>
      </c>
      <c r="F1145">
        <v>3.22844994</v>
      </c>
      <c r="G1145">
        <v>1.28943326</v>
      </c>
      <c r="H1145">
        <v>2.6416792600000001</v>
      </c>
      <c r="I1145">
        <v>9.8609400000000003E-3</v>
      </c>
      <c r="J1145">
        <v>1</v>
      </c>
      <c r="K1145">
        <v>950054</v>
      </c>
      <c r="L1145">
        <f t="shared" si="152"/>
        <v>1.2417115153846154E-2</v>
      </c>
      <c r="M1145">
        <f t="shared" si="153"/>
        <v>4.9593586923076926E-3</v>
      </c>
      <c r="N1145">
        <f t="shared" si="154"/>
        <v>1.0160304846153847E-2</v>
      </c>
      <c r="O1145">
        <f t="shared" si="155"/>
        <v>7.5598317692307697E-3</v>
      </c>
      <c r="P1145">
        <f t="shared" si="151"/>
        <v>16.070916113936267</v>
      </c>
      <c r="R1145">
        <f t="shared" si="156"/>
        <v>2.9235783071207317E-3</v>
      </c>
    </row>
    <row r="1146" spans="1:18" x14ac:dyDescent="0.2">
      <c r="A1146" t="s">
        <v>1157</v>
      </c>
      <c r="B1146">
        <v>5.7052082799999999</v>
      </c>
      <c r="C1146">
        <v>0.39239316000000002</v>
      </c>
      <c r="D1146">
        <v>5.8679016500000003</v>
      </c>
      <c r="E1146">
        <v>0.79018040000000001</v>
      </c>
      <c r="F1146">
        <v>3.2293947599999999</v>
      </c>
      <c r="G1146">
        <v>1.30519534</v>
      </c>
      <c r="H1146">
        <v>2.7053543000000002</v>
      </c>
      <c r="I1146">
        <v>9.6783300000000006E-3</v>
      </c>
      <c r="J1146">
        <v>1</v>
      </c>
      <c r="K1146">
        <v>950054</v>
      </c>
      <c r="L1146">
        <f t="shared" si="152"/>
        <v>1.2420749076923077E-2</v>
      </c>
      <c r="M1146">
        <f t="shared" si="153"/>
        <v>5.0199820769230774E-3</v>
      </c>
      <c r="N1146">
        <f t="shared" si="154"/>
        <v>1.0405208846153848E-2</v>
      </c>
      <c r="O1146">
        <f t="shared" si="155"/>
        <v>7.7125954615384629E-3</v>
      </c>
      <c r="P1146">
        <f t="shared" si="151"/>
        <v>22.204910595359639</v>
      </c>
      <c r="R1146">
        <f t="shared" si="156"/>
        <v>3.8357885115598276E-3</v>
      </c>
    </row>
    <row r="1147" spans="1:18" x14ac:dyDescent="0.2">
      <c r="A1147" t="s">
        <v>1158</v>
      </c>
      <c r="B1147">
        <v>5.7708719000000004</v>
      </c>
      <c r="C1147">
        <v>0.52627157999999996</v>
      </c>
      <c r="D1147">
        <v>5.9431377200000002</v>
      </c>
      <c r="E1147">
        <v>0.61238981000000003</v>
      </c>
      <c r="F1147">
        <v>3.23663838</v>
      </c>
      <c r="G1147">
        <v>1.31925892</v>
      </c>
      <c r="H1147">
        <v>2.7680274599999999</v>
      </c>
      <c r="I1147">
        <v>9.4957199999999992E-3</v>
      </c>
      <c r="J1147">
        <v>1</v>
      </c>
      <c r="K1147">
        <v>950054</v>
      </c>
      <c r="L1147">
        <f t="shared" si="152"/>
        <v>1.2448609153846154E-2</v>
      </c>
      <c r="M1147">
        <f t="shared" si="153"/>
        <v>5.0740727692307691E-3</v>
      </c>
      <c r="N1147">
        <f t="shared" si="154"/>
        <v>1.0646259461538462E-2</v>
      </c>
      <c r="O1147">
        <f t="shared" si="155"/>
        <v>7.8601661153846151E-3</v>
      </c>
      <c r="P1147">
        <f t="shared" si="151"/>
        <v>29.780879418944654</v>
      </c>
      <c r="R1147">
        <f t="shared" si="156"/>
        <v>4.3986524008992577E-3</v>
      </c>
    </row>
    <row r="1148" spans="1:18" x14ac:dyDescent="0.2">
      <c r="A1148" t="s">
        <v>1159</v>
      </c>
      <c r="B1148">
        <v>5.8318637999999998</v>
      </c>
      <c r="C1148">
        <v>0.70517222999999996</v>
      </c>
      <c r="D1148">
        <v>6.0086494000000004</v>
      </c>
      <c r="E1148">
        <v>0.61238981000000003</v>
      </c>
      <c r="F1148">
        <v>3.24718887</v>
      </c>
      <c r="G1148">
        <v>1.32985756</v>
      </c>
      <c r="H1148">
        <v>2.8230751999999999</v>
      </c>
      <c r="I1148">
        <v>9.4957199999999992E-3</v>
      </c>
      <c r="J1148">
        <v>1</v>
      </c>
      <c r="K1148">
        <v>950054</v>
      </c>
      <c r="L1148">
        <f t="shared" si="152"/>
        <v>1.2489187961538462E-2</v>
      </c>
      <c r="M1148">
        <f t="shared" si="153"/>
        <v>5.1148367692307696E-3</v>
      </c>
      <c r="N1148">
        <f t="shared" si="154"/>
        <v>1.0857981538461538E-2</v>
      </c>
      <c r="O1148">
        <f t="shared" si="155"/>
        <v>7.9864091538461527E-3</v>
      </c>
      <c r="P1148">
        <f t="shared" si="151"/>
        <v>39.904585292670191</v>
      </c>
      <c r="R1148">
        <f t="shared" si="156"/>
        <v>2.8168142335758669E-3</v>
      </c>
    </row>
    <row r="1149" spans="1:18" x14ac:dyDescent="0.2">
      <c r="A1149" t="s">
        <v>1160</v>
      </c>
      <c r="B1149">
        <v>5.8715734199999998</v>
      </c>
      <c r="C1149">
        <v>0.82518749999999996</v>
      </c>
      <c r="D1149">
        <v>6.0414052399999996</v>
      </c>
      <c r="E1149">
        <v>0.53337177000000002</v>
      </c>
      <c r="F1149">
        <v>3.2605738199999998</v>
      </c>
      <c r="G1149">
        <v>1.33563246</v>
      </c>
      <c r="H1149">
        <v>2.8511278400000002</v>
      </c>
      <c r="I1149">
        <v>9.4957199999999992E-3</v>
      </c>
      <c r="J1149">
        <v>1</v>
      </c>
      <c r="K1149">
        <v>950054</v>
      </c>
      <c r="L1149">
        <f t="shared" si="152"/>
        <v>1.2540668538461537E-2</v>
      </c>
      <c r="M1149">
        <f t="shared" si="153"/>
        <v>5.1370479230769235E-3</v>
      </c>
      <c r="N1149">
        <f t="shared" si="154"/>
        <v>1.0965876307692309E-2</v>
      </c>
      <c r="O1149">
        <f t="shared" si="155"/>
        <v>8.0514621153846156E-3</v>
      </c>
      <c r="P1149">
        <f t="shared" si="151"/>
        <v>46.696060303162092</v>
      </c>
      <c r="R1149">
        <f t="shared" si="156"/>
        <v>8.7223770123541348E-4</v>
      </c>
    </row>
    <row r="1150" spans="1:18" x14ac:dyDescent="0.2">
      <c r="A1150" t="s">
        <v>1161</v>
      </c>
      <c r="B1150">
        <v>5.8816954800000003</v>
      </c>
      <c r="C1150">
        <v>0.85383801000000004</v>
      </c>
      <c r="D1150">
        <v>6.0490823899999997</v>
      </c>
      <c r="E1150">
        <v>0.53337177000000002</v>
      </c>
      <c r="F1150">
        <v>3.2788403399999999</v>
      </c>
      <c r="G1150">
        <v>1.3367195000000001</v>
      </c>
      <c r="H1150">
        <v>2.8595881599999999</v>
      </c>
      <c r="I1150">
        <v>9.4957199999999992E-3</v>
      </c>
      <c r="J1150">
        <v>1</v>
      </c>
      <c r="K1150">
        <v>950054</v>
      </c>
      <c r="L1150">
        <f t="shared" si="152"/>
        <v>1.2610924384615384E-2</v>
      </c>
      <c r="M1150">
        <f t="shared" si="153"/>
        <v>5.1412288461538461E-3</v>
      </c>
      <c r="N1150">
        <f t="shared" si="154"/>
        <v>1.0998416E-2</v>
      </c>
      <c r="O1150">
        <f t="shared" si="155"/>
        <v>8.0698224230769233E-3</v>
      </c>
      <c r="P1150">
        <f t="shared" si="151"/>
        <v>48.317347516887878</v>
      </c>
      <c r="R1150">
        <f t="shared" si="156"/>
        <v>2.94924172076067E-4</v>
      </c>
    </row>
    <row r="1151" spans="1:18" x14ac:dyDescent="0.2">
      <c r="A1151" t="s">
        <v>1162</v>
      </c>
      <c r="B1151">
        <v>5.88429088</v>
      </c>
      <c r="C1151">
        <v>0.85502628000000003</v>
      </c>
      <c r="D1151">
        <v>6.0542004900000004</v>
      </c>
      <c r="E1151">
        <v>0.53337177000000002</v>
      </c>
      <c r="F1151">
        <v>3.2947448100000001</v>
      </c>
      <c r="G1151">
        <v>1.3373309600000001</v>
      </c>
      <c r="H1151">
        <v>2.8621485199999999</v>
      </c>
      <c r="I1151">
        <v>9.4957199999999992E-3</v>
      </c>
      <c r="J1151">
        <v>1</v>
      </c>
      <c r="K1151">
        <v>950054</v>
      </c>
      <c r="L1151">
        <f t="shared" si="152"/>
        <v>1.2672095423076924E-2</v>
      </c>
      <c r="M1151">
        <f t="shared" si="153"/>
        <v>5.1435806153846157E-3</v>
      </c>
      <c r="N1151">
        <f t="shared" si="154"/>
        <v>1.1008263538461538E-2</v>
      </c>
      <c r="O1151">
        <f t="shared" si="155"/>
        <v>8.0759220769230766E-3</v>
      </c>
      <c r="P1151">
        <f t="shared" si="151"/>
        <v>48.384589843724434</v>
      </c>
      <c r="R1151">
        <f t="shared" si="156"/>
        <v>-9.9598268546990029E-5</v>
      </c>
    </row>
    <row r="1152" spans="1:18" x14ac:dyDescent="0.2">
      <c r="A1152" t="s">
        <v>1163</v>
      </c>
      <c r="B1152">
        <v>5.8809168600000001</v>
      </c>
      <c r="C1152">
        <v>0.81634149</v>
      </c>
      <c r="D1152">
        <v>6.04754696</v>
      </c>
      <c r="E1152">
        <v>0.53337177000000002</v>
      </c>
      <c r="F1152">
        <v>3.30718494</v>
      </c>
      <c r="G1152">
        <v>1.3377386</v>
      </c>
      <c r="H1152">
        <v>2.8606457000000001</v>
      </c>
      <c r="I1152">
        <v>9.6783300000000006E-3</v>
      </c>
      <c r="J1152">
        <v>1</v>
      </c>
      <c r="K1152">
        <v>950054</v>
      </c>
      <c r="L1152">
        <f t="shared" si="152"/>
        <v>1.2719942076923077E-2</v>
      </c>
      <c r="M1152">
        <f t="shared" si="153"/>
        <v>5.1451484615384615E-3</v>
      </c>
      <c r="N1152">
        <f t="shared" si="154"/>
        <v>1.1002483461538462E-2</v>
      </c>
      <c r="O1152">
        <f t="shared" si="155"/>
        <v>8.0738159615384615E-3</v>
      </c>
      <c r="P1152">
        <f t="shared" si="151"/>
        <v>46.195478536712194</v>
      </c>
      <c r="R1152">
        <f t="shared" si="156"/>
        <v>-1.0275860483286857E-3</v>
      </c>
    </row>
    <row r="1153" spans="1:19" x14ac:dyDescent="0.2">
      <c r="A1153" t="s">
        <v>1164</v>
      </c>
      <c r="B1153">
        <v>5.8658635400000003</v>
      </c>
      <c r="C1153">
        <v>0.70517222999999996</v>
      </c>
      <c r="D1153">
        <v>6.0321926599999998</v>
      </c>
      <c r="E1153">
        <v>0.53337177000000002</v>
      </c>
      <c r="F1153">
        <v>3.3186802499999999</v>
      </c>
      <c r="G1153">
        <v>1.3377386</v>
      </c>
      <c r="H1153">
        <v>2.84823352</v>
      </c>
      <c r="I1153">
        <v>9.6783300000000006E-3</v>
      </c>
      <c r="J1153">
        <v>1</v>
      </c>
      <c r="K1153">
        <v>950054</v>
      </c>
      <c r="L1153">
        <f t="shared" si="152"/>
        <v>1.2764154807692307E-2</v>
      </c>
      <c r="M1153">
        <f t="shared" si="153"/>
        <v>5.1451484615384615E-3</v>
      </c>
      <c r="N1153">
        <f t="shared" si="154"/>
        <v>1.0954744307692308E-2</v>
      </c>
      <c r="O1153">
        <f t="shared" si="155"/>
        <v>8.0499463846153835E-3</v>
      </c>
      <c r="P1153">
        <f t="shared" si="151"/>
        <v>39.904585292670191</v>
      </c>
      <c r="R1153">
        <f t="shared" si="156"/>
        <v>-9.8746150045359981E-4</v>
      </c>
    </row>
    <row r="1154" spans="1:19" x14ac:dyDescent="0.2">
      <c r="A1154" t="s">
        <v>1165</v>
      </c>
      <c r="B1154">
        <v>5.8461385000000003</v>
      </c>
      <c r="C1154">
        <v>0.61486370999999995</v>
      </c>
      <c r="D1154">
        <v>6.0163265499999996</v>
      </c>
      <c r="E1154">
        <v>0.47410824000000001</v>
      </c>
      <c r="F1154">
        <v>3.3293882099999998</v>
      </c>
      <c r="G1154">
        <v>1.3377386</v>
      </c>
      <c r="H1154">
        <v>2.8344855</v>
      </c>
      <c r="I1154">
        <v>9.4957199999999992E-3</v>
      </c>
      <c r="J1154">
        <v>1</v>
      </c>
      <c r="K1154">
        <v>950054</v>
      </c>
      <c r="L1154">
        <f t="shared" si="152"/>
        <v>1.2805339269230769E-2</v>
      </c>
      <c r="M1154">
        <f t="shared" si="153"/>
        <v>5.1451484615384615E-3</v>
      </c>
      <c r="N1154">
        <f t="shared" si="154"/>
        <v>1.0901867307692308E-2</v>
      </c>
      <c r="O1154">
        <f t="shared" si="155"/>
        <v>8.0235078846153853E-3</v>
      </c>
      <c r="P1154">
        <f t="shared" si="151"/>
        <v>34.794168453092134</v>
      </c>
      <c r="R1154">
        <f t="shared" si="156"/>
        <v>-1.3232184411603202E-3</v>
      </c>
    </row>
    <row r="1155" spans="1:19" x14ac:dyDescent="0.2">
      <c r="A1155" t="s">
        <v>1166</v>
      </c>
      <c r="B1155">
        <v>5.8279706999999998</v>
      </c>
      <c r="C1155">
        <v>0.52297083</v>
      </c>
      <c r="D1155">
        <v>5.9932951000000001</v>
      </c>
      <c r="E1155">
        <v>0.47410824000000001</v>
      </c>
      <c r="F1155">
        <v>3.33505713</v>
      </c>
      <c r="G1155">
        <v>1.33712714</v>
      </c>
      <c r="H1155">
        <v>2.8137243199999999</v>
      </c>
      <c r="I1155">
        <v>9.4957199999999992E-3</v>
      </c>
      <c r="J1155">
        <v>1</v>
      </c>
      <c r="K1155">
        <v>950054</v>
      </c>
      <c r="L1155">
        <f t="shared" si="152"/>
        <v>1.2827142807692309E-2</v>
      </c>
      <c r="M1155">
        <f t="shared" si="153"/>
        <v>5.1427966923076919E-3</v>
      </c>
      <c r="N1155">
        <f t="shared" si="154"/>
        <v>1.0822016615384615E-2</v>
      </c>
      <c r="O1155">
        <f t="shared" si="155"/>
        <v>7.9824066538461535E-3</v>
      </c>
      <c r="P1155">
        <f t="shared" ref="P1155:P1218" si="160">+C1155*4/(PI()*0.15^2)</f>
        <v>29.594095177732008</v>
      </c>
      <c r="R1155">
        <f t="shared" si="156"/>
        <v>-2.0705180078711147E-3</v>
      </c>
    </row>
    <row r="1156" spans="1:19" x14ac:dyDescent="0.2">
      <c r="A1156" t="s">
        <v>1167</v>
      </c>
      <c r="B1156">
        <v>5.7913755599999996</v>
      </c>
      <c r="C1156">
        <v>0.41985539999999999</v>
      </c>
      <c r="D1156">
        <v>5.9477440100000001</v>
      </c>
      <c r="E1156">
        <v>0.47410824000000001</v>
      </c>
      <c r="F1156">
        <v>3.3374191799999999</v>
      </c>
      <c r="G1156">
        <v>1.3327789800000001</v>
      </c>
      <c r="H1156">
        <v>2.7777123000000001</v>
      </c>
      <c r="I1156">
        <v>9.4957199999999992E-3</v>
      </c>
      <c r="J1156">
        <v>1</v>
      </c>
      <c r="K1156">
        <v>950054</v>
      </c>
      <c r="L1156">
        <f t="shared" ref="L1156:L1219" si="161">+F1156/260</f>
        <v>1.2836227615384615E-2</v>
      </c>
      <c r="M1156">
        <f t="shared" ref="M1156:M1219" si="162">+G1156/260</f>
        <v>5.1260730000000001E-3</v>
      </c>
      <c r="N1156">
        <f t="shared" ref="N1156:N1219" si="163">+H1156/260</f>
        <v>1.0683508846153846E-2</v>
      </c>
      <c r="O1156">
        <f t="shared" ref="O1156:O1219" si="164">(+G1156+H1156)/520</f>
        <v>7.9047909230769223E-3</v>
      </c>
      <c r="P1156">
        <f t="shared" si="160"/>
        <v>23.758955482248872</v>
      </c>
      <c r="R1156">
        <f t="shared" ref="R1156:R1219" si="165">+(P1156+P1157)/2*(O1157-O1156)</f>
        <v>-2.1993600295901186E-3</v>
      </c>
    </row>
    <row r="1157" spans="1:19" x14ac:dyDescent="0.2">
      <c r="A1157" t="s">
        <v>1168</v>
      </c>
      <c r="B1157">
        <v>5.7503682400000002</v>
      </c>
      <c r="C1157">
        <v>0.32400161999999999</v>
      </c>
      <c r="D1157">
        <v>5.8960511999999996</v>
      </c>
      <c r="E1157">
        <v>0.47410824000000001</v>
      </c>
      <c r="F1157">
        <v>3.3374191799999999</v>
      </c>
      <c r="G1157">
        <v>1.32530558</v>
      </c>
      <c r="H1157">
        <v>2.7308465800000001</v>
      </c>
      <c r="I1157">
        <v>9.4957199999999992E-3</v>
      </c>
      <c r="J1157">
        <v>1</v>
      </c>
      <c r="K1157">
        <v>950054</v>
      </c>
      <c r="L1157">
        <f t="shared" si="161"/>
        <v>1.2836227615384615E-2</v>
      </c>
      <c r="M1157">
        <f t="shared" si="162"/>
        <v>5.097329153846154E-3</v>
      </c>
      <c r="N1157">
        <f t="shared" si="163"/>
        <v>1.0503256076923078E-2</v>
      </c>
      <c r="O1157">
        <f t="shared" si="164"/>
        <v>7.8002926153846151E-3</v>
      </c>
      <c r="P1157">
        <f t="shared" si="160"/>
        <v>18.334741117433563</v>
      </c>
      <c r="R1157">
        <f t="shared" si="165"/>
        <v>-1.9894864914694731E-3</v>
      </c>
      <c r="S1157">
        <f>ABS(SUMIFS($R:$R,$K:$K,K1157))</f>
        <v>5.2202678727139209E-3</v>
      </c>
    </row>
    <row r="1158" spans="1:19" x14ac:dyDescent="0.2">
      <c r="A1158" t="s">
        <v>1169</v>
      </c>
      <c r="B1158">
        <v>5.7005365599999998</v>
      </c>
      <c r="C1158">
        <v>0.24016256999999999</v>
      </c>
      <c r="D1158">
        <v>5.8382166700000004</v>
      </c>
      <c r="E1158">
        <v>0.47410824000000001</v>
      </c>
      <c r="F1158">
        <v>3.3308054399999998</v>
      </c>
      <c r="G1158">
        <v>1.31348402</v>
      </c>
      <c r="H1158">
        <v>2.6778582599999998</v>
      </c>
      <c r="I1158">
        <v>9.3131099999999994E-3</v>
      </c>
      <c r="J1158">
        <v>1</v>
      </c>
      <c r="K1158">
        <v>950054</v>
      </c>
      <c r="L1158">
        <f t="shared" si="161"/>
        <v>1.2810790153846154E-2</v>
      </c>
      <c r="M1158">
        <f t="shared" si="162"/>
        <v>5.0518616153846152E-3</v>
      </c>
      <c r="N1158">
        <f t="shared" si="163"/>
        <v>1.0299454846153846E-2</v>
      </c>
      <c r="O1158">
        <f t="shared" si="164"/>
        <v>7.6756582307692302E-3</v>
      </c>
      <c r="P1158">
        <f t="shared" si="160"/>
        <v>13.590421390632295</v>
      </c>
      <c r="R1158">
        <f t="shared" si="165"/>
        <v>-1.5208142993769435E-3</v>
      </c>
    </row>
    <row r="1159" spans="1:19" x14ac:dyDescent="0.2">
      <c r="A1159" t="s">
        <v>1170</v>
      </c>
      <c r="B1159">
        <v>5.6473308600000003</v>
      </c>
      <c r="C1159">
        <v>0.16516953000000001</v>
      </c>
      <c r="D1159">
        <v>5.7808939500000003</v>
      </c>
      <c r="E1159">
        <v>0.61238981000000003</v>
      </c>
      <c r="F1159">
        <v>3.31726302</v>
      </c>
      <c r="G1159">
        <v>1.2987410399999999</v>
      </c>
      <c r="H1159">
        <v>2.6236454199999999</v>
      </c>
      <c r="I1159">
        <v>9.3131099999999994E-3</v>
      </c>
      <c r="J1159">
        <v>1</v>
      </c>
      <c r="K1159">
        <v>950054</v>
      </c>
      <c r="L1159">
        <f t="shared" si="161"/>
        <v>1.2758703923076924E-2</v>
      </c>
      <c r="M1159">
        <f t="shared" si="162"/>
        <v>4.9951578461538458E-3</v>
      </c>
      <c r="N1159">
        <f t="shared" si="163"/>
        <v>1.0090943923076922E-2</v>
      </c>
      <c r="O1159">
        <f t="shared" si="164"/>
        <v>7.5430508846153843E-3</v>
      </c>
      <c r="P1159">
        <f t="shared" si="160"/>
        <v>9.3466834302809243</v>
      </c>
      <c r="R1159">
        <f t="shared" si="165"/>
        <v>-9.9257271414355435E-4</v>
      </c>
    </row>
    <row r="1160" spans="1:19" x14ac:dyDescent="0.2">
      <c r="A1160" t="s">
        <v>1171</v>
      </c>
      <c r="B1160">
        <v>5.5951633200000002</v>
      </c>
      <c r="C1160">
        <v>9.9946709999999994E-2</v>
      </c>
      <c r="D1160">
        <v>5.7307365700000004</v>
      </c>
      <c r="E1160">
        <v>0.79018040000000001</v>
      </c>
      <c r="F1160">
        <v>3.3029332500000002</v>
      </c>
      <c r="G1160">
        <v>1.2835904199999999</v>
      </c>
      <c r="H1160">
        <v>2.5699891799999999</v>
      </c>
      <c r="I1160">
        <v>9.6783300000000006E-3</v>
      </c>
      <c r="J1160">
        <v>1</v>
      </c>
      <c r="K1160">
        <v>950054</v>
      </c>
      <c r="L1160">
        <f t="shared" si="161"/>
        <v>1.2703589423076924E-2</v>
      </c>
      <c r="M1160">
        <f t="shared" si="162"/>
        <v>4.9368862307692307E-3</v>
      </c>
      <c r="N1160">
        <f t="shared" si="163"/>
        <v>9.8845737692307683E-3</v>
      </c>
      <c r="O1160">
        <f t="shared" si="164"/>
        <v>7.4107299999999999E-3</v>
      </c>
      <c r="P1160">
        <f t="shared" si="160"/>
        <v>5.6558268239189919</v>
      </c>
      <c r="R1160">
        <f t="shared" si="165"/>
        <v>-4.0447200122681407E-4</v>
      </c>
    </row>
    <row r="1161" spans="1:19" x14ac:dyDescent="0.2">
      <c r="A1161" t="s">
        <v>1172</v>
      </c>
      <c r="B1161">
        <v>5.55467508</v>
      </c>
      <c r="C1161">
        <v>5.4000270000000003E-2</v>
      </c>
      <c r="D1161">
        <v>5.6918390099999998</v>
      </c>
      <c r="E1161">
        <v>1.1457615800000001</v>
      </c>
      <c r="F1161">
        <v>3.2851391400000001</v>
      </c>
      <c r="G1161">
        <v>1.2726520800000001</v>
      </c>
      <c r="H1161">
        <v>2.5326413200000002</v>
      </c>
      <c r="I1161">
        <v>1.004355E-2</v>
      </c>
      <c r="J1161">
        <v>1</v>
      </c>
      <c r="K1161">
        <v>950054</v>
      </c>
      <c r="L1161">
        <f t="shared" si="161"/>
        <v>1.2635150538461539E-2</v>
      </c>
      <c r="M1161">
        <f t="shared" si="162"/>
        <v>4.8948156923076924E-3</v>
      </c>
      <c r="N1161">
        <f t="shared" si="163"/>
        <v>9.740928153846154E-3</v>
      </c>
      <c r="O1161">
        <f t="shared" si="164"/>
        <v>7.3178719230769232E-3</v>
      </c>
      <c r="P1161">
        <f t="shared" si="160"/>
        <v>3.0557901862389274</v>
      </c>
      <c r="R1161">
        <f t="shared" si="165"/>
        <v>-7.6712920058850159E-5</v>
      </c>
    </row>
    <row r="1162" spans="1:19" x14ac:dyDescent="0.2">
      <c r="A1162" t="s">
        <v>1173</v>
      </c>
      <c r="B1162">
        <v>5.5396217600000002</v>
      </c>
      <c r="C1162">
        <v>5.162373E-2</v>
      </c>
      <c r="D1162">
        <v>5.6805791899999996</v>
      </c>
      <c r="E1162">
        <v>1.1457615800000001</v>
      </c>
      <c r="F1162">
        <v>3.2649829800000001</v>
      </c>
      <c r="G1162">
        <v>1.2693230200000001</v>
      </c>
      <c r="H1162">
        <v>2.5226225200000001</v>
      </c>
      <c r="I1162">
        <v>1.022616E-2</v>
      </c>
      <c r="J1162">
        <v>1</v>
      </c>
      <c r="K1162">
        <v>950054</v>
      </c>
      <c r="L1162">
        <f t="shared" si="161"/>
        <v>1.2557626846153847E-2</v>
      </c>
      <c r="M1162">
        <f t="shared" si="162"/>
        <v>4.882011615384616E-3</v>
      </c>
      <c r="N1162">
        <f t="shared" si="163"/>
        <v>9.7023943076923087E-3</v>
      </c>
      <c r="O1162">
        <f t="shared" si="164"/>
        <v>7.2922029615384619E-3</v>
      </c>
      <c r="P1162">
        <f t="shared" si="160"/>
        <v>2.9213055325658206</v>
      </c>
      <c r="R1162">
        <f t="shared" si="165"/>
        <v>1.7429693321105235E-4</v>
      </c>
    </row>
    <row r="1163" spans="1:19" x14ac:dyDescent="0.2">
      <c r="A1163" t="s">
        <v>1174</v>
      </c>
      <c r="B1163">
        <v>5.5577895599999998</v>
      </c>
      <c r="C1163">
        <v>0.10720836</v>
      </c>
      <c r="D1163">
        <v>5.6995161599999999</v>
      </c>
      <c r="E1163">
        <v>1.1457615800000001</v>
      </c>
      <c r="F1163">
        <v>3.2457716400000001</v>
      </c>
      <c r="G1163">
        <v>1.2691192</v>
      </c>
      <c r="H1163">
        <v>2.5429940800000002</v>
      </c>
      <c r="I1163">
        <v>1.004355E-2</v>
      </c>
      <c r="J1163">
        <v>1</v>
      </c>
      <c r="K1163">
        <v>950054</v>
      </c>
      <c r="L1163">
        <f t="shared" si="161"/>
        <v>1.2483737076923077E-2</v>
      </c>
      <c r="M1163">
        <f t="shared" si="162"/>
        <v>4.8812276923076922E-3</v>
      </c>
      <c r="N1163">
        <f t="shared" si="163"/>
        <v>9.7807464615384618E-3</v>
      </c>
      <c r="O1163">
        <f t="shared" si="164"/>
        <v>7.330987076923077E-3</v>
      </c>
      <c r="P1163">
        <f t="shared" si="160"/>
        <v>6.066752154586819</v>
      </c>
      <c r="R1163">
        <f t="shared" si="165"/>
        <v>7.8366967590531085E-4</v>
      </c>
    </row>
    <row r="1164" spans="1:19" x14ac:dyDescent="0.2">
      <c r="A1164" t="s">
        <v>1175</v>
      </c>
      <c r="B1164">
        <v>5.5959419400000003</v>
      </c>
      <c r="C1164">
        <v>0.18774666000000001</v>
      </c>
      <c r="D1164">
        <v>5.7399491500000002</v>
      </c>
      <c r="E1164">
        <v>1.0272345199999999</v>
      </c>
      <c r="F1164">
        <v>3.2350636800000001</v>
      </c>
      <c r="G1164">
        <v>1.2759811400000001</v>
      </c>
      <c r="H1164">
        <v>2.5849617199999999</v>
      </c>
      <c r="I1164">
        <v>9.8609400000000003E-3</v>
      </c>
      <c r="J1164">
        <v>1</v>
      </c>
      <c r="K1164">
        <v>950055</v>
      </c>
      <c r="L1164">
        <f t="shared" si="161"/>
        <v>1.2442552615384616E-2</v>
      </c>
      <c r="M1164">
        <f t="shared" si="162"/>
        <v>4.9076197692307696E-3</v>
      </c>
      <c r="N1164">
        <f t="shared" si="163"/>
        <v>9.9421604615384605E-3</v>
      </c>
      <c r="O1164">
        <f t="shared" si="164"/>
        <v>7.424890115384615E-3</v>
      </c>
      <c r="P1164">
        <f t="shared" si="160"/>
        <v>10.62428764017544</v>
      </c>
      <c r="Q1164">
        <f t="shared" ref="Q1164" si="166">ABS(0.5*(SUMPRODUCT(O1164:O1182,P1165:P1183)+O1183*P1164-(SUMPRODUCT(O1165:O1183,P1164:P1182)+O1164*P1183)))</f>
        <v>5.1820742812149767E-3</v>
      </c>
      <c r="R1164">
        <f t="shared" si="165"/>
        <v>1.7987957627384034E-3</v>
      </c>
    </row>
    <row r="1165" spans="1:19" x14ac:dyDescent="0.2">
      <c r="A1165" t="s">
        <v>1176</v>
      </c>
      <c r="B1165">
        <v>5.6473308600000003</v>
      </c>
      <c r="C1165">
        <v>0.28201608</v>
      </c>
      <c r="D1165">
        <v>5.7977836800000002</v>
      </c>
      <c r="E1165">
        <v>0.90870746000000002</v>
      </c>
      <c r="F1165">
        <v>3.22797753</v>
      </c>
      <c r="G1165">
        <v>1.2896370800000001</v>
      </c>
      <c r="H1165">
        <v>2.6416792600000001</v>
      </c>
      <c r="I1165">
        <v>9.6783300000000006E-3</v>
      </c>
      <c r="J1165">
        <v>1</v>
      </c>
      <c r="K1165">
        <v>950055</v>
      </c>
      <c r="L1165">
        <f t="shared" si="161"/>
        <v>1.2415298192307692E-2</v>
      </c>
      <c r="M1165">
        <f t="shared" si="162"/>
        <v>4.9601426153846155E-3</v>
      </c>
      <c r="N1165">
        <f t="shared" si="163"/>
        <v>1.0160304846153847E-2</v>
      </c>
      <c r="O1165">
        <f t="shared" si="164"/>
        <v>7.5602237307692312E-3</v>
      </c>
      <c r="P1165">
        <f t="shared" si="160"/>
        <v>15.958845569208677</v>
      </c>
      <c r="R1165">
        <f t="shared" si="165"/>
        <v>2.9255098783043994E-3</v>
      </c>
    </row>
    <row r="1166" spans="1:19" x14ac:dyDescent="0.2">
      <c r="A1166" t="s">
        <v>1177</v>
      </c>
      <c r="B1166">
        <v>5.7052082799999999</v>
      </c>
      <c r="C1166">
        <v>0.39371346000000002</v>
      </c>
      <c r="D1166">
        <v>5.8679016500000003</v>
      </c>
      <c r="E1166">
        <v>0.79018040000000001</v>
      </c>
      <c r="F1166">
        <v>3.2265603</v>
      </c>
      <c r="G1166">
        <v>1.30519534</v>
      </c>
      <c r="H1166">
        <v>2.7056882600000001</v>
      </c>
      <c r="I1166">
        <v>9.8609400000000003E-3</v>
      </c>
      <c r="J1166">
        <v>1</v>
      </c>
      <c r="K1166">
        <v>950055</v>
      </c>
      <c r="L1166">
        <f t="shared" si="161"/>
        <v>1.2409847307692307E-2</v>
      </c>
      <c r="M1166">
        <f t="shared" si="162"/>
        <v>5.0199820769230774E-3</v>
      </c>
      <c r="N1166">
        <f t="shared" si="163"/>
        <v>1.0406493307692308E-2</v>
      </c>
      <c r="O1166">
        <f t="shared" si="164"/>
        <v>7.7132376923076916E-3</v>
      </c>
      <c r="P1166">
        <f t="shared" si="160"/>
        <v>22.279624291844698</v>
      </c>
      <c r="R1166">
        <f t="shared" si="165"/>
        <v>3.8466449928455065E-3</v>
      </c>
    </row>
    <row r="1167" spans="1:19" x14ac:dyDescent="0.2">
      <c r="A1167" t="s">
        <v>1178</v>
      </c>
      <c r="B1167">
        <v>5.7685360399999999</v>
      </c>
      <c r="C1167">
        <v>0.52666767000000003</v>
      </c>
      <c r="D1167">
        <v>5.9369959999999997</v>
      </c>
      <c r="E1167">
        <v>0.61238981000000003</v>
      </c>
      <c r="F1167">
        <v>3.2336464500000002</v>
      </c>
      <c r="G1167">
        <v>1.3196665599999999</v>
      </c>
      <c r="H1167">
        <v>2.7680274599999999</v>
      </c>
      <c r="I1167">
        <v>1.004355E-2</v>
      </c>
      <c r="J1167">
        <v>1</v>
      </c>
      <c r="K1167">
        <v>950055</v>
      </c>
      <c r="L1167">
        <f t="shared" si="161"/>
        <v>1.2437101730769231E-2</v>
      </c>
      <c r="M1167">
        <f t="shared" si="162"/>
        <v>5.075640615384615E-3</v>
      </c>
      <c r="N1167">
        <f t="shared" si="163"/>
        <v>1.0646259461538462E-2</v>
      </c>
      <c r="O1167">
        <f t="shared" si="164"/>
        <v>7.860950038461538E-3</v>
      </c>
      <c r="P1167">
        <f t="shared" si="160"/>
        <v>29.803293527890176</v>
      </c>
      <c r="R1167">
        <f t="shared" si="165"/>
        <v>4.4165670279071451E-3</v>
      </c>
    </row>
    <row r="1168" spans="1:19" x14ac:dyDescent="0.2">
      <c r="A1168" t="s">
        <v>1179</v>
      </c>
      <c r="B1168">
        <v>5.8303065600000004</v>
      </c>
      <c r="C1168">
        <v>0.70596440999999999</v>
      </c>
      <c r="D1168">
        <v>6.0040431099999996</v>
      </c>
      <c r="E1168">
        <v>0.53337177000000002</v>
      </c>
      <c r="F1168">
        <v>3.24766128</v>
      </c>
      <c r="G1168">
        <v>1.33046902</v>
      </c>
      <c r="H1168">
        <v>2.8230751999999999</v>
      </c>
      <c r="I1168">
        <v>9.8609400000000003E-3</v>
      </c>
      <c r="J1168">
        <v>1</v>
      </c>
      <c r="K1168">
        <v>950055</v>
      </c>
      <c r="L1168">
        <f t="shared" si="161"/>
        <v>1.2491004923076922E-2</v>
      </c>
      <c r="M1168">
        <f t="shared" si="162"/>
        <v>5.1171885384615383E-3</v>
      </c>
      <c r="N1168">
        <f t="shared" si="163"/>
        <v>1.0857981538461538E-2</v>
      </c>
      <c r="O1168">
        <f t="shared" si="164"/>
        <v>7.9875850384615379E-3</v>
      </c>
      <c r="P1168">
        <f t="shared" si="160"/>
        <v>39.949413510561229</v>
      </c>
      <c r="R1168">
        <f t="shared" si="165"/>
        <v>2.7371452363736939E-3</v>
      </c>
    </row>
    <row r="1169" spans="1:19" x14ac:dyDescent="0.2">
      <c r="A1169" t="s">
        <v>1180</v>
      </c>
      <c r="B1169">
        <v>5.8692375600000002</v>
      </c>
      <c r="C1169">
        <v>0.82558359000000003</v>
      </c>
      <c r="D1169">
        <v>6.0398698099999999</v>
      </c>
      <c r="E1169">
        <v>0.53337177000000002</v>
      </c>
      <c r="F1169">
        <v>3.2615186399999998</v>
      </c>
      <c r="G1169">
        <v>1.3354286399999999</v>
      </c>
      <c r="H1169">
        <v>2.8509608599999998</v>
      </c>
      <c r="I1169">
        <v>9.8609400000000003E-3</v>
      </c>
      <c r="J1169">
        <v>1</v>
      </c>
      <c r="K1169">
        <v>950055</v>
      </c>
      <c r="L1169">
        <f t="shared" si="161"/>
        <v>1.254430246153846E-2</v>
      </c>
      <c r="M1169">
        <f t="shared" si="162"/>
        <v>5.1362639999999998E-3</v>
      </c>
      <c r="N1169">
        <f t="shared" si="163"/>
        <v>1.0965234076923076E-2</v>
      </c>
      <c r="O1169">
        <f t="shared" si="164"/>
        <v>8.0507490384615372E-3</v>
      </c>
      <c r="P1169">
        <f t="shared" si="160"/>
        <v>46.718474412107611</v>
      </c>
      <c r="R1169">
        <f t="shared" si="165"/>
        <v>9.2451628704225998E-4</v>
      </c>
    </row>
    <row r="1170" spans="1:19" x14ac:dyDescent="0.2">
      <c r="A1170" t="s">
        <v>1181</v>
      </c>
      <c r="B1170">
        <v>5.8816954800000003</v>
      </c>
      <c r="C1170">
        <v>0.85304583</v>
      </c>
      <c r="D1170">
        <v>6.0511296300000001</v>
      </c>
      <c r="E1170">
        <v>0.53337177000000002</v>
      </c>
      <c r="F1170">
        <v>3.2769507</v>
      </c>
      <c r="G1170">
        <v>1.3369233199999999</v>
      </c>
      <c r="H1170">
        <v>2.8595881599999999</v>
      </c>
      <c r="I1170">
        <v>9.6783300000000006E-3</v>
      </c>
      <c r="J1170">
        <v>1</v>
      </c>
      <c r="K1170">
        <v>950055</v>
      </c>
      <c r="L1170">
        <f t="shared" si="161"/>
        <v>1.2603656538461539E-2</v>
      </c>
      <c r="M1170">
        <f t="shared" si="162"/>
        <v>5.142012769230769E-3</v>
      </c>
      <c r="N1170">
        <f t="shared" si="163"/>
        <v>1.0998416E-2</v>
      </c>
      <c r="O1170">
        <f t="shared" si="164"/>
        <v>8.0702143846153838E-3</v>
      </c>
      <c r="P1170">
        <f t="shared" si="160"/>
        <v>48.272519298996841</v>
      </c>
      <c r="R1170">
        <f t="shared" si="165"/>
        <v>2.7565261991304406E-4</v>
      </c>
    </row>
    <row r="1171" spans="1:19" x14ac:dyDescent="0.2">
      <c r="A1171" t="s">
        <v>1182</v>
      </c>
      <c r="B1171">
        <v>5.8850695000000002</v>
      </c>
      <c r="C1171">
        <v>0.85383801000000004</v>
      </c>
      <c r="D1171">
        <v>6.0542004900000004</v>
      </c>
      <c r="E1171">
        <v>0.47410824000000001</v>
      </c>
      <c r="F1171">
        <v>3.2947448100000001</v>
      </c>
      <c r="G1171">
        <v>1.3373309600000001</v>
      </c>
      <c r="H1171">
        <v>2.8621485199999999</v>
      </c>
      <c r="I1171">
        <v>9.6783300000000006E-3</v>
      </c>
      <c r="J1171">
        <v>1</v>
      </c>
      <c r="K1171">
        <v>950055</v>
      </c>
      <c r="L1171">
        <f t="shared" si="161"/>
        <v>1.2672095423076924E-2</v>
      </c>
      <c r="M1171">
        <f t="shared" si="162"/>
        <v>5.1435806153846157E-3</v>
      </c>
      <c r="N1171">
        <f t="shared" si="163"/>
        <v>1.1008263538461538E-2</v>
      </c>
      <c r="O1171">
        <f t="shared" si="164"/>
        <v>8.0759220769230766E-3</v>
      </c>
      <c r="P1171">
        <f t="shared" si="160"/>
        <v>48.317347516887878</v>
      </c>
      <c r="R1171">
        <f t="shared" si="165"/>
        <v>-4.221635781082069E-5</v>
      </c>
    </row>
    <row r="1172" spans="1:19" x14ac:dyDescent="0.2">
      <c r="A1172" t="s">
        <v>1183</v>
      </c>
      <c r="B1172">
        <v>5.8793596199999998</v>
      </c>
      <c r="C1172">
        <v>0.81792584999999995</v>
      </c>
      <c r="D1172">
        <v>6.0490823899999997</v>
      </c>
      <c r="E1172">
        <v>0.47410824000000001</v>
      </c>
      <c r="F1172">
        <v>3.3081297599999999</v>
      </c>
      <c r="G1172">
        <v>1.3375347799999999</v>
      </c>
      <c r="H1172">
        <v>2.8614806000000002</v>
      </c>
      <c r="I1172">
        <v>9.6783300000000006E-3</v>
      </c>
      <c r="J1172">
        <v>1</v>
      </c>
      <c r="K1172">
        <v>950055</v>
      </c>
      <c r="L1172">
        <f t="shared" si="161"/>
        <v>1.2723576E-2</v>
      </c>
      <c r="M1172">
        <f t="shared" si="162"/>
        <v>5.1443645384615377E-3</v>
      </c>
      <c r="N1172">
        <f t="shared" si="163"/>
        <v>1.1005694615384616E-2</v>
      </c>
      <c r="O1172">
        <f t="shared" si="164"/>
        <v>8.0750295769230779E-3</v>
      </c>
      <c r="P1172">
        <f t="shared" si="160"/>
        <v>46.285134972494262</v>
      </c>
      <c r="R1172">
        <f t="shared" si="165"/>
        <v>-1.0707279545265208E-3</v>
      </c>
    </row>
    <row r="1173" spans="1:19" x14ac:dyDescent="0.2">
      <c r="A1173" t="s">
        <v>1184</v>
      </c>
      <c r="B1173">
        <v>5.8650849200000001</v>
      </c>
      <c r="C1173">
        <v>0.70596440999999999</v>
      </c>
      <c r="D1173">
        <v>6.0321926599999998</v>
      </c>
      <c r="E1173">
        <v>0.47410824000000001</v>
      </c>
      <c r="F1173">
        <v>3.3182078399999999</v>
      </c>
      <c r="G1173">
        <v>1.3375347799999999</v>
      </c>
      <c r="H1173">
        <v>2.8485674799999998</v>
      </c>
      <c r="I1173">
        <v>9.6783300000000006E-3</v>
      </c>
      <c r="J1173">
        <v>1</v>
      </c>
      <c r="K1173">
        <v>950055</v>
      </c>
      <c r="L1173">
        <f t="shared" si="161"/>
        <v>1.2762337846153845E-2</v>
      </c>
      <c r="M1173">
        <f t="shared" si="162"/>
        <v>5.1443645384615377E-3</v>
      </c>
      <c r="N1173">
        <f t="shared" si="163"/>
        <v>1.0956028769230769E-2</v>
      </c>
      <c r="O1173">
        <f t="shared" si="164"/>
        <v>8.0501966538461533E-3</v>
      </c>
      <c r="P1173">
        <f t="shared" si="160"/>
        <v>39.949413510561229</v>
      </c>
      <c r="R1173">
        <f t="shared" si="165"/>
        <v>-9.616934403675275E-4</v>
      </c>
    </row>
    <row r="1174" spans="1:19" x14ac:dyDescent="0.2">
      <c r="A1174" t="s">
        <v>1185</v>
      </c>
      <c r="B1174">
        <v>5.8476957399999998</v>
      </c>
      <c r="C1174">
        <v>0.61525980000000002</v>
      </c>
      <c r="D1174">
        <v>6.0163265499999996</v>
      </c>
      <c r="E1174">
        <v>0.47410824000000001</v>
      </c>
      <c r="F1174">
        <v>3.3293882099999998</v>
      </c>
      <c r="G1174">
        <v>1.3377386</v>
      </c>
      <c r="H1174">
        <v>2.8349864400000002</v>
      </c>
      <c r="I1174">
        <v>9.6783300000000006E-3</v>
      </c>
      <c r="J1174">
        <v>1</v>
      </c>
      <c r="K1174">
        <v>950055</v>
      </c>
      <c r="L1174">
        <f t="shared" si="161"/>
        <v>1.2805339269230769E-2</v>
      </c>
      <c r="M1174">
        <f t="shared" si="162"/>
        <v>5.1451484615384615E-3</v>
      </c>
      <c r="N1174">
        <f t="shared" si="163"/>
        <v>1.0903794000000001E-2</v>
      </c>
      <c r="O1174">
        <f t="shared" si="164"/>
        <v>8.0244712307692319E-3</v>
      </c>
      <c r="P1174">
        <f t="shared" si="160"/>
        <v>34.816582562037659</v>
      </c>
      <c r="R1174">
        <f t="shared" si="165"/>
        <v>-1.4016873796417828E-3</v>
      </c>
    </row>
    <row r="1175" spans="1:19" x14ac:dyDescent="0.2">
      <c r="A1175" t="s">
        <v>1186</v>
      </c>
      <c r="B1175">
        <v>5.8232989799999997</v>
      </c>
      <c r="C1175">
        <v>0.52099037999999998</v>
      </c>
      <c r="D1175">
        <v>5.9881770000000003</v>
      </c>
      <c r="E1175">
        <v>0.47410824000000001</v>
      </c>
      <c r="F1175">
        <v>3.33552954</v>
      </c>
      <c r="G1175">
        <v>1.3373309600000001</v>
      </c>
      <c r="H1175">
        <v>2.8127224399999999</v>
      </c>
      <c r="I1175">
        <v>9.4957199999999992E-3</v>
      </c>
      <c r="J1175">
        <v>1</v>
      </c>
      <c r="K1175">
        <v>950055</v>
      </c>
      <c r="L1175">
        <f t="shared" si="161"/>
        <v>1.2828959769230769E-2</v>
      </c>
      <c r="M1175">
        <f t="shared" si="162"/>
        <v>5.1435806153846157E-3</v>
      </c>
      <c r="N1175">
        <f t="shared" si="163"/>
        <v>1.0818163230769231E-2</v>
      </c>
      <c r="O1175">
        <f t="shared" si="164"/>
        <v>7.9808719230769227E-3</v>
      </c>
      <c r="P1175">
        <f t="shared" si="160"/>
        <v>29.482024633004418</v>
      </c>
      <c r="R1175">
        <f t="shared" si="165"/>
        <v>-2.04475906041345E-3</v>
      </c>
    </row>
    <row r="1176" spans="1:19" x14ac:dyDescent="0.2">
      <c r="A1176" t="s">
        <v>1187</v>
      </c>
      <c r="B1176">
        <v>5.7905969400000004</v>
      </c>
      <c r="C1176">
        <v>0.41787495000000002</v>
      </c>
      <c r="D1176">
        <v>5.9492794399999998</v>
      </c>
      <c r="E1176">
        <v>0.47410824000000001</v>
      </c>
      <c r="F1176">
        <v>3.33694677</v>
      </c>
      <c r="G1176">
        <v>1.3329827999999999</v>
      </c>
      <c r="H1176">
        <v>2.77704438</v>
      </c>
      <c r="I1176">
        <v>9.6783300000000006E-3</v>
      </c>
      <c r="J1176">
        <v>1</v>
      </c>
      <c r="K1176">
        <v>950055</v>
      </c>
      <c r="L1176">
        <f t="shared" si="161"/>
        <v>1.2834410653846154E-2</v>
      </c>
      <c r="M1176">
        <f t="shared" si="162"/>
        <v>5.126856923076923E-3</v>
      </c>
      <c r="N1176">
        <f t="shared" si="163"/>
        <v>1.0680939923076923E-2</v>
      </c>
      <c r="O1176">
        <f t="shared" si="164"/>
        <v>7.9038984230769219E-3</v>
      </c>
      <c r="P1176">
        <f t="shared" si="160"/>
        <v>23.646884937521286</v>
      </c>
      <c r="R1176">
        <f t="shared" si="165"/>
        <v>-2.1949915568261267E-3</v>
      </c>
    </row>
    <row r="1177" spans="1:19" x14ac:dyDescent="0.2">
      <c r="A1177" t="s">
        <v>1188</v>
      </c>
      <c r="B1177">
        <v>5.7464751400000003</v>
      </c>
      <c r="C1177">
        <v>0.32400161999999999</v>
      </c>
      <c r="D1177">
        <v>5.8929803400000003</v>
      </c>
      <c r="E1177">
        <v>0.47410824000000001</v>
      </c>
      <c r="F1177">
        <v>3.33647436</v>
      </c>
      <c r="G1177">
        <v>1.32530558</v>
      </c>
      <c r="H1177">
        <v>2.7303456399999999</v>
      </c>
      <c r="I1177">
        <v>9.4957199999999992E-3</v>
      </c>
      <c r="J1177">
        <v>1</v>
      </c>
      <c r="K1177">
        <v>950055</v>
      </c>
      <c r="L1177">
        <f t="shared" si="161"/>
        <v>1.2832593692307692E-2</v>
      </c>
      <c r="M1177">
        <f t="shared" si="162"/>
        <v>5.097329153846154E-3</v>
      </c>
      <c r="N1177">
        <f t="shared" si="163"/>
        <v>1.0501329384615385E-2</v>
      </c>
      <c r="O1177">
        <f t="shared" si="164"/>
        <v>7.7993292692307686E-3</v>
      </c>
      <c r="P1177">
        <f t="shared" si="160"/>
        <v>18.334741117433563</v>
      </c>
      <c r="R1177">
        <f t="shared" si="165"/>
        <v>-1.9959433833169936E-3</v>
      </c>
    </row>
    <row r="1178" spans="1:19" x14ac:dyDescent="0.2">
      <c r="A1178" t="s">
        <v>1189</v>
      </c>
      <c r="B1178">
        <v>5.6963839199999997</v>
      </c>
      <c r="C1178">
        <v>0.24135084000000001</v>
      </c>
      <c r="D1178">
        <v>5.8382166700000004</v>
      </c>
      <c r="E1178">
        <v>0.47410824000000001</v>
      </c>
      <c r="F1178">
        <v>3.3312778500000002</v>
      </c>
      <c r="G1178">
        <v>1.31307638</v>
      </c>
      <c r="H1178">
        <v>2.6776912799999999</v>
      </c>
      <c r="I1178">
        <v>9.4957199999999992E-3</v>
      </c>
      <c r="J1178">
        <v>1</v>
      </c>
      <c r="K1178">
        <v>950055</v>
      </c>
      <c r="L1178">
        <f t="shared" si="161"/>
        <v>1.2812607115384617E-2</v>
      </c>
      <c r="M1178">
        <f t="shared" si="162"/>
        <v>5.0502937692307693E-3</v>
      </c>
      <c r="N1178">
        <f t="shared" si="163"/>
        <v>1.0298812615384616E-2</v>
      </c>
      <c r="O1178">
        <f t="shared" si="164"/>
        <v>7.6745531923076921E-3</v>
      </c>
      <c r="P1178">
        <f t="shared" si="160"/>
        <v>13.65766371746885</v>
      </c>
      <c r="R1178">
        <f t="shared" si="165"/>
        <v>-1.5235750046579397E-3</v>
      </c>
      <c r="S1178">
        <f>ABS(SUMIFS($R:$R,$K:$K,K1178))</f>
        <v>5.1879088846962197E-3</v>
      </c>
    </row>
    <row r="1179" spans="1:19" x14ac:dyDescent="0.2">
      <c r="A1179" t="s">
        <v>1190</v>
      </c>
      <c r="B1179">
        <v>5.6457736199999999</v>
      </c>
      <c r="C1179">
        <v>0.1663578</v>
      </c>
      <c r="D1179">
        <v>5.7870356699999999</v>
      </c>
      <c r="E1179">
        <v>0.47410824000000001</v>
      </c>
      <c r="F1179">
        <v>3.3182078399999999</v>
      </c>
      <c r="G1179">
        <v>1.29894486</v>
      </c>
      <c r="H1179">
        <v>2.6231444800000001</v>
      </c>
      <c r="I1179">
        <v>9.6783300000000006E-3</v>
      </c>
      <c r="J1179">
        <v>1</v>
      </c>
      <c r="K1179">
        <v>950055</v>
      </c>
      <c r="L1179">
        <f t="shared" si="161"/>
        <v>1.2762337846153845E-2</v>
      </c>
      <c r="M1179">
        <f t="shared" si="162"/>
        <v>4.9959417692307688E-3</v>
      </c>
      <c r="N1179">
        <f t="shared" si="163"/>
        <v>1.0089017230769231E-2</v>
      </c>
      <c r="O1179">
        <f t="shared" si="164"/>
        <v>7.542479500000001E-3</v>
      </c>
      <c r="P1179">
        <f t="shared" si="160"/>
        <v>9.413925757117477</v>
      </c>
      <c r="R1179">
        <f t="shared" si="165"/>
        <v>-9.9661587111656426E-4</v>
      </c>
    </row>
    <row r="1180" spans="1:19" x14ac:dyDescent="0.2">
      <c r="A1180" t="s">
        <v>1191</v>
      </c>
      <c r="B1180">
        <v>5.5925679199999996</v>
      </c>
      <c r="C1180">
        <v>0.1003428</v>
      </c>
      <c r="D1180">
        <v>5.732272</v>
      </c>
      <c r="E1180">
        <v>0.67165333999999999</v>
      </c>
      <c r="F1180">
        <v>3.3004137299999998</v>
      </c>
      <c r="G1180">
        <v>1.2835904199999999</v>
      </c>
      <c r="H1180">
        <v>2.5698221999999999</v>
      </c>
      <c r="I1180">
        <v>9.4957199999999992E-3</v>
      </c>
      <c r="J1180">
        <v>1</v>
      </c>
      <c r="K1180">
        <v>950055</v>
      </c>
      <c r="L1180">
        <f t="shared" si="161"/>
        <v>1.269389896153846E-2</v>
      </c>
      <c r="M1180">
        <f t="shared" si="162"/>
        <v>4.9368862307692307E-3</v>
      </c>
      <c r="N1180">
        <f t="shared" si="163"/>
        <v>9.8839315384615378E-3</v>
      </c>
      <c r="O1180">
        <f t="shared" si="164"/>
        <v>7.4104088846153847E-3</v>
      </c>
      <c r="P1180">
        <f t="shared" si="160"/>
        <v>5.6782409328645098</v>
      </c>
      <c r="R1180">
        <f t="shared" si="165"/>
        <v>-4.0416340894734232E-4</v>
      </c>
    </row>
    <row r="1181" spans="1:19" x14ac:dyDescent="0.2">
      <c r="A1181" t="s">
        <v>1192</v>
      </c>
      <c r="B1181">
        <v>5.5523392200000004</v>
      </c>
      <c r="C1181">
        <v>5.3604180000000001E-2</v>
      </c>
      <c r="D1181">
        <v>5.6933744400000004</v>
      </c>
      <c r="E1181">
        <v>1.0864980500000001</v>
      </c>
      <c r="F1181">
        <v>3.2841943200000001</v>
      </c>
      <c r="G1181">
        <v>1.2728558999999999</v>
      </c>
      <c r="H1181">
        <v>2.5323073599999999</v>
      </c>
      <c r="I1181">
        <v>9.4957199999999992E-3</v>
      </c>
      <c r="J1181">
        <v>1</v>
      </c>
      <c r="K1181">
        <v>950055</v>
      </c>
      <c r="L1181">
        <f t="shared" si="161"/>
        <v>1.2631516615384615E-2</v>
      </c>
      <c r="M1181">
        <f t="shared" si="162"/>
        <v>4.8955996153846153E-3</v>
      </c>
      <c r="N1181">
        <f t="shared" si="163"/>
        <v>9.7396436923076913E-3</v>
      </c>
      <c r="O1181">
        <f t="shared" si="164"/>
        <v>7.3176216538461533E-3</v>
      </c>
      <c r="P1181">
        <f t="shared" si="160"/>
        <v>3.0333760772934095</v>
      </c>
      <c r="R1181">
        <f t="shared" si="165"/>
        <v>-8.1119897819450194E-5</v>
      </c>
    </row>
    <row r="1182" spans="1:19" x14ac:dyDescent="0.2">
      <c r="A1182" t="s">
        <v>1193</v>
      </c>
      <c r="B1182">
        <v>5.5435148600000002</v>
      </c>
      <c r="C1182">
        <v>5.0831550000000003E-2</v>
      </c>
      <c r="D1182">
        <v>5.6805791899999996</v>
      </c>
      <c r="E1182">
        <v>1.1457615800000001</v>
      </c>
      <c r="F1182">
        <v>3.2654553900000001</v>
      </c>
      <c r="G1182">
        <v>1.2693230200000001</v>
      </c>
      <c r="H1182">
        <v>2.52156498</v>
      </c>
      <c r="I1182">
        <v>9.4957199999999992E-3</v>
      </c>
      <c r="J1182">
        <v>1</v>
      </c>
      <c r="K1182">
        <v>950055</v>
      </c>
      <c r="L1182">
        <f t="shared" si="161"/>
        <v>1.2559443807692307E-2</v>
      </c>
      <c r="M1182">
        <f t="shared" si="162"/>
        <v>4.882011615384616E-3</v>
      </c>
      <c r="N1182">
        <f t="shared" si="163"/>
        <v>9.6983268461538468E-3</v>
      </c>
      <c r="O1182">
        <f t="shared" si="164"/>
        <v>7.2901692307692301E-3</v>
      </c>
      <c r="P1182">
        <f t="shared" si="160"/>
        <v>2.8764773146747848</v>
      </c>
      <c r="R1182">
        <f t="shared" si="165"/>
        <v>1.7702740142805433E-4</v>
      </c>
    </row>
    <row r="1183" spans="1:19" x14ac:dyDescent="0.2">
      <c r="A1183" t="s">
        <v>1194</v>
      </c>
      <c r="B1183">
        <v>5.5593468000000001</v>
      </c>
      <c r="C1183">
        <v>0.10800054000000001</v>
      </c>
      <c r="D1183">
        <v>5.7010515899999996</v>
      </c>
      <c r="E1183">
        <v>1.1457615800000001</v>
      </c>
      <c r="F1183">
        <v>3.2452992300000001</v>
      </c>
      <c r="G1183">
        <v>1.2687115600000001</v>
      </c>
      <c r="H1183">
        <v>2.5426601199999999</v>
      </c>
      <c r="I1183">
        <v>9.8609400000000003E-3</v>
      </c>
      <c r="J1183">
        <v>1</v>
      </c>
      <c r="K1183">
        <v>950055</v>
      </c>
      <c r="L1183">
        <f t="shared" si="161"/>
        <v>1.2481920115384616E-2</v>
      </c>
      <c r="M1183">
        <f t="shared" si="162"/>
        <v>4.8796598461538464E-3</v>
      </c>
      <c r="N1183">
        <f t="shared" si="163"/>
        <v>9.7794619999999992E-3</v>
      </c>
      <c r="O1183">
        <f t="shared" si="164"/>
        <v>7.3295609230769228E-3</v>
      </c>
      <c r="P1183">
        <f t="shared" si="160"/>
        <v>6.1115803724778548</v>
      </c>
      <c r="R1183">
        <f t="shared" si="165"/>
        <v>8.0354299358822794E-4</v>
      </c>
    </row>
    <row r="1184" spans="1:19" x14ac:dyDescent="0.2">
      <c r="A1184" t="s">
        <v>1195</v>
      </c>
      <c r="B1184">
        <v>5.5974991799999998</v>
      </c>
      <c r="C1184">
        <v>0.18853884000000001</v>
      </c>
      <c r="D1184">
        <v>5.7414845799999998</v>
      </c>
      <c r="E1184">
        <v>1.0864980500000001</v>
      </c>
      <c r="F1184">
        <v>3.2336464500000002</v>
      </c>
      <c r="G1184">
        <v>1.2757093799999999</v>
      </c>
      <c r="H1184">
        <v>2.5854626600000001</v>
      </c>
      <c r="I1184">
        <v>9.6783300000000006E-3</v>
      </c>
      <c r="J1184">
        <v>1</v>
      </c>
      <c r="K1184">
        <v>950056</v>
      </c>
      <c r="L1184">
        <f t="shared" si="161"/>
        <v>1.2437101730769231E-2</v>
      </c>
      <c r="M1184">
        <f t="shared" si="162"/>
        <v>4.9065745384615379E-3</v>
      </c>
      <c r="N1184">
        <f t="shared" si="163"/>
        <v>9.9440871538461536E-3</v>
      </c>
      <c r="O1184">
        <f t="shared" si="164"/>
        <v>7.4253308461538466E-3</v>
      </c>
      <c r="P1184">
        <f t="shared" si="160"/>
        <v>10.669115858066476</v>
      </c>
      <c r="Q1184">
        <f t="shared" ref="Q1184" si="167">ABS(0.5*(SUMPRODUCT(O1184:O1202,P1185:P1203)+O1203*P1184-(SUMPRODUCT(O1185:O1203,P1184:P1202)+O1184*P1203)))</f>
        <v>5.2380339653015362E-3</v>
      </c>
      <c r="R1184">
        <f t="shared" si="165"/>
        <v>1.8002365882137774E-3</v>
      </c>
    </row>
    <row r="1185" spans="1:19" x14ac:dyDescent="0.2">
      <c r="A1185" t="s">
        <v>1196</v>
      </c>
      <c r="B1185">
        <v>5.6473308600000003</v>
      </c>
      <c r="C1185">
        <v>0.28201608</v>
      </c>
      <c r="D1185">
        <v>5.8023899700000001</v>
      </c>
      <c r="E1185">
        <v>0.84944392999999996</v>
      </c>
      <c r="F1185">
        <v>3.22797753</v>
      </c>
      <c r="G1185">
        <v>1.2896370800000001</v>
      </c>
      <c r="H1185">
        <v>2.64184624</v>
      </c>
      <c r="I1185">
        <v>9.6783300000000006E-3</v>
      </c>
      <c r="J1185">
        <v>1</v>
      </c>
      <c r="K1185">
        <v>950056</v>
      </c>
      <c r="L1185">
        <f t="shared" si="161"/>
        <v>1.2415298192307692E-2</v>
      </c>
      <c r="M1185">
        <f t="shared" si="162"/>
        <v>4.9601426153846155E-3</v>
      </c>
      <c r="N1185">
        <f t="shared" si="163"/>
        <v>1.0160947076923077E-2</v>
      </c>
      <c r="O1185">
        <f t="shared" si="164"/>
        <v>7.5605448461538455E-3</v>
      </c>
      <c r="P1185">
        <f t="shared" si="160"/>
        <v>15.958845569208677</v>
      </c>
      <c r="R1185">
        <f t="shared" si="165"/>
        <v>2.8874594938523503E-3</v>
      </c>
    </row>
    <row r="1186" spans="1:19" x14ac:dyDescent="0.2">
      <c r="A1186" t="s">
        <v>1197</v>
      </c>
      <c r="B1186">
        <v>5.7075441400000004</v>
      </c>
      <c r="C1186">
        <v>0.39199707</v>
      </c>
      <c r="D1186">
        <v>5.8663662199999997</v>
      </c>
      <c r="E1186">
        <v>0.73091687000000005</v>
      </c>
      <c r="F1186">
        <v>3.22797753</v>
      </c>
      <c r="G1186">
        <v>1.30519534</v>
      </c>
      <c r="H1186">
        <v>2.7050203399999999</v>
      </c>
      <c r="I1186">
        <v>9.6783300000000006E-3</v>
      </c>
      <c r="J1186">
        <v>1</v>
      </c>
      <c r="K1186">
        <v>950056</v>
      </c>
      <c r="L1186">
        <f t="shared" si="161"/>
        <v>1.2415298192307692E-2</v>
      </c>
      <c r="M1186">
        <f t="shared" si="162"/>
        <v>5.0199820769230774E-3</v>
      </c>
      <c r="N1186">
        <f t="shared" si="163"/>
        <v>1.0403924384615385E-2</v>
      </c>
      <c r="O1186">
        <f t="shared" si="164"/>
        <v>7.7119532307692307E-3</v>
      </c>
      <c r="P1186">
        <f t="shared" si="160"/>
        <v>22.18249648641412</v>
      </c>
      <c r="R1186">
        <f t="shared" si="165"/>
        <v>3.8156077371020026E-3</v>
      </c>
    </row>
    <row r="1187" spans="1:19" x14ac:dyDescent="0.2">
      <c r="A1187" t="s">
        <v>1198</v>
      </c>
      <c r="B1187">
        <v>5.7700932800000002</v>
      </c>
      <c r="C1187">
        <v>0.52627157999999996</v>
      </c>
      <c r="D1187">
        <v>5.9385314300000003</v>
      </c>
      <c r="E1187">
        <v>0.67165333999999999</v>
      </c>
      <c r="F1187">
        <v>3.2322292199999998</v>
      </c>
      <c r="G1187">
        <v>1.3190550999999999</v>
      </c>
      <c r="H1187">
        <v>2.7675265200000001</v>
      </c>
      <c r="I1187">
        <v>9.4957199999999992E-3</v>
      </c>
      <c r="J1187">
        <v>1</v>
      </c>
      <c r="K1187">
        <v>950056</v>
      </c>
      <c r="L1187">
        <f t="shared" si="161"/>
        <v>1.2431650846153846E-2</v>
      </c>
      <c r="M1187">
        <f t="shared" si="162"/>
        <v>5.0732888461538462E-3</v>
      </c>
      <c r="N1187">
        <f t="shared" si="163"/>
        <v>1.0644332769230769E-2</v>
      </c>
      <c r="O1187">
        <f t="shared" si="164"/>
        <v>7.8588108076923079E-3</v>
      </c>
      <c r="P1187">
        <f t="shared" si="160"/>
        <v>29.780879418944654</v>
      </c>
      <c r="R1187">
        <f t="shared" si="165"/>
        <v>4.4147778854545733E-3</v>
      </c>
    </row>
    <row r="1188" spans="1:19" x14ac:dyDescent="0.2">
      <c r="A1188" t="s">
        <v>1199</v>
      </c>
      <c r="B1188">
        <v>5.8318637999999998</v>
      </c>
      <c r="C1188">
        <v>0.70517222999999996</v>
      </c>
      <c r="D1188">
        <v>6.0055785400000001</v>
      </c>
      <c r="E1188">
        <v>0.53337177000000002</v>
      </c>
      <c r="F1188">
        <v>3.24671646</v>
      </c>
      <c r="G1188">
        <v>1.3300613800000001</v>
      </c>
      <c r="H1188">
        <v>2.8224072800000002</v>
      </c>
      <c r="I1188">
        <v>9.6783300000000006E-3</v>
      </c>
      <c r="J1188">
        <v>1</v>
      </c>
      <c r="K1188">
        <v>950056</v>
      </c>
      <c r="L1188">
        <f t="shared" si="161"/>
        <v>1.2487371000000001E-2</v>
      </c>
      <c r="M1188">
        <f t="shared" si="162"/>
        <v>5.1156206923076925E-3</v>
      </c>
      <c r="N1188">
        <f t="shared" si="163"/>
        <v>1.0855412615384617E-2</v>
      </c>
      <c r="O1188">
        <f t="shared" si="164"/>
        <v>7.9855166538461541E-3</v>
      </c>
      <c r="P1188">
        <f t="shared" si="160"/>
        <v>39.904585292670191</v>
      </c>
      <c r="R1188">
        <f t="shared" si="165"/>
        <v>2.8693641714821255E-3</v>
      </c>
    </row>
    <row r="1189" spans="1:19" x14ac:dyDescent="0.2">
      <c r="A1189" t="s">
        <v>1200</v>
      </c>
      <c r="B1189">
        <v>5.8700161800000004</v>
      </c>
      <c r="C1189">
        <v>0.82518749999999996</v>
      </c>
      <c r="D1189">
        <v>6.0429406700000001</v>
      </c>
      <c r="E1189">
        <v>0.53337177000000002</v>
      </c>
      <c r="F1189">
        <v>3.2629358700000002</v>
      </c>
      <c r="G1189">
        <v>1.33563246</v>
      </c>
      <c r="H1189">
        <v>2.8512948200000001</v>
      </c>
      <c r="I1189">
        <v>9.6783300000000006E-3</v>
      </c>
      <c r="J1189">
        <v>1</v>
      </c>
      <c r="K1189">
        <v>950056</v>
      </c>
      <c r="L1189">
        <f t="shared" si="161"/>
        <v>1.2549753346153847E-2</v>
      </c>
      <c r="M1189">
        <f t="shared" si="162"/>
        <v>5.1370479230769235E-3</v>
      </c>
      <c r="N1189">
        <f t="shared" si="163"/>
        <v>1.0966518538461539E-2</v>
      </c>
      <c r="O1189">
        <f t="shared" si="164"/>
        <v>8.05178323076923E-3</v>
      </c>
      <c r="P1189">
        <f t="shared" si="160"/>
        <v>46.696060303162092</v>
      </c>
      <c r="R1189">
        <f t="shared" si="165"/>
        <v>8.6014527480397969E-4</v>
      </c>
    </row>
    <row r="1190" spans="1:19" x14ac:dyDescent="0.2">
      <c r="A1190" t="s">
        <v>1201</v>
      </c>
      <c r="B1190">
        <v>5.8816954800000003</v>
      </c>
      <c r="C1190">
        <v>0.85344191999999997</v>
      </c>
      <c r="D1190">
        <v>6.0511296300000001</v>
      </c>
      <c r="E1190">
        <v>0.53337177000000002</v>
      </c>
      <c r="F1190">
        <v>3.2769507</v>
      </c>
      <c r="G1190">
        <v>1.3369233199999999</v>
      </c>
      <c r="H1190">
        <v>2.85942118</v>
      </c>
      <c r="I1190">
        <v>9.8609400000000003E-3</v>
      </c>
      <c r="J1190">
        <v>1</v>
      </c>
      <c r="K1190">
        <v>950056</v>
      </c>
      <c r="L1190">
        <f t="shared" si="161"/>
        <v>1.2603656538461539E-2</v>
      </c>
      <c r="M1190">
        <f t="shared" si="162"/>
        <v>5.142012769230769E-3</v>
      </c>
      <c r="N1190">
        <f t="shared" si="163"/>
        <v>1.099777376923077E-2</v>
      </c>
      <c r="O1190">
        <f t="shared" si="164"/>
        <v>8.0698932692307695E-3</v>
      </c>
      <c r="P1190">
        <f t="shared" si="160"/>
        <v>48.294933407942359</v>
      </c>
      <c r="R1190">
        <f t="shared" si="165"/>
        <v>2.9485581292314824E-4</v>
      </c>
    </row>
    <row r="1191" spans="1:19" x14ac:dyDescent="0.2">
      <c r="A1191" t="s">
        <v>1202</v>
      </c>
      <c r="B1191">
        <v>5.8832527199999998</v>
      </c>
      <c r="C1191">
        <v>0.85502628000000003</v>
      </c>
      <c r="D1191">
        <v>6.0526650599999998</v>
      </c>
      <c r="E1191">
        <v>0.53337177000000002</v>
      </c>
      <c r="F1191">
        <v>3.2942724000000001</v>
      </c>
      <c r="G1191">
        <v>1.3375347799999999</v>
      </c>
      <c r="H1191">
        <v>2.8619815399999999</v>
      </c>
      <c r="I1191">
        <v>9.6783300000000006E-3</v>
      </c>
      <c r="J1191">
        <v>1</v>
      </c>
      <c r="K1191">
        <v>950056</v>
      </c>
      <c r="L1191">
        <f t="shared" si="161"/>
        <v>1.2670278461538462E-2</v>
      </c>
      <c r="M1191">
        <f t="shared" si="162"/>
        <v>5.1443645384615377E-3</v>
      </c>
      <c r="N1191">
        <f t="shared" si="163"/>
        <v>1.1007621307692308E-2</v>
      </c>
      <c r="O1191">
        <f t="shared" si="164"/>
        <v>8.0759929230769228E-3</v>
      </c>
      <c r="P1191">
        <f t="shared" si="160"/>
        <v>48.384589843724434</v>
      </c>
      <c r="R1191">
        <f t="shared" si="165"/>
        <v>-5.7500721461999065E-5</v>
      </c>
    </row>
    <row r="1192" spans="1:19" x14ac:dyDescent="0.2">
      <c r="A1192" t="s">
        <v>1203</v>
      </c>
      <c r="B1192">
        <v>5.8778023800000003</v>
      </c>
      <c r="C1192">
        <v>0.81951021000000002</v>
      </c>
      <c r="D1192">
        <v>6.0490823899999997</v>
      </c>
      <c r="E1192">
        <v>0.53337177000000002</v>
      </c>
      <c r="F1192">
        <v>3.3101768699999998</v>
      </c>
      <c r="G1192">
        <v>1.3377386</v>
      </c>
      <c r="H1192">
        <v>2.8611466399999999</v>
      </c>
      <c r="I1192">
        <v>9.6783300000000006E-3</v>
      </c>
      <c r="J1192">
        <v>1</v>
      </c>
      <c r="K1192">
        <v>950056</v>
      </c>
      <c r="L1192">
        <f t="shared" si="161"/>
        <v>1.2731449499999999E-2</v>
      </c>
      <c r="M1192">
        <f t="shared" si="162"/>
        <v>5.1451484615384615E-3</v>
      </c>
      <c r="N1192">
        <f t="shared" si="163"/>
        <v>1.1004410153846154E-2</v>
      </c>
      <c r="O1192">
        <f t="shared" si="164"/>
        <v>8.0747793076923081E-3</v>
      </c>
      <c r="P1192">
        <f t="shared" si="160"/>
        <v>46.374791408276337</v>
      </c>
      <c r="R1192">
        <f t="shared" si="165"/>
        <v>-1.0146588153061393E-3</v>
      </c>
    </row>
    <row r="1193" spans="1:19" x14ac:dyDescent="0.2">
      <c r="A1193" t="s">
        <v>1204</v>
      </c>
      <c r="B1193">
        <v>5.8635276799999998</v>
      </c>
      <c r="C1193">
        <v>0.70794486000000001</v>
      </c>
      <c r="D1193">
        <v>6.0337280900000003</v>
      </c>
      <c r="E1193">
        <v>0.53337177000000002</v>
      </c>
      <c r="F1193">
        <v>3.3191526599999999</v>
      </c>
      <c r="G1193">
        <v>1.3379424200000001</v>
      </c>
      <c r="H1193">
        <v>2.8487344600000002</v>
      </c>
      <c r="I1193">
        <v>9.6783300000000006E-3</v>
      </c>
      <c r="J1193">
        <v>1</v>
      </c>
      <c r="K1193">
        <v>950056</v>
      </c>
      <c r="L1193">
        <f t="shared" si="161"/>
        <v>1.2765971769230769E-2</v>
      </c>
      <c r="M1193">
        <f t="shared" si="162"/>
        <v>5.1459323846153853E-3</v>
      </c>
      <c r="N1193">
        <f t="shared" si="163"/>
        <v>1.0956671000000001E-2</v>
      </c>
      <c r="O1193">
        <f t="shared" si="164"/>
        <v>8.0513016923076924E-3</v>
      </c>
      <c r="P1193">
        <f t="shared" si="160"/>
        <v>40.061484055288823</v>
      </c>
      <c r="R1193">
        <f t="shared" si="165"/>
        <v>-9.9101707296973623E-4</v>
      </c>
    </row>
    <row r="1194" spans="1:19" x14ac:dyDescent="0.2">
      <c r="A1194" t="s">
        <v>1205</v>
      </c>
      <c r="B1194">
        <v>5.8461385000000003</v>
      </c>
      <c r="C1194">
        <v>0.61684415999999997</v>
      </c>
      <c r="D1194">
        <v>6.0178619800000002</v>
      </c>
      <c r="E1194">
        <v>0.53337177000000002</v>
      </c>
      <c r="F1194">
        <v>3.3278135099999999</v>
      </c>
      <c r="G1194">
        <v>1.3379424200000001</v>
      </c>
      <c r="H1194">
        <v>2.8349864400000002</v>
      </c>
      <c r="I1194">
        <v>9.4957199999999992E-3</v>
      </c>
      <c r="J1194">
        <v>1</v>
      </c>
      <c r="K1194">
        <v>950056</v>
      </c>
      <c r="L1194">
        <f t="shared" si="161"/>
        <v>1.279928273076923E-2</v>
      </c>
      <c r="M1194">
        <f t="shared" si="162"/>
        <v>5.1459323846153853E-3</v>
      </c>
      <c r="N1194">
        <f t="shared" si="163"/>
        <v>1.0903794000000001E-2</v>
      </c>
      <c r="O1194">
        <f t="shared" si="164"/>
        <v>8.0248631923076942E-3</v>
      </c>
      <c r="P1194">
        <f t="shared" si="160"/>
        <v>34.906238997819727</v>
      </c>
      <c r="R1194">
        <f t="shared" si="165"/>
        <v>-1.4228304689529955E-3</v>
      </c>
    </row>
    <row r="1195" spans="1:19" x14ac:dyDescent="0.2">
      <c r="A1195" t="s">
        <v>1206</v>
      </c>
      <c r="B1195">
        <v>5.82485622</v>
      </c>
      <c r="C1195">
        <v>0.51980210999999998</v>
      </c>
      <c r="D1195">
        <v>5.98971243</v>
      </c>
      <c r="E1195">
        <v>0.53337177000000002</v>
      </c>
      <c r="F1195">
        <v>3.3380490599999999</v>
      </c>
      <c r="G1195">
        <v>1.3375347799999999</v>
      </c>
      <c r="H1195">
        <v>2.8123884800000001</v>
      </c>
      <c r="I1195">
        <v>9.4957199999999992E-3</v>
      </c>
      <c r="J1195">
        <v>1</v>
      </c>
      <c r="K1195">
        <v>950056</v>
      </c>
      <c r="L1195">
        <f t="shared" si="161"/>
        <v>1.283865023076923E-2</v>
      </c>
      <c r="M1195">
        <f t="shared" si="162"/>
        <v>5.1443645384615377E-3</v>
      </c>
      <c r="N1195">
        <f t="shared" si="163"/>
        <v>1.081687876923077E-2</v>
      </c>
      <c r="O1195">
        <f t="shared" si="164"/>
        <v>7.9806216538461528E-3</v>
      </c>
      <c r="P1195">
        <f t="shared" si="160"/>
        <v>29.414782306167865</v>
      </c>
      <c r="R1195">
        <f t="shared" si="165"/>
        <v>-2.0300555484816288E-3</v>
      </c>
    </row>
    <row r="1196" spans="1:19" x14ac:dyDescent="0.2">
      <c r="A1196" t="s">
        <v>1207</v>
      </c>
      <c r="B1196">
        <v>5.7905969400000004</v>
      </c>
      <c r="C1196">
        <v>0.41708276999999999</v>
      </c>
      <c r="D1196">
        <v>5.9446731499999999</v>
      </c>
      <c r="E1196">
        <v>0.53337177000000002</v>
      </c>
      <c r="F1196">
        <v>3.3413559300000002</v>
      </c>
      <c r="G1196">
        <v>1.3333904400000001</v>
      </c>
      <c r="H1196">
        <v>2.7767104200000001</v>
      </c>
      <c r="I1196">
        <v>9.6783300000000006E-3</v>
      </c>
      <c r="J1196">
        <v>1</v>
      </c>
      <c r="K1196">
        <v>950056</v>
      </c>
      <c r="L1196">
        <f t="shared" si="161"/>
        <v>1.2851368961538462E-2</v>
      </c>
      <c r="M1196">
        <f t="shared" si="162"/>
        <v>5.1284247692307697E-3</v>
      </c>
      <c r="N1196">
        <f t="shared" si="163"/>
        <v>1.0679655461538462E-2</v>
      </c>
      <c r="O1196">
        <f t="shared" si="164"/>
        <v>7.9040401153846161E-3</v>
      </c>
      <c r="P1196">
        <f t="shared" si="160"/>
        <v>23.602056719630248</v>
      </c>
      <c r="R1196">
        <f t="shared" si="165"/>
        <v>-2.1931900098884553E-3</v>
      </c>
    </row>
    <row r="1197" spans="1:19" x14ac:dyDescent="0.2">
      <c r="A1197" t="s">
        <v>1208</v>
      </c>
      <c r="B1197">
        <v>5.7480323799999997</v>
      </c>
      <c r="C1197">
        <v>0.32268131999999999</v>
      </c>
      <c r="D1197">
        <v>5.8975866300000002</v>
      </c>
      <c r="E1197">
        <v>0.53337177000000002</v>
      </c>
      <c r="F1197">
        <v>3.33694677</v>
      </c>
      <c r="G1197">
        <v>1.3251017599999999</v>
      </c>
      <c r="H1197">
        <v>2.7305126199999998</v>
      </c>
      <c r="I1197">
        <v>9.6783300000000006E-3</v>
      </c>
      <c r="J1197">
        <v>1</v>
      </c>
      <c r="K1197">
        <v>950056</v>
      </c>
      <c r="L1197">
        <f t="shared" si="161"/>
        <v>1.2834410653846154E-2</v>
      </c>
      <c r="M1197">
        <f t="shared" si="162"/>
        <v>5.0965452307692302E-3</v>
      </c>
      <c r="N1197">
        <f t="shared" si="163"/>
        <v>1.0501971615384615E-2</v>
      </c>
      <c r="O1197">
        <f t="shared" si="164"/>
        <v>7.7992584230769223E-3</v>
      </c>
      <c r="P1197">
        <f t="shared" si="160"/>
        <v>18.260027420948504</v>
      </c>
      <c r="R1197">
        <f t="shared" si="165"/>
        <v>-1.9820369750024542E-3</v>
      </c>
    </row>
    <row r="1198" spans="1:19" x14ac:dyDescent="0.2">
      <c r="A1198" t="s">
        <v>1209</v>
      </c>
      <c r="B1198">
        <v>5.6994984000000004</v>
      </c>
      <c r="C1198">
        <v>0.23937038999999999</v>
      </c>
      <c r="D1198">
        <v>5.8433347700000002</v>
      </c>
      <c r="E1198">
        <v>0.53337177000000002</v>
      </c>
      <c r="F1198">
        <v>3.3312778500000002</v>
      </c>
      <c r="G1198">
        <v>1.3132801999999999</v>
      </c>
      <c r="H1198">
        <v>2.6775243</v>
      </c>
      <c r="I1198">
        <v>9.6783300000000006E-3</v>
      </c>
      <c r="J1198">
        <v>1</v>
      </c>
      <c r="K1198">
        <v>950056</v>
      </c>
      <c r="L1198">
        <f t="shared" si="161"/>
        <v>1.2812607115384617E-2</v>
      </c>
      <c r="M1198">
        <f t="shared" si="162"/>
        <v>5.0510776923076922E-3</v>
      </c>
      <c r="N1198">
        <f t="shared" si="163"/>
        <v>1.0298170384615385E-2</v>
      </c>
      <c r="O1198">
        <f t="shared" si="164"/>
        <v>7.6746240384615383E-3</v>
      </c>
      <c r="P1198">
        <f t="shared" si="160"/>
        <v>13.54559317274126</v>
      </c>
      <c r="R1198">
        <f t="shared" si="165"/>
        <v>-1.5177047439215905E-3</v>
      </c>
    </row>
    <row r="1199" spans="1:19" x14ac:dyDescent="0.2">
      <c r="A1199" t="s">
        <v>1210</v>
      </c>
      <c r="B1199">
        <v>5.6473308600000003</v>
      </c>
      <c r="C1199">
        <v>0.16556562</v>
      </c>
      <c r="D1199">
        <v>5.7855002400000002</v>
      </c>
      <c r="E1199">
        <v>0.61238981000000003</v>
      </c>
      <c r="F1199">
        <v>3.3211997700000002</v>
      </c>
      <c r="G1199">
        <v>1.29894486</v>
      </c>
      <c r="H1199">
        <v>2.6229775000000002</v>
      </c>
      <c r="I1199">
        <v>9.6783300000000006E-3</v>
      </c>
      <c r="J1199">
        <v>1</v>
      </c>
      <c r="K1199">
        <v>950056</v>
      </c>
      <c r="L1199">
        <f t="shared" si="161"/>
        <v>1.277384526923077E-2</v>
      </c>
      <c r="M1199">
        <f t="shared" si="162"/>
        <v>4.9959417692307688E-3</v>
      </c>
      <c r="N1199">
        <f t="shared" si="163"/>
        <v>1.0088375E-2</v>
      </c>
      <c r="O1199">
        <f t="shared" si="164"/>
        <v>7.5421583846153849E-3</v>
      </c>
      <c r="P1199">
        <f t="shared" si="160"/>
        <v>9.3690975392264413</v>
      </c>
      <c r="R1199">
        <f t="shared" si="165"/>
        <v>-9.8534640886785386E-4</v>
      </c>
      <c r="S1199">
        <f>ABS(SUMIFS($R:$R,$K:$K,K1199))</f>
        <v>5.2526757469090624E-3</v>
      </c>
    </row>
    <row r="1200" spans="1:19" x14ac:dyDescent="0.2">
      <c r="A1200" t="s">
        <v>1211</v>
      </c>
      <c r="B1200">
        <v>5.5936060799999998</v>
      </c>
      <c r="C1200">
        <v>9.9550620000000006E-2</v>
      </c>
      <c r="D1200">
        <v>5.7338074299999997</v>
      </c>
      <c r="E1200">
        <v>0.79018040000000001</v>
      </c>
      <c r="F1200">
        <v>3.3038780700000001</v>
      </c>
      <c r="G1200">
        <v>1.28379424</v>
      </c>
      <c r="H1200">
        <v>2.5698221999999999</v>
      </c>
      <c r="I1200">
        <v>9.6783300000000006E-3</v>
      </c>
      <c r="J1200">
        <v>1</v>
      </c>
      <c r="K1200">
        <v>950056</v>
      </c>
      <c r="L1200">
        <f t="shared" si="161"/>
        <v>1.2707223346153847E-2</v>
      </c>
      <c r="M1200">
        <f t="shared" si="162"/>
        <v>4.9376701538461536E-3</v>
      </c>
      <c r="N1200">
        <f t="shared" si="163"/>
        <v>9.8839315384615378E-3</v>
      </c>
      <c r="O1200">
        <f t="shared" si="164"/>
        <v>7.4108008461538453E-3</v>
      </c>
      <c r="P1200">
        <f t="shared" si="160"/>
        <v>5.633412714973475</v>
      </c>
      <c r="R1200">
        <f t="shared" si="165"/>
        <v>-4.0408919410845771E-4</v>
      </c>
    </row>
    <row r="1201" spans="1:18" x14ac:dyDescent="0.2">
      <c r="A1201" t="s">
        <v>1212</v>
      </c>
      <c r="B1201">
        <v>5.55078198</v>
      </c>
      <c r="C1201">
        <v>5.3604180000000001E-2</v>
      </c>
      <c r="D1201">
        <v>5.6918390099999998</v>
      </c>
      <c r="E1201">
        <v>1.0864980500000001</v>
      </c>
      <c r="F1201">
        <v>3.2846667300000001</v>
      </c>
      <c r="G1201">
        <v>1.2726520800000001</v>
      </c>
      <c r="H1201">
        <v>2.5324743399999998</v>
      </c>
      <c r="I1201">
        <v>9.6783300000000006E-3</v>
      </c>
      <c r="J1201">
        <v>1</v>
      </c>
      <c r="K1201">
        <v>950056</v>
      </c>
      <c r="L1201">
        <f t="shared" si="161"/>
        <v>1.2633333576923077E-2</v>
      </c>
      <c r="M1201">
        <f t="shared" si="162"/>
        <v>4.8948156923076924E-3</v>
      </c>
      <c r="N1201">
        <f t="shared" si="163"/>
        <v>9.7402859230769218E-3</v>
      </c>
      <c r="O1201">
        <f t="shared" si="164"/>
        <v>7.3175508076923071E-3</v>
      </c>
      <c r="P1201">
        <f t="shared" si="160"/>
        <v>3.0333760772934095</v>
      </c>
      <c r="R1201">
        <f t="shared" si="165"/>
        <v>-7.7381316546337655E-5</v>
      </c>
    </row>
    <row r="1202" spans="1:18" x14ac:dyDescent="0.2">
      <c r="A1202" t="s">
        <v>1213</v>
      </c>
      <c r="B1202">
        <v>5.5411789999999996</v>
      </c>
      <c r="C1202">
        <v>5.162373E-2</v>
      </c>
      <c r="D1202">
        <v>5.6805791899999996</v>
      </c>
      <c r="E1202">
        <v>1.20502511</v>
      </c>
      <c r="F1202">
        <v>3.26687262</v>
      </c>
      <c r="G1202">
        <v>1.2693230200000001</v>
      </c>
      <c r="H1202">
        <v>2.5222885599999998</v>
      </c>
      <c r="I1202">
        <v>9.6783300000000006E-3</v>
      </c>
      <c r="J1202">
        <v>1</v>
      </c>
      <c r="K1202">
        <v>950056</v>
      </c>
      <c r="L1202">
        <f t="shared" si="161"/>
        <v>1.2564894692307692E-2</v>
      </c>
      <c r="M1202">
        <f t="shared" si="162"/>
        <v>4.882011615384616E-3</v>
      </c>
      <c r="N1202">
        <f t="shared" si="163"/>
        <v>9.7011098461538461E-3</v>
      </c>
      <c r="O1202">
        <f t="shared" si="164"/>
        <v>7.2915607307692297E-3</v>
      </c>
      <c r="P1202">
        <f t="shared" si="160"/>
        <v>2.9213055325658206</v>
      </c>
      <c r="R1202">
        <f t="shared" si="165"/>
        <v>1.8040804647925275E-4</v>
      </c>
    </row>
    <row r="1203" spans="1:18" x14ac:dyDescent="0.2">
      <c r="A1203" t="s">
        <v>1214</v>
      </c>
      <c r="B1203">
        <v>5.5577895599999998</v>
      </c>
      <c r="C1203">
        <v>0.10879272</v>
      </c>
      <c r="D1203">
        <v>5.6979807300000003</v>
      </c>
      <c r="E1203">
        <v>1.20502511</v>
      </c>
      <c r="F1203">
        <v>3.24813369</v>
      </c>
      <c r="G1203">
        <v>1.2691192</v>
      </c>
      <c r="H1203">
        <v>2.5431610600000001</v>
      </c>
      <c r="I1203">
        <v>9.3131099999999994E-3</v>
      </c>
      <c r="J1203">
        <v>1</v>
      </c>
      <c r="K1203">
        <v>950056</v>
      </c>
      <c r="L1203">
        <f t="shared" si="161"/>
        <v>1.2492821884615384E-2</v>
      </c>
      <c r="M1203">
        <f t="shared" si="162"/>
        <v>4.8812276923076922E-3</v>
      </c>
      <c r="N1203">
        <f t="shared" si="163"/>
        <v>9.7813886923076923E-3</v>
      </c>
      <c r="O1203">
        <f t="shared" si="164"/>
        <v>7.3313081923076923E-3</v>
      </c>
      <c r="P1203">
        <f t="shared" si="160"/>
        <v>6.1564085903688897</v>
      </c>
      <c r="R1203">
        <f t="shared" si="165"/>
        <v>8.0563201210549871E-4</v>
      </c>
    </row>
    <row r="1204" spans="1:18" x14ac:dyDescent="0.2">
      <c r="A1204" t="s">
        <v>1215</v>
      </c>
      <c r="B1204">
        <v>5.5967205599999996</v>
      </c>
      <c r="C1204">
        <v>0.18933101999999999</v>
      </c>
      <c r="D1204">
        <v>5.7414845799999998</v>
      </c>
      <c r="E1204">
        <v>1.1457615800000001</v>
      </c>
      <c r="F1204">
        <v>3.2327016300000002</v>
      </c>
      <c r="G1204">
        <v>1.2759811400000001</v>
      </c>
      <c r="H1204">
        <v>2.5859635999999999</v>
      </c>
      <c r="I1204">
        <v>9.6783300000000006E-3</v>
      </c>
      <c r="J1204">
        <v>1</v>
      </c>
      <c r="K1204">
        <v>950057</v>
      </c>
      <c r="L1204">
        <f t="shared" si="161"/>
        <v>1.2433467807692309E-2</v>
      </c>
      <c r="M1204">
        <f t="shared" si="162"/>
        <v>4.9076197692307696E-3</v>
      </c>
      <c r="N1204">
        <f t="shared" si="163"/>
        <v>9.946013846153845E-3</v>
      </c>
      <c r="O1204">
        <f t="shared" si="164"/>
        <v>7.4268168076923081E-3</v>
      </c>
      <c r="P1204">
        <f t="shared" si="160"/>
        <v>10.71394407595751</v>
      </c>
      <c r="Q1204">
        <f t="shared" ref="Q1204" si="168">ABS(0.5*(SUMPRODUCT(O1204:O1222,P1205:P1223)+O1223*P1204-(SUMPRODUCT(O1205:O1223,P1204:P1222)+O1204*P1223)))</f>
        <v>5.2171566344765274E-3</v>
      </c>
      <c r="R1204">
        <f t="shared" si="165"/>
        <v>1.7855008943630335E-3</v>
      </c>
    </row>
    <row r="1205" spans="1:18" x14ac:dyDescent="0.2">
      <c r="A1205" t="s">
        <v>1216</v>
      </c>
      <c r="B1205">
        <v>5.6488880999999997</v>
      </c>
      <c r="C1205">
        <v>0.28280825999999998</v>
      </c>
      <c r="D1205">
        <v>5.8023899700000001</v>
      </c>
      <c r="E1205">
        <v>0.90870746000000002</v>
      </c>
      <c r="F1205">
        <v>3.2289223499999999</v>
      </c>
      <c r="G1205">
        <v>1.28943326</v>
      </c>
      <c r="H1205">
        <v>2.6420132199999999</v>
      </c>
      <c r="I1205">
        <v>9.4957199999999992E-3</v>
      </c>
      <c r="J1205">
        <v>1</v>
      </c>
      <c r="K1205">
        <v>950057</v>
      </c>
      <c r="L1205">
        <f t="shared" si="161"/>
        <v>1.2418932115384616E-2</v>
      </c>
      <c r="M1205">
        <f t="shared" si="162"/>
        <v>4.9593586923076926E-3</v>
      </c>
      <c r="N1205">
        <f t="shared" si="163"/>
        <v>1.0161589307692308E-2</v>
      </c>
      <c r="O1205">
        <f t="shared" si="164"/>
        <v>7.5604740000000002E-3</v>
      </c>
      <c r="P1205">
        <f t="shared" si="160"/>
        <v>16.003673787099711</v>
      </c>
      <c r="R1205">
        <f t="shared" si="165"/>
        <v>2.8847220945031698E-3</v>
      </c>
    </row>
    <row r="1206" spans="1:18" x14ac:dyDescent="0.2">
      <c r="A1206" t="s">
        <v>1217</v>
      </c>
      <c r="B1206">
        <v>5.7075441400000004</v>
      </c>
      <c r="C1206">
        <v>0.39199707</v>
      </c>
      <c r="D1206">
        <v>5.8699488899999999</v>
      </c>
      <c r="E1206">
        <v>0.73091687000000005</v>
      </c>
      <c r="F1206">
        <v>3.2303395799999999</v>
      </c>
      <c r="G1206">
        <v>1.30499152</v>
      </c>
      <c r="H1206">
        <v>2.7050203399999999</v>
      </c>
      <c r="I1206">
        <v>9.3131099999999994E-3</v>
      </c>
      <c r="J1206">
        <v>1</v>
      </c>
      <c r="K1206">
        <v>950057</v>
      </c>
      <c r="L1206">
        <f t="shared" si="161"/>
        <v>1.2424382999999999E-2</v>
      </c>
      <c r="M1206">
        <f t="shared" si="162"/>
        <v>5.0191981538461536E-3</v>
      </c>
      <c r="N1206">
        <f t="shared" si="163"/>
        <v>1.0403924384615385E-2</v>
      </c>
      <c r="O1206">
        <f t="shared" si="164"/>
        <v>7.7115612692307683E-3</v>
      </c>
      <c r="P1206">
        <f t="shared" si="160"/>
        <v>22.18249648641412</v>
      </c>
      <c r="R1206">
        <f t="shared" si="165"/>
        <v>3.8443185015854184E-3</v>
      </c>
    </row>
    <row r="1207" spans="1:18" x14ac:dyDescent="0.2">
      <c r="A1207" t="s">
        <v>1218</v>
      </c>
      <c r="B1207">
        <v>5.7716505199999997</v>
      </c>
      <c r="C1207">
        <v>0.52627157999999996</v>
      </c>
      <c r="D1207">
        <v>5.93546057</v>
      </c>
      <c r="E1207">
        <v>0.61238981000000003</v>
      </c>
      <c r="F1207">
        <v>3.2341188600000002</v>
      </c>
      <c r="G1207">
        <v>1.31925892</v>
      </c>
      <c r="H1207">
        <v>2.7676935</v>
      </c>
      <c r="I1207">
        <v>9.4957199999999992E-3</v>
      </c>
      <c r="J1207">
        <v>1</v>
      </c>
      <c r="K1207">
        <v>950057</v>
      </c>
      <c r="L1207">
        <f t="shared" si="161"/>
        <v>1.2438918692307692E-2</v>
      </c>
      <c r="M1207">
        <f t="shared" si="162"/>
        <v>5.0740727692307691E-3</v>
      </c>
      <c r="N1207">
        <f t="shared" si="163"/>
        <v>1.0644975000000001E-2</v>
      </c>
      <c r="O1207">
        <f t="shared" si="164"/>
        <v>7.8595238846153846E-3</v>
      </c>
      <c r="P1207">
        <f t="shared" si="160"/>
        <v>29.780879418944654</v>
      </c>
      <c r="R1207">
        <f t="shared" si="165"/>
        <v>4.4526358844370418E-3</v>
      </c>
    </row>
    <row r="1208" spans="1:18" x14ac:dyDescent="0.2">
      <c r="A1208" t="s">
        <v>1219</v>
      </c>
      <c r="B1208">
        <v>5.8271920799999997</v>
      </c>
      <c r="C1208">
        <v>0.70636049999999995</v>
      </c>
      <c r="D1208">
        <v>6.0040431099999996</v>
      </c>
      <c r="E1208">
        <v>0.47410824000000001</v>
      </c>
      <c r="F1208">
        <v>3.24766128</v>
      </c>
      <c r="G1208">
        <v>1.3302651999999999</v>
      </c>
      <c r="H1208">
        <v>2.8230751999999999</v>
      </c>
      <c r="I1208">
        <v>9.6783300000000006E-3</v>
      </c>
      <c r="J1208">
        <v>1</v>
      </c>
      <c r="K1208">
        <v>950057</v>
      </c>
      <c r="L1208">
        <f t="shared" si="161"/>
        <v>1.2491004923076922E-2</v>
      </c>
      <c r="M1208">
        <f t="shared" si="162"/>
        <v>5.1164046153846154E-3</v>
      </c>
      <c r="N1208">
        <f t="shared" si="163"/>
        <v>1.0857981538461538E-2</v>
      </c>
      <c r="O1208">
        <f t="shared" si="164"/>
        <v>7.9871930769230756E-3</v>
      </c>
      <c r="P1208">
        <f t="shared" si="160"/>
        <v>39.971827619506747</v>
      </c>
      <c r="R1208">
        <f t="shared" si="165"/>
        <v>2.8342376838348155E-3</v>
      </c>
    </row>
    <row r="1209" spans="1:18" x14ac:dyDescent="0.2">
      <c r="A1209" t="s">
        <v>1220</v>
      </c>
      <c r="B1209">
        <v>5.8666421599999996</v>
      </c>
      <c r="C1209">
        <v>0.82756403999999995</v>
      </c>
      <c r="D1209">
        <v>6.0398698099999999</v>
      </c>
      <c r="E1209">
        <v>0.47410824000000001</v>
      </c>
      <c r="F1209">
        <v>3.2649829800000001</v>
      </c>
      <c r="G1209">
        <v>1.3358362800000001</v>
      </c>
      <c r="H1209">
        <v>2.8514618</v>
      </c>
      <c r="I1209">
        <v>9.6783300000000006E-3</v>
      </c>
      <c r="J1209">
        <v>1</v>
      </c>
      <c r="K1209">
        <v>950057</v>
      </c>
      <c r="L1209">
        <f t="shared" si="161"/>
        <v>1.2557626846153847E-2</v>
      </c>
      <c r="M1209">
        <f t="shared" si="162"/>
        <v>5.1378318461538465E-3</v>
      </c>
      <c r="N1209">
        <f t="shared" si="163"/>
        <v>1.0967160769230769E-2</v>
      </c>
      <c r="O1209">
        <f t="shared" si="164"/>
        <v>8.0524963076923067E-3</v>
      </c>
      <c r="P1209">
        <f t="shared" si="160"/>
        <v>46.830544956835197</v>
      </c>
      <c r="R1209">
        <f t="shared" si="165"/>
        <v>8.9253976360931784E-4</v>
      </c>
    </row>
    <row r="1210" spans="1:18" x14ac:dyDescent="0.2">
      <c r="A1210" t="s">
        <v>1221</v>
      </c>
      <c r="B1210">
        <v>5.88013824</v>
      </c>
      <c r="C1210">
        <v>0.85463018999999996</v>
      </c>
      <c r="D1210">
        <v>6.04754696</v>
      </c>
      <c r="E1210">
        <v>0.41484471000000001</v>
      </c>
      <c r="F1210">
        <v>3.2788403399999999</v>
      </c>
      <c r="G1210">
        <v>1.33712714</v>
      </c>
      <c r="H1210">
        <v>2.8599221199999998</v>
      </c>
      <c r="I1210">
        <v>9.6783300000000006E-3</v>
      </c>
      <c r="J1210">
        <v>1</v>
      </c>
      <c r="K1210">
        <v>950057</v>
      </c>
      <c r="L1210">
        <f t="shared" si="161"/>
        <v>1.2610924384615384E-2</v>
      </c>
      <c r="M1210">
        <f t="shared" si="162"/>
        <v>5.1427966923076919E-3</v>
      </c>
      <c r="N1210">
        <f t="shared" si="163"/>
        <v>1.0999700461538461E-2</v>
      </c>
      <c r="O1210">
        <f t="shared" si="164"/>
        <v>8.0712485769230766E-3</v>
      </c>
      <c r="P1210">
        <f t="shared" si="160"/>
        <v>48.362175734778916</v>
      </c>
      <c r="R1210">
        <f t="shared" si="165"/>
        <v>2.7610038484328651E-4</v>
      </c>
    </row>
    <row r="1211" spans="1:18" x14ac:dyDescent="0.2">
      <c r="A1211" t="s">
        <v>1222</v>
      </c>
      <c r="B1211">
        <v>5.8832527199999998</v>
      </c>
      <c r="C1211">
        <v>0.85502628000000003</v>
      </c>
      <c r="D1211">
        <v>6.0542004900000004</v>
      </c>
      <c r="E1211">
        <v>0.41484471000000001</v>
      </c>
      <c r="F1211">
        <v>3.2928551700000002</v>
      </c>
      <c r="G1211">
        <v>1.3375347799999999</v>
      </c>
      <c r="H1211">
        <v>2.8624824800000002</v>
      </c>
      <c r="I1211">
        <v>9.4957199999999992E-3</v>
      </c>
      <c r="J1211">
        <v>1</v>
      </c>
      <c r="K1211">
        <v>950057</v>
      </c>
      <c r="L1211">
        <f t="shared" si="161"/>
        <v>1.2664827576923077E-2</v>
      </c>
      <c r="M1211">
        <f t="shared" si="162"/>
        <v>5.1443645384615377E-3</v>
      </c>
      <c r="N1211">
        <f t="shared" si="163"/>
        <v>1.1009548000000001E-2</v>
      </c>
      <c r="O1211">
        <f t="shared" si="164"/>
        <v>8.0769562692307693E-3</v>
      </c>
      <c r="P1211">
        <f t="shared" si="160"/>
        <v>48.384589843724434</v>
      </c>
      <c r="R1211">
        <f t="shared" si="165"/>
        <v>-6.9374806023709193E-5</v>
      </c>
    </row>
    <row r="1212" spans="1:18" x14ac:dyDescent="0.2">
      <c r="A1212" t="s">
        <v>1223</v>
      </c>
      <c r="B1212">
        <v>5.8793596199999998</v>
      </c>
      <c r="C1212">
        <v>0.81990629999999998</v>
      </c>
      <c r="D1212">
        <v>6.0511296300000001</v>
      </c>
      <c r="E1212">
        <v>0.41484471000000001</v>
      </c>
      <c r="F1212">
        <v>3.3095469899999999</v>
      </c>
      <c r="G1212">
        <v>1.3379424200000001</v>
      </c>
      <c r="H1212">
        <v>2.8613136199999998</v>
      </c>
      <c r="I1212">
        <v>9.1304999999999997E-3</v>
      </c>
      <c r="J1212">
        <v>1</v>
      </c>
      <c r="K1212">
        <v>950057</v>
      </c>
      <c r="L1212">
        <f t="shared" si="161"/>
        <v>1.2729026884615384E-2</v>
      </c>
      <c r="M1212">
        <f t="shared" si="162"/>
        <v>5.1459323846153853E-3</v>
      </c>
      <c r="N1212">
        <f t="shared" si="163"/>
        <v>1.1005052384615384E-2</v>
      </c>
      <c r="O1212">
        <f t="shared" si="164"/>
        <v>8.0754923846153848E-3</v>
      </c>
      <c r="P1212">
        <f t="shared" si="160"/>
        <v>46.397205517221856</v>
      </c>
      <c r="R1212">
        <f t="shared" si="165"/>
        <v>-1.0452055655745974E-3</v>
      </c>
    </row>
    <row r="1213" spans="1:18" x14ac:dyDescent="0.2">
      <c r="A1213" t="s">
        <v>1224</v>
      </c>
      <c r="B1213">
        <v>5.8604132</v>
      </c>
      <c r="C1213">
        <v>0.70715267999999998</v>
      </c>
      <c r="D1213">
        <v>6.03526352</v>
      </c>
      <c r="E1213">
        <v>0.41484471000000001</v>
      </c>
      <c r="F1213">
        <v>3.3221445900000002</v>
      </c>
      <c r="G1213">
        <v>1.3379424200000001</v>
      </c>
      <c r="H1213">
        <v>2.8487344600000002</v>
      </c>
      <c r="I1213">
        <v>9.6783300000000006E-3</v>
      </c>
      <c r="J1213">
        <v>1</v>
      </c>
      <c r="K1213">
        <v>950057</v>
      </c>
      <c r="L1213">
        <f t="shared" si="161"/>
        <v>1.2777479192307694E-2</v>
      </c>
      <c r="M1213">
        <f t="shared" si="162"/>
        <v>5.1459323846153853E-3</v>
      </c>
      <c r="N1213">
        <f t="shared" si="163"/>
        <v>1.0956671000000001E-2</v>
      </c>
      <c r="O1213">
        <f t="shared" si="164"/>
        <v>8.0513016923076924E-3</v>
      </c>
      <c r="P1213">
        <f t="shared" si="160"/>
        <v>40.016655837397785</v>
      </c>
      <c r="R1213">
        <f t="shared" si="165"/>
        <v>-1.0607740177116171E-3</v>
      </c>
    </row>
    <row r="1214" spans="1:18" x14ac:dyDescent="0.2">
      <c r="A1214" t="s">
        <v>1225</v>
      </c>
      <c r="B1214">
        <v>5.8461385000000003</v>
      </c>
      <c r="C1214">
        <v>0.61288326000000004</v>
      </c>
      <c r="D1214">
        <v>6.0147911199999999</v>
      </c>
      <c r="E1214">
        <v>0.41484471000000001</v>
      </c>
      <c r="F1214">
        <v>3.3289157999999999</v>
      </c>
      <c r="G1214">
        <v>1.3381462399999999</v>
      </c>
      <c r="H1214">
        <v>2.8337619200000002</v>
      </c>
      <c r="I1214">
        <v>9.8609400000000003E-3</v>
      </c>
      <c r="J1214">
        <v>1</v>
      </c>
      <c r="K1214">
        <v>950057</v>
      </c>
      <c r="L1214">
        <f t="shared" si="161"/>
        <v>1.2803522307692307E-2</v>
      </c>
      <c r="M1214">
        <f t="shared" si="162"/>
        <v>5.1467163076923074E-3</v>
      </c>
      <c r="N1214">
        <f t="shared" si="163"/>
        <v>1.0899084307692309E-2</v>
      </c>
      <c r="O1214">
        <f t="shared" si="164"/>
        <v>8.0229003076923086E-3</v>
      </c>
      <c r="P1214">
        <f t="shared" si="160"/>
        <v>34.682097908364554</v>
      </c>
      <c r="R1214">
        <f t="shared" si="165"/>
        <v>-1.3240911640902474E-3</v>
      </c>
    </row>
    <row r="1215" spans="1:18" x14ac:dyDescent="0.2">
      <c r="A1215" t="s">
        <v>1226</v>
      </c>
      <c r="B1215">
        <v>5.82485622</v>
      </c>
      <c r="C1215">
        <v>0.51980210999999998</v>
      </c>
      <c r="D1215">
        <v>5.9917596700000004</v>
      </c>
      <c r="E1215">
        <v>0.41484471000000001</v>
      </c>
      <c r="F1215">
        <v>3.33600195</v>
      </c>
      <c r="G1215">
        <v>1.3375347799999999</v>
      </c>
      <c r="H1215">
        <v>2.8128894199999999</v>
      </c>
      <c r="I1215">
        <v>9.8609400000000003E-3</v>
      </c>
      <c r="J1215">
        <v>1</v>
      </c>
      <c r="K1215">
        <v>950057</v>
      </c>
      <c r="L1215">
        <f t="shared" si="161"/>
        <v>1.283077673076923E-2</v>
      </c>
      <c r="M1215">
        <f t="shared" si="162"/>
        <v>5.1443645384615377E-3</v>
      </c>
      <c r="N1215">
        <f t="shared" si="163"/>
        <v>1.0818805461538461E-2</v>
      </c>
      <c r="O1215">
        <f t="shared" si="164"/>
        <v>7.9815849999999994E-3</v>
      </c>
      <c r="P1215">
        <f t="shared" si="160"/>
        <v>29.414782306167865</v>
      </c>
      <c r="R1215">
        <f t="shared" si="165"/>
        <v>-2.0189884175322945E-3</v>
      </c>
    </row>
    <row r="1216" spans="1:18" x14ac:dyDescent="0.2">
      <c r="A1216" t="s">
        <v>1227</v>
      </c>
      <c r="B1216">
        <v>5.7924137199999999</v>
      </c>
      <c r="C1216">
        <v>0.41985539999999999</v>
      </c>
      <c r="D1216">
        <v>5.9477440100000001</v>
      </c>
      <c r="E1216">
        <v>0.41484471000000001</v>
      </c>
      <c r="F1216">
        <v>3.3413559300000002</v>
      </c>
      <c r="G1216">
        <v>1.3333904400000001</v>
      </c>
      <c r="H1216">
        <v>2.7775453200000002</v>
      </c>
      <c r="I1216">
        <v>9.6783300000000006E-3</v>
      </c>
      <c r="J1216">
        <v>1</v>
      </c>
      <c r="K1216">
        <v>950057</v>
      </c>
      <c r="L1216">
        <f t="shared" si="161"/>
        <v>1.2851368961538462E-2</v>
      </c>
      <c r="M1216">
        <f t="shared" si="162"/>
        <v>5.1284247692307697E-3</v>
      </c>
      <c r="N1216">
        <f t="shared" si="163"/>
        <v>1.0682866615384616E-2</v>
      </c>
      <c r="O1216">
        <f t="shared" si="164"/>
        <v>7.9056456923076932E-3</v>
      </c>
      <c r="P1216">
        <f t="shared" si="160"/>
        <v>23.758955482248872</v>
      </c>
      <c r="R1216">
        <f t="shared" si="165"/>
        <v>-2.2335469389115083E-3</v>
      </c>
    </row>
    <row r="1217" spans="1:19" x14ac:dyDescent="0.2">
      <c r="A1217" t="s">
        <v>1228</v>
      </c>
      <c r="B1217">
        <v>5.7464751400000003</v>
      </c>
      <c r="C1217">
        <v>0.32439771000000001</v>
      </c>
      <c r="D1217">
        <v>5.8929803400000003</v>
      </c>
      <c r="E1217">
        <v>0.41484471000000001</v>
      </c>
      <c r="F1217">
        <v>3.3374191799999999</v>
      </c>
      <c r="G1217">
        <v>1.3251017599999999</v>
      </c>
      <c r="H1217">
        <v>2.7306796000000002</v>
      </c>
      <c r="I1217">
        <v>9.6783300000000006E-3</v>
      </c>
      <c r="J1217">
        <v>1</v>
      </c>
      <c r="K1217">
        <v>950057</v>
      </c>
      <c r="L1217">
        <f t="shared" si="161"/>
        <v>1.2836227615384615E-2</v>
      </c>
      <c r="M1217">
        <f t="shared" si="162"/>
        <v>5.0965452307692302E-3</v>
      </c>
      <c r="N1217">
        <f t="shared" si="163"/>
        <v>1.0502613846153848E-2</v>
      </c>
      <c r="O1217">
        <f t="shared" si="164"/>
        <v>7.7995795384615384E-3</v>
      </c>
      <c r="P1217">
        <f t="shared" si="160"/>
        <v>18.357155226379081</v>
      </c>
      <c r="R1217">
        <f t="shared" si="165"/>
        <v>-1.9745127270226308E-3</v>
      </c>
    </row>
    <row r="1218" spans="1:19" x14ac:dyDescent="0.2">
      <c r="A1218" t="s">
        <v>1229</v>
      </c>
      <c r="B1218">
        <v>5.6956053000000004</v>
      </c>
      <c r="C1218">
        <v>0.24135084000000001</v>
      </c>
      <c r="D1218">
        <v>5.8448701999999999</v>
      </c>
      <c r="E1218">
        <v>0.41484471000000001</v>
      </c>
      <c r="F1218">
        <v>3.3308054399999998</v>
      </c>
      <c r="G1218">
        <v>1.3132801999999999</v>
      </c>
      <c r="H1218">
        <v>2.6783592000000001</v>
      </c>
      <c r="I1218">
        <v>9.8609400000000003E-3</v>
      </c>
      <c r="J1218">
        <v>1</v>
      </c>
      <c r="K1218">
        <v>950057</v>
      </c>
      <c r="L1218">
        <f t="shared" si="161"/>
        <v>1.2810790153846154E-2</v>
      </c>
      <c r="M1218">
        <f t="shared" si="162"/>
        <v>5.0510776923076922E-3</v>
      </c>
      <c r="N1218">
        <f t="shared" si="163"/>
        <v>1.0301381538461539E-2</v>
      </c>
      <c r="O1218">
        <f t="shared" si="164"/>
        <v>7.6762296153846154E-3</v>
      </c>
      <c r="P1218">
        <f t="shared" si="160"/>
        <v>13.65766371746885</v>
      </c>
      <c r="R1218">
        <f t="shared" si="165"/>
        <v>-1.537714209931044E-3</v>
      </c>
    </row>
    <row r="1219" spans="1:19" x14ac:dyDescent="0.2">
      <c r="A1219" t="s">
        <v>1230</v>
      </c>
      <c r="B1219">
        <v>5.6481094799999996</v>
      </c>
      <c r="C1219">
        <v>0.16596171000000001</v>
      </c>
      <c r="D1219">
        <v>5.7839648099999996</v>
      </c>
      <c r="E1219">
        <v>0.41484471000000001</v>
      </c>
      <c r="F1219">
        <v>3.3216721800000002</v>
      </c>
      <c r="G1219">
        <v>1.29894486</v>
      </c>
      <c r="H1219">
        <v>2.62331146</v>
      </c>
      <c r="I1219">
        <v>9.6783300000000006E-3</v>
      </c>
      <c r="J1219">
        <v>1</v>
      </c>
      <c r="K1219">
        <v>950057</v>
      </c>
      <c r="L1219">
        <f t="shared" si="161"/>
        <v>1.2775662230769232E-2</v>
      </c>
      <c r="M1219">
        <f t="shared" si="162"/>
        <v>4.9959417692307688E-3</v>
      </c>
      <c r="N1219">
        <f t="shared" si="163"/>
        <v>1.0089659461538461E-2</v>
      </c>
      <c r="O1219">
        <f t="shared" si="164"/>
        <v>7.5428006153846153E-3</v>
      </c>
      <c r="P1219">
        <f t="shared" ref="P1219:P1282" si="169">+C1219*4/(PI()*0.15^2)</f>
        <v>9.39151164817196</v>
      </c>
      <c r="R1219">
        <f t="shared" si="165"/>
        <v>-9.8976313619111617E-4</v>
      </c>
    </row>
    <row r="1220" spans="1:19" x14ac:dyDescent="0.2">
      <c r="A1220" t="s">
        <v>1231</v>
      </c>
      <c r="B1220">
        <v>5.5943847</v>
      </c>
      <c r="C1220">
        <v>9.9550620000000006E-2</v>
      </c>
      <c r="D1220">
        <v>5.7307365700000004</v>
      </c>
      <c r="E1220">
        <v>0.67165333999999999</v>
      </c>
      <c r="F1220">
        <v>3.3048228900000001</v>
      </c>
      <c r="G1220">
        <v>1.2835904199999999</v>
      </c>
      <c r="H1220">
        <v>2.5701561599999998</v>
      </c>
      <c r="I1220">
        <v>9.6783300000000006E-3</v>
      </c>
      <c r="J1220">
        <v>1</v>
      </c>
      <c r="K1220">
        <v>950057</v>
      </c>
      <c r="L1220">
        <f t="shared" ref="L1220:L1283" si="170">+F1220/260</f>
        <v>1.2710857269230769E-2</v>
      </c>
      <c r="M1220">
        <f t="shared" ref="M1220:M1283" si="171">+G1220/260</f>
        <v>4.9368862307692307E-3</v>
      </c>
      <c r="N1220">
        <f t="shared" ref="N1220:N1283" si="172">+H1220/260</f>
        <v>9.8852159999999988E-3</v>
      </c>
      <c r="O1220">
        <f t="shared" ref="O1220:O1283" si="173">(+G1220+H1220)/520</f>
        <v>7.4110511153846152E-3</v>
      </c>
      <c r="P1220">
        <f t="shared" si="169"/>
        <v>5.633412714973475</v>
      </c>
      <c r="R1220">
        <f t="shared" ref="R1220:R1283" si="174">+(P1220+P1221)/2*(O1221-O1220)</f>
        <v>-3.9487969019741203E-4</v>
      </c>
      <c r="S1220">
        <f>ABS(SUMIFS($R:$R,$K:$K,K1220))</f>
        <v>5.1967486977656753E-3</v>
      </c>
    </row>
    <row r="1221" spans="1:19" x14ac:dyDescent="0.2">
      <c r="A1221" t="s">
        <v>1232</v>
      </c>
      <c r="B1221">
        <v>5.5538964599999998</v>
      </c>
      <c r="C1221">
        <v>5.320809E-2</v>
      </c>
      <c r="D1221">
        <v>5.6918390099999998</v>
      </c>
      <c r="E1221">
        <v>1.20502511</v>
      </c>
      <c r="F1221">
        <v>3.2841943200000001</v>
      </c>
      <c r="G1221">
        <v>1.2732635400000001</v>
      </c>
      <c r="H1221">
        <v>2.5329752800000001</v>
      </c>
      <c r="I1221">
        <v>9.8609400000000003E-3</v>
      </c>
      <c r="J1221">
        <v>1</v>
      </c>
      <c r="K1221">
        <v>950057</v>
      </c>
      <c r="L1221">
        <f t="shared" si="170"/>
        <v>1.2631516615384615E-2</v>
      </c>
      <c r="M1221">
        <f t="shared" si="171"/>
        <v>4.897167461538462E-3</v>
      </c>
      <c r="N1221">
        <f t="shared" si="172"/>
        <v>9.7422126153846149E-3</v>
      </c>
      <c r="O1221">
        <f t="shared" si="173"/>
        <v>7.319690038461538E-3</v>
      </c>
      <c r="P1221">
        <f t="shared" si="169"/>
        <v>3.0109619683478916</v>
      </c>
      <c r="R1221">
        <f t="shared" si="174"/>
        <v>-7.650749992285072E-5</v>
      </c>
    </row>
    <row r="1222" spans="1:19" x14ac:dyDescent="0.2">
      <c r="A1222" t="s">
        <v>1233</v>
      </c>
      <c r="B1222">
        <v>5.53884314</v>
      </c>
      <c r="C1222">
        <v>5.0831550000000003E-2</v>
      </c>
      <c r="D1222">
        <v>5.6805791899999996</v>
      </c>
      <c r="E1222">
        <v>1.20502511</v>
      </c>
      <c r="F1222">
        <v>3.2654553900000001</v>
      </c>
      <c r="G1222">
        <v>1.2699344800000001</v>
      </c>
      <c r="H1222">
        <v>2.5227895</v>
      </c>
      <c r="I1222">
        <v>9.8609400000000003E-3</v>
      </c>
      <c r="J1222">
        <v>1</v>
      </c>
      <c r="K1222">
        <v>950057</v>
      </c>
      <c r="L1222">
        <f t="shared" si="170"/>
        <v>1.2559443807692307E-2</v>
      </c>
      <c r="M1222">
        <f t="shared" si="171"/>
        <v>4.8843633846153848E-3</v>
      </c>
      <c r="N1222">
        <f t="shared" si="172"/>
        <v>9.7030365384615392E-3</v>
      </c>
      <c r="O1222">
        <f t="shared" si="173"/>
        <v>7.2936999615384615E-3</v>
      </c>
      <c r="P1222">
        <f t="shared" si="169"/>
        <v>2.8764773146747848</v>
      </c>
      <c r="R1222">
        <f t="shared" si="174"/>
        <v>1.7119983051738327E-4</v>
      </c>
    </row>
    <row r="1223" spans="1:19" x14ac:dyDescent="0.2">
      <c r="A1223" t="s">
        <v>1234</v>
      </c>
      <c r="B1223">
        <v>5.5570109399999996</v>
      </c>
      <c r="C1223">
        <v>0.10839662999999999</v>
      </c>
      <c r="D1223">
        <v>5.7041224499999998</v>
      </c>
      <c r="E1223">
        <v>1.20502511</v>
      </c>
      <c r="F1223">
        <v>3.2486060999999999</v>
      </c>
      <c r="G1223">
        <v>1.2693230200000001</v>
      </c>
      <c r="H1223">
        <v>2.5431610600000001</v>
      </c>
      <c r="I1223">
        <v>9.6783300000000006E-3</v>
      </c>
      <c r="J1223">
        <v>1</v>
      </c>
      <c r="K1223">
        <v>950057</v>
      </c>
      <c r="L1223">
        <f t="shared" si="170"/>
        <v>1.2494638846153846E-2</v>
      </c>
      <c r="M1223">
        <f t="shared" si="171"/>
        <v>4.882011615384616E-3</v>
      </c>
      <c r="N1223">
        <f t="shared" si="172"/>
        <v>9.7813886923076923E-3</v>
      </c>
      <c r="O1223">
        <f t="shared" si="173"/>
        <v>7.3317001538461537E-3</v>
      </c>
      <c r="P1223">
        <f t="shared" si="169"/>
        <v>6.1339944814233718</v>
      </c>
      <c r="R1223">
        <f t="shared" si="174"/>
        <v>7.8085183318123835E-4</v>
      </c>
    </row>
    <row r="1224" spans="1:19" x14ac:dyDescent="0.2">
      <c r="A1224" t="s">
        <v>1235</v>
      </c>
      <c r="B1224">
        <v>5.5951633200000002</v>
      </c>
      <c r="C1224">
        <v>0.18774666000000001</v>
      </c>
      <c r="D1224">
        <v>5.7414845799999998</v>
      </c>
      <c r="E1224">
        <v>0.96797098999999998</v>
      </c>
      <c r="F1224">
        <v>3.2345912700000001</v>
      </c>
      <c r="G1224">
        <v>1.2759811400000001</v>
      </c>
      <c r="H1224">
        <v>2.5849617199999999</v>
      </c>
      <c r="I1224">
        <v>9.4957199999999992E-3</v>
      </c>
      <c r="J1224">
        <v>1</v>
      </c>
      <c r="K1224">
        <v>950058</v>
      </c>
      <c r="L1224">
        <f t="shared" si="170"/>
        <v>1.2440735653846154E-2</v>
      </c>
      <c r="M1224">
        <f t="shared" si="171"/>
        <v>4.9076197692307696E-3</v>
      </c>
      <c r="N1224">
        <f t="shared" si="172"/>
        <v>9.9421604615384605E-3</v>
      </c>
      <c r="O1224">
        <f t="shared" si="173"/>
        <v>7.424890115384615E-3</v>
      </c>
      <c r="P1224">
        <f t="shared" si="169"/>
        <v>10.62428764017544</v>
      </c>
      <c r="Q1224">
        <f t="shared" ref="Q1224" si="175">ABS(0.5*(SUMPRODUCT(O1224:O1242,P1225:P1243)+O1243*P1224-(SUMPRODUCT(O1225:O1243,P1224:P1242)+O1224*P1243)))</f>
        <v>5.2170409572707133E-3</v>
      </c>
      <c r="R1224">
        <f t="shared" si="174"/>
        <v>1.7744577353032216E-3</v>
      </c>
    </row>
    <row r="1225" spans="1:19" x14ac:dyDescent="0.2">
      <c r="A1225" t="s">
        <v>1236</v>
      </c>
      <c r="B1225">
        <v>5.6481094799999996</v>
      </c>
      <c r="C1225">
        <v>0.28122390000000003</v>
      </c>
      <c r="D1225">
        <v>5.7993191099999999</v>
      </c>
      <c r="E1225">
        <v>0.73091687000000005</v>
      </c>
      <c r="F1225">
        <v>3.22844994</v>
      </c>
      <c r="G1225">
        <v>1.2896370800000001</v>
      </c>
      <c r="H1225">
        <v>2.64084436</v>
      </c>
      <c r="I1225">
        <v>9.6783300000000006E-3</v>
      </c>
      <c r="J1225">
        <v>1</v>
      </c>
      <c r="K1225">
        <v>950058</v>
      </c>
      <c r="L1225">
        <f t="shared" si="170"/>
        <v>1.2417115153846154E-2</v>
      </c>
      <c r="M1225">
        <f t="shared" si="171"/>
        <v>4.9601426153846155E-3</v>
      </c>
      <c r="N1225">
        <f t="shared" si="172"/>
        <v>1.0157093692307693E-2</v>
      </c>
      <c r="O1225">
        <f t="shared" si="173"/>
        <v>7.5586181538461542E-3</v>
      </c>
      <c r="P1225">
        <f t="shared" si="169"/>
        <v>15.914017351317643</v>
      </c>
      <c r="R1225">
        <f t="shared" si="174"/>
        <v>2.8928911074593551E-3</v>
      </c>
    </row>
    <row r="1226" spans="1:19" x14ac:dyDescent="0.2">
      <c r="A1226" t="s">
        <v>1237</v>
      </c>
      <c r="B1226">
        <v>5.7075441400000004</v>
      </c>
      <c r="C1226">
        <v>0.39120489000000003</v>
      </c>
      <c r="D1226">
        <v>5.8714843200000004</v>
      </c>
      <c r="E1226">
        <v>0.73091687000000005</v>
      </c>
      <c r="F1226">
        <v>3.2298671699999999</v>
      </c>
      <c r="G1226">
        <v>1.30519534</v>
      </c>
      <c r="H1226">
        <v>2.7043524200000002</v>
      </c>
      <c r="I1226">
        <v>9.4957199999999992E-3</v>
      </c>
      <c r="J1226">
        <v>1</v>
      </c>
      <c r="K1226">
        <v>950058</v>
      </c>
      <c r="L1226">
        <f t="shared" si="170"/>
        <v>1.2422566038461537E-2</v>
      </c>
      <c r="M1226">
        <f t="shared" si="171"/>
        <v>5.0199820769230774E-3</v>
      </c>
      <c r="N1226">
        <f t="shared" si="172"/>
        <v>1.0401355461538463E-2</v>
      </c>
      <c r="O1226">
        <f t="shared" si="173"/>
        <v>7.7106687692307697E-3</v>
      </c>
      <c r="P1226">
        <f t="shared" si="169"/>
        <v>22.137668268523086</v>
      </c>
      <c r="R1226">
        <f t="shared" si="174"/>
        <v>3.8303233040886532E-3</v>
      </c>
    </row>
    <row r="1227" spans="1:19" x14ac:dyDescent="0.2">
      <c r="A1227" t="s">
        <v>1238</v>
      </c>
      <c r="B1227">
        <v>5.76931466</v>
      </c>
      <c r="C1227">
        <v>0.52415909999999999</v>
      </c>
      <c r="D1227">
        <v>5.9400668599999999</v>
      </c>
      <c r="E1227">
        <v>0.61238981000000003</v>
      </c>
      <c r="F1227">
        <v>3.2355360900000001</v>
      </c>
      <c r="G1227">
        <v>1.31925892</v>
      </c>
      <c r="H1227">
        <v>2.7671925599999998</v>
      </c>
      <c r="I1227">
        <v>9.4957199999999992E-3</v>
      </c>
      <c r="J1227">
        <v>1</v>
      </c>
      <c r="K1227">
        <v>950058</v>
      </c>
      <c r="L1227">
        <f t="shared" si="170"/>
        <v>1.2444369576923077E-2</v>
      </c>
      <c r="M1227">
        <f t="shared" si="171"/>
        <v>5.0740727692307691E-3</v>
      </c>
      <c r="N1227">
        <f t="shared" si="172"/>
        <v>1.0643048307692306E-2</v>
      </c>
      <c r="O1227">
        <f t="shared" si="173"/>
        <v>7.8585605384615381E-3</v>
      </c>
      <c r="P1227">
        <f t="shared" si="169"/>
        <v>29.661337504568561</v>
      </c>
      <c r="R1227">
        <f t="shared" si="174"/>
        <v>4.4495622098034747E-3</v>
      </c>
    </row>
    <row r="1228" spans="1:19" x14ac:dyDescent="0.2">
      <c r="A1228" t="s">
        <v>1239</v>
      </c>
      <c r="B1228">
        <v>5.8310851799999996</v>
      </c>
      <c r="C1228">
        <v>0.70385193000000001</v>
      </c>
      <c r="D1228">
        <v>6.0040431099999996</v>
      </c>
      <c r="E1228">
        <v>0.53337177000000002</v>
      </c>
      <c r="F1228">
        <v>3.2441969400000001</v>
      </c>
      <c r="G1228">
        <v>1.33046902</v>
      </c>
      <c r="H1228">
        <v>2.8225742600000001</v>
      </c>
      <c r="I1228">
        <v>9.3131099999999994E-3</v>
      </c>
      <c r="J1228">
        <v>1</v>
      </c>
      <c r="K1228">
        <v>950058</v>
      </c>
      <c r="L1228">
        <f t="shared" si="170"/>
        <v>1.2477680538461539E-2</v>
      </c>
      <c r="M1228">
        <f t="shared" si="171"/>
        <v>5.1171885384615383E-3</v>
      </c>
      <c r="N1228">
        <f t="shared" si="172"/>
        <v>1.0856054846153847E-2</v>
      </c>
      <c r="O1228">
        <f t="shared" si="173"/>
        <v>7.9866216923076931E-3</v>
      </c>
      <c r="P1228">
        <f t="shared" si="169"/>
        <v>39.829871596185136</v>
      </c>
      <c r="R1228">
        <f t="shared" si="174"/>
        <v>2.8660492237647284E-3</v>
      </c>
    </row>
    <row r="1229" spans="1:19" x14ac:dyDescent="0.2">
      <c r="A1229" t="s">
        <v>1240</v>
      </c>
      <c r="B1229">
        <v>5.8700161800000004</v>
      </c>
      <c r="C1229">
        <v>0.82637576999999995</v>
      </c>
      <c r="D1229">
        <v>6.0383343800000002</v>
      </c>
      <c r="E1229">
        <v>0.53337177000000002</v>
      </c>
      <c r="F1229">
        <v>3.2624634600000002</v>
      </c>
      <c r="G1229">
        <v>1.3358362800000001</v>
      </c>
      <c r="H1229">
        <v>2.85162878</v>
      </c>
      <c r="I1229">
        <v>9.3131099999999994E-3</v>
      </c>
      <c r="J1229">
        <v>1</v>
      </c>
      <c r="K1229">
        <v>950058</v>
      </c>
      <c r="L1229">
        <f t="shared" si="170"/>
        <v>1.2547936384615386E-2</v>
      </c>
      <c r="M1229">
        <f t="shared" si="171"/>
        <v>5.1378318461538465E-3</v>
      </c>
      <c r="N1229">
        <f t="shared" si="172"/>
        <v>1.0967803E-2</v>
      </c>
      <c r="O1229">
        <f t="shared" si="173"/>
        <v>8.0528174230769228E-3</v>
      </c>
      <c r="P1229">
        <f t="shared" si="169"/>
        <v>46.763302629998641</v>
      </c>
      <c r="R1229">
        <f t="shared" si="174"/>
        <v>8.9232960590656068E-4</v>
      </c>
    </row>
    <row r="1230" spans="1:19" x14ac:dyDescent="0.2">
      <c r="A1230" t="s">
        <v>1241</v>
      </c>
      <c r="B1230">
        <v>5.8824740999999996</v>
      </c>
      <c r="C1230">
        <v>0.85542236999999999</v>
      </c>
      <c r="D1230">
        <v>6.0490823899999997</v>
      </c>
      <c r="E1230">
        <v>0.53337177000000002</v>
      </c>
      <c r="F1230">
        <v>3.2797851599999999</v>
      </c>
      <c r="G1230">
        <v>1.33712714</v>
      </c>
      <c r="H1230">
        <v>2.8600891000000002</v>
      </c>
      <c r="I1230">
        <v>9.6783300000000006E-3</v>
      </c>
      <c r="J1230">
        <v>1</v>
      </c>
      <c r="K1230">
        <v>950058</v>
      </c>
      <c r="L1230">
        <f t="shared" si="170"/>
        <v>1.2614558307692307E-2</v>
      </c>
      <c r="M1230">
        <f t="shared" si="171"/>
        <v>5.1427966923076919E-3</v>
      </c>
      <c r="N1230">
        <f t="shared" si="172"/>
        <v>1.1000342692307694E-2</v>
      </c>
      <c r="O1230">
        <f t="shared" si="173"/>
        <v>8.0715696923076927E-3</v>
      </c>
      <c r="P1230">
        <f t="shared" si="169"/>
        <v>48.407003952669953</v>
      </c>
      <c r="R1230">
        <f t="shared" si="174"/>
        <v>2.6068768274573132E-4</v>
      </c>
    </row>
    <row r="1231" spans="1:19" x14ac:dyDescent="0.2">
      <c r="A1231" t="s">
        <v>1242</v>
      </c>
      <c r="B1231">
        <v>5.8832527199999998</v>
      </c>
      <c r="C1231">
        <v>0.85502628000000003</v>
      </c>
      <c r="D1231">
        <v>6.05573592</v>
      </c>
      <c r="E1231">
        <v>0.47410824000000001</v>
      </c>
      <c r="F1231">
        <v>3.2912804699999998</v>
      </c>
      <c r="G1231">
        <v>1.3375347799999999</v>
      </c>
      <c r="H1231">
        <v>2.8624824800000002</v>
      </c>
      <c r="I1231">
        <v>9.6783300000000006E-3</v>
      </c>
      <c r="J1231">
        <v>1</v>
      </c>
      <c r="K1231">
        <v>950058</v>
      </c>
      <c r="L1231">
        <f t="shared" si="170"/>
        <v>1.2658771038461537E-2</v>
      </c>
      <c r="M1231">
        <f t="shared" si="171"/>
        <v>5.1443645384615377E-3</v>
      </c>
      <c r="N1231">
        <f t="shared" si="172"/>
        <v>1.1009548000000001E-2</v>
      </c>
      <c r="O1231">
        <f t="shared" si="173"/>
        <v>8.0769562692307693E-3</v>
      </c>
      <c r="P1231">
        <f t="shared" si="169"/>
        <v>48.384589843724434</v>
      </c>
      <c r="R1231">
        <f t="shared" si="174"/>
        <v>-1.7874919982821048E-4</v>
      </c>
    </row>
    <row r="1232" spans="1:19" x14ac:dyDescent="0.2">
      <c r="A1232" t="s">
        <v>1243</v>
      </c>
      <c r="B1232">
        <v>5.8778023800000003</v>
      </c>
      <c r="C1232">
        <v>0.81515322000000001</v>
      </c>
      <c r="D1232">
        <v>6.0526650599999998</v>
      </c>
      <c r="E1232">
        <v>0.41484471000000001</v>
      </c>
      <c r="F1232">
        <v>3.3052953</v>
      </c>
      <c r="G1232">
        <v>1.3377386</v>
      </c>
      <c r="H1232">
        <v>2.8603117400000002</v>
      </c>
      <c r="I1232">
        <v>9.6783300000000006E-3</v>
      </c>
      <c r="J1232">
        <v>1</v>
      </c>
      <c r="K1232">
        <v>950058</v>
      </c>
      <c r="L1232">
        <f t="shared" si="170"/>
        <v>1.271267423076923E-2</v>
      </c>
      <c r="M1232">
        <f t="shared" si="171"/>
        <v>5.1451484615384615E-3</v>
      </c>
      <c r="N1232">
        <f t="shared" si="172"/>
        <v>1.1001199000000001E-2</v>
      </c>
      <c r="O1232">
        <f t="shared" si="173"/>
        <v>8.073173730769231E-3</v>
      </c>
      <c r="P1232">
        <f t="shared" si="169"/>
        <v>46.128236209875638</v>
      </c>
      <c r="R1232">
        <f t="shared" si="174"/>
        <v>-9.9394688092101398E-4</v>
      </c>
    </row>
    <row r="1233" spans="1:19" x14ac:dyDescent="0.2">
      <c r="A1233" t="s">
        <v>1244</v>
      </c>
      <c r="B1233">
        <v>5.8635276799999998</v>
      </c>
      <c r="C1233">
        <v>0.70187147999999999</v>
      </c>
      <c r="D1233">
        <v>6.03526352</v>
      </c>
      <c r="E1233">
        <v>0.41484471000000001</v>
      </c>
      <c r="F1233">
        <v>3.3197825399999998</v>
      </c>
      <c r="G1233">
        <v>1.3379424200000001</v>
      </c>
      <c r="H1233">
        <v>2.84806654</v>
      </c>
      <c r="I1233">
        <v>9.3131099999999994E-3</v>
      </c>
      <c r="J1233">
        <v>1</v>
      </c>
      <c r="K1233">
        <v>950058</v>
      </c>
      <c r="L1233">
        <f t="shared" si="170"/>
        <v>1.2768394384615384E-2</v>
      </c>
      <c r="M1233">
        <f t="shared" si="171"/>
        <v>5.1459323846153853E-3</v>
      </c>
      <c r="N1233">
        <f t="shared" si="172"/>
        <v>1.0954102076923078E-2</v>
      </c>
      <c r="O1233">
        <f t="shared" si="173"/>
        <v>8.0500172307692314E-3</v>
      </c>
      <c r="P1233">
        <f t="shared" si="169"/>
        <v>39.717801051457549</v>
      </c>
      <c r="R1233">
        <f t="shared" si="174"/>
        <v>-9.2600991527317506E-4</v>
      </c>
    </row>
    <row r="1234" spans="1:19" x14ac:dyDescent="0.2">
      <c r="A1234" t="s">
        <v>1245</v>
      </c>
      <c r="B1234">
        <v>5.8508102199999996</v>
      </c>
      <c r="C1234">
        <v>0.61605198000000005</v>
      </c>
      <c r="D1234">
        <v>6.0163265499999996</v>
      </c>
      <c r="E1234">
        <v>0.41484471000000001</v>
      </c>
      <c r="F1234">
        <v>3.3282859199999999</v>
      </c>
      <c r="G1234">
        <v>1.3379424200000001</v>
      </c>
      <c r="H1234">
        <v>2.8351534200000001</v>
      </c>
      <c r="I1234">
        <v>9.6783300000000006E-3</v>
      </c>
      <c r="J1234">
        <v>1</v>
      </c>
      <c r="K1234">
        <v>950058</v>
      </c>
      <c r="L1234">
        <f t="shared" si="170"/>
        <v>1.2801099692307692E-2</v>
      </c>
      <c r="M1234">
        <f t="shared" si="171"/>
        <v>5.1459323846153853E-3</v>
      </c>
      <c r="N1234">
        <f t="shared" si="172"/>
        <v>1.0904436230769232E-2</v>
      </c>
      <c r="O1234">
        <f t="shared" si="173"/>
        <v>8.0251843076923086E-3</v>
      </c>
      <c r="P1234">
        <f t="shared" si="169"/>
        <v>34.861410779928697</v>
      </c>
      <c r="R1234">
        <f t="shared" si="174"/>
        <v>-1.3537611142161762E-3</v>
      </c>
    </row>
    <row r="1235" spans="1:19" x14ac:dyDescent="0.2">
      <c r="A1235" t="s">
        <v>1246</v>
      </c>
      <c r="B1235">
        <v>5.8279706999999998</v>
      </c>
      <c r="C1235">
        <v>0.52138647000000005</v>
      </c>
      <c r="D1235">
        <v>5.9917596700000004</v>
      </c>
      <c r="E1235">
        <v>0.41484471000000001</v>
      </c>
      <c r="F1235">
        <v>3.3345847200000001</v>
      </c>
      <c r="G1235">
        <v>1.3373309600000001</v>
      </c>
      <c r="H1235">
        <v>2.8138912999999999</v>
      </c>
      <c r="I1235">
        <v>9.4957199999999992E-3</v>
      </c>
      <c r="J1235">
        <v>1</v>
      </c>
      <c r="K1235">
        <v>950058</v>
      </c>
      <c r="L1235">
        <f t="shared" si="170"/>
        <v>1.2825325846153847E-2</v>
      </c>
      <c r="M1235">
        <f t="shared" si="171"/>
        <v>5.1435806153846157E-3</v>
      </c>
      <c r="N1235">
        <f t="shared" si="172"/>
        <v>1.0822658846153846E-2</v>
      </c>
      <c r="O1235">
        <f t="shared" si="173"/>
        <v>7.9831197307692302E-3</v>
      </c>
      <c r="P1235">
        <f t="shared" si="169"/>
        <v>29.50443874194994</v>
      </c>
      <c r="R1235">
        <f t="shared" si="174"/>
        <v>-2.0427171980203847E-3</v>
      </c>
    </row>
    <row r="1236" spans="1:19" x14ac:dyDescent="0.2">
      <c r="A1236" t="s">
        <v>1247</v>
      </c>
      <c r="B1236">
        <v>5.7931923400000001</v>
      </c>
      <c r="C1236">
        <v>0.41827103999999998</v>
      </c>
      <c r="D1236">
        <v>5.9508148700000003</v>
      </c>
      <c r="E1236">
        <v>0.41484471000000001</v>
      </c>
      <c r="F1236">
        <v>3.3399386999999998</v>
      </c>
      <c r="G1236">
        <v>1.3333904400000001</v>
      </c>
      <c r="H1236">
        <v>2.7778792800000001</v>
      </c>
      <c r="I1236">
        <v>9.4957199999999992E-3</v>
      </c>
      <c r="J1236">
        <v>1</v>
      </c>
      <c r="K1236">
        <v>950058</v>
      </c>
      <c r="L1236">
        <f t="shared" si="170"/>
        <v>1.2845918076923077E-2</v>
      </c>
      <c r="M1236">
        <f t="shared" si="171"/>
        <v>5.1284247692307697E-3</v>
      </c>
      <c r="N1236">
        <f t="shared" si="172"/>
        <v>1.0684151076923077E-2</v>
      </c>
      <c r="O1236">
        <f t="shared" si="173"/>
        <v>7.9062879230769236E-3</v>
      </c>
      <c r="P1236">
        <f t="shared" si="169"/>
        <v>23.669299046466801</v>
      </c>
      <c r="R1236">
        <f t="shared" si="174"/>
        <v>-2.2352426403921895E-3</v>
      </c>
    </row>
    <row r="1237" spans="1:19" x14ac:dyDescent="0.2">
      <c r="A1237" t="s">
        <v>1248</v>
      </c>
      <c r="B1237">
        <v>5.7464751400000003</v>
      </c>
      <c r="C1237">
        <v>0.32479380000000002</v>
      </c>
      <c r="D1237">
        <v>5.8975866300000002</v>
      </c>
      <c r="E1237">
        <v>0.41484471000000001</v>
      </c>
      <c r="F1237">
        <v>3.3385214699999999</v>
      </c>
      <c r="G1237">
        <v>1.32530558</v>
      </c>
      <c r="H1237">
        <v>2.7306796000000002</v>
      </c>
      <c r="I1237">
        <v>9.3131099999999994E-3</v>
      </c>
      <c r="J1237">
        <v>1</v>
      </c>
      <c r="K1237">
        <v>950058</v>
      </c>
      <c r="L1237">
        <f t="shared" si="170"/>
        <v>1.2840467192307692E-2</v>
      </c>
      <c r="M1237">
        <f t="shared" si="171"/>
        <v>5.097329153846154E-3</v>
      </c>
      <c r="N1237">
        <f t="shared" si="172"/>
        <v>1.0502613846153848E-2</v>
      </c>
      <c r="O1237">
        <f t="shared" si="173"/>
        <v>7.7999715000000008E-3</v>
      </c>
      <c r="P1237">
        <f t="shared" si="169"/>
        <v>18.3795693353246</v>
      </c>
      <c r="R1237">
        <f t="shared" si="174"/>
        <v>-1.968238438179247E-3</v>
      </c>
    </row>
    <row r="1238" spans="1:19" x14ac:dyDescent="0.2">
      <c r="A1238" t="s">
        <v>1249</v>
      </c>
      <c r="B1238">
        <v>5.7005365599999998</v>
      </c>
      <c r="C1238">
        <v>0.24095475</v>
      </c>
      <c r="D1238">
        <v>5.8448701999999999</v>
      </c>
      <c r="E1238">
        <v>0.41484471000000001</v>
      </c>
      <c r="F1238">
        <v>3.3298606199999998</v>
      </c>
      <c r="G1238">
        <v>1.3136878400000001</v>
      </c>
      <c r="H1238">
        <v>2.6783592000000001</v>
      </c>
      <c r="I1238">
        <v>9.4957199999999992E-3</v>
      </c>
      <c r="J1238">
        <v>1</v>
      </c>
      <c r="K1238">
        <v>950058</v>
      </c>
      <c r="L1238">
        <f t="shared" si="170"/>
        <v>1.280715623076923E-2</v>
      </c>
      <c r="M1238">
        <f t="shared" si="171"/>
        <v>5.052645538461539E-3</v>
      </c>
      <c r="N1238">
        <f t="shared" si="172"/>
        <v>1.0301381538461539E-2</v>
      </c>
      <c r="O1238">
        <f t="shared" si="173"/>
        <v>7.6770135384615383E-3</v>
      </c>
      <c r="P1238">
        <f t="shared" si="169"/>
        <v>13.635249608523331</v>
      </c>
      <c r="R1238">
        <f t="shared" si="174"/>
        <v>-1.5355384025471331E-3</v>
      </c>
    </row>
    <row r="1239" spans="1:19" x14ac:dyDescent="0.2">
      <c r="A1239" t="s">
        <v>1250</v>
      </c>
      <c r="B1239">
        <v>5.6473308600000003</v>
      </c>
      <c r="C1239">
        <v>0.16556562</v>
      </c>
      <c r="D1239">
        <v>5.78242938</v>
      </c>
      <c r="E1239">
        <v>0.47410824000000001</v>
      </c>
      <c r="F1239">
        <v>3.3191526599999999</v>
      </c>
      <c r="G1239">
        <v>1.2991486800000001</v>
      </c>
      <c r="H1239">
        <v>2.62347844</v>
      </c>
      <c r="I1239">
        <v>9.4957199999999992E-3</v>
      </c>
      <c r="J1239">
        <v>1</v>
      </c>
      <c r="K1239">
        <v>950058</v>
      </c>
      <c r="L1239">
        <f t="shared" si="170"/>
        <v>1.2765971769230769E-2</v>
      </c>
      <c r="M1239">
        <f t="shared" si="171"/>
        <v>4.9967256923076925E-3</v>
      </c>
      <c r="N1239">
        <f t="shared" si="172"/>
        <v>1.0090301692307692E-2</v>
      </c>
      <c r="O1239">
        <f t="shared" si="173"/>
        <v>7.543513692307692E-3</v>
      </c>
      <c r="P1239">
        <f t="shared" si="169"/>
        <v>9.3690975392264413</v>
      </c>
      <c r="R1239">
        <f t="shared" si="174"/>
        <v>-9.8828661236785727E-4</v>
      </c>
    </row>
    <row r="1240" spans="1:19" x14ac:dyDescent="0.2">
      <c r="A1240" t="s">
        <v>1251</v>
      </c>
      <c r="B1240">
        <v>5.5974991799999998</v>
      </c>
      <c r="C1240">
        <v>9.9550620000000006E-2</v>
      </c>
      <c r="D1240">
        <v>5.7292011399999998</v>
      </c>
      <c r="E1240">
        <v>0.90870746000000002</v>
      </c>
      <c r="F1240">
        <v>3.3052953</v>
      </c>
      <c r="G1240">
        <v>1.28379424</v>
      </c>
      <c r="H1240">
        <v>2.5703231400000002</v>
      </c>
      <c r="I1240">
        <v>9.4957199999999992E-3</v>
      </c>
      <c r="J1240">
        <v>1</v>
      </c>
      <c r="K1240">
        <v>950058</v>
      </c>
      <c r="L1240">
        <f t="shared" si="170"/>
        <v>1.271267423076923E-2</v>
      </c>
      <c r="M1240">
        <f t="shared" si="171"/>
        <v>4.9376701538461536E-3</v>
      </c>
      <c r="N1240">
        <f t="shared" si="172"/>
        <v>9.885858230769231E-3</v>
      </c>
      <c r="O1240">
        <f t="shared" si="173"/>
        <v>7.4117641923076918E-3</v>
      </c>
      <c r="P1240">
        <f t="shared" si="169"/>
        <v>5.633412714973475</v>
      </c>
      <c r="R1240">
        <f t="shared" si="174"/>
        <v>-4.0022163960990717E-4</v>
      </c>
    </row>
    <row r="1241" spans="1:19" x14ac:dyDescent="0.2">
      <c r="A1241" t="s">
        <v>1252</v>
      </c>
      <c r="B1241">
        <v>5.5523392200000004</v>
      </c>
      <c r="C1241">
        <v>5.3604180000000001E-2</v>
      </c>
      <c r="D1241">
        <v>5.6933744400000004</v>
      </c>
      <c r="E1241">
        <v>1.1457615800000001</v>
      </c>
      <c r="F1241">
        <v>3.2837219100000001</v>
      </c>
      <c r="G1241">
        <v>1.27244826</v>
      </c>
      <c r="H1241">
        <v>2.5336432000000002</v>
      </c>
      <c r="I1241">
        <v>9.6783300000000006E-3</v>
      </c>
      <c r="J1241">
        <v>1</v>
      </c>
      <c r="K1241">
        <v>950058</v>
      </c>
      <c r="L1241">
        <f t="shared" si="170"/>
        <v>1.2629699653846154E-2</v>
      </c>
      <c r="M1241">
        <f t="shared" si="171"/>
        <v>4.8940317692307694E-3</v>
      </c>
      <c r="N1241">
        <f t="shared" si="172"/>
        <v>9.7447815384615385E-3</v>
      </c>
      <c r="O1241">
        <f t="shared" si="173"/>
        <v>7.319406653846154E-3</v>
      </c>
      <c r="P1241">
        <f t="shared" si="169"/>
        <v>3.0333760772934095</v>
      </c>
      <c r="R1241">
        <f t="shared" si="174"/>
        <v>-7.5329797120691661E-5</v>
      </c>
      <c r="S1241">
        <f>ABS(SUMIFS($R:$R,$K:$K,K1241))</f>
        <v>5.2369781343312985E-3</v>
      </c>
    </row>
    <row r="1242" spans="1:19" x14ac:dyDescent="0.2">
      <c r="A1242" t="s">
        <v>1253</v>
      </c>
      <c r="B1242">
        <v>5.5396217600000002</v>
      </c>
      <c r="C1242">
        <v>5.2019820000000001E-2</v>
      </c>
      <c r="D1242">
        <v>5.6836500499999998</v>
      </c>
      <c r="E1242">
        <v>1.1457615800000001</v>
      </c>
      <c r="F1242">
        <v>3.2624634600000002</v>
      </c>
      <c r="G1242">
        <v>1.2695268399999999</v>
      </c>
      <c r="H1242">
        <v>2.5234574200000002</v>
      </c>
      <c r="I1242">
        <v>9.4957199999999992E-3</v>
      </c>
      <c r="J1242">
        <v>1</v>
      </c>
      <c r="K1242">
        <v>950058</v>
      </c>
      <c r="L1242">
        <f t="shared" si="170"/>
        <v>1.2547936384615386E-2</v>
      </c>
      <c r="M1242">
        <f t="shared" si="171"/>
        <v>4.882795538461538E-3</v>
      </c>
      <c r="N1242">
        <f t="shared" si="172"/>
        <v>9.7056054615384628E-3</v>
      </c>
      <c r="O1242">
        <f t="shared" si="173"/>
        <v>7.2942004999999996E-3</v>
      </c>
      <c r="P1242">
        <f t="shared" si="169"/>
        <v>2.9437196415113385</v>
      </c>
      <c r="R1242">
        <f t="shared" si="174"/>
        <v>1.7722801589288464E-4</v>
      </c>
    </row>
    <row r="1243" spans="1:19" x14ac:dyDescent="0.2">
      <c r="A1243" t="s">
        <v>1254</v>
      </c>
      <c r="B1243">
        <v>5.5634994400000002</v>
      </c>
      <c r="C1243">
        <v>0.10918881</v>
      </c>
      <c r="D1243">
        <v>5.7010515899999996</v>
      </c>
      <c r="E1243">
        <v>1.1457615800000001</v>
      </c>
      <c r="F1243">
        <v>3.24671646</v>
      </c>
      <c r="G1243">
        <v>1.2695268399999999</v>
      </c>
      <c r="H1243">
        <v>2.5436619999999999</v>
      </c>
      <c r="I1243">
        <v>9.6783300000000006E-3</v>
      </c>
      <c r="J1243">
        <v>1</v>
      </c>
      <c r="K1243">
        <v>950058</v>
      </c>
      <c r="L1243">
        <f t="shared" si="170"/>
        <v>1.2487371000000001E-2</v>
      </c>
      <c r="M1243">
        <f t="shared" si="171"/>
        <v>4.882795538461538E-3</v>
      </c>
      <c r="N1243">
        <f t="shared" si="172"/>
        <v>9.7833153846153837E-3</v>
      </c>
      <c r="O1243">
        <f t="shared" si="173"/>
        <v>7.3330554615384609E-3</v>
      </c>
      <c r="P1243">
        <f t="shared" si="169"/>
        <v>6.1788226993144075</v>
      </c>
      <c r="R1243">
        <f t="shared" si="174"/>
        <v>7.9149108784267428E-4</v>
      </c>
    </row>
    <row r="1244" spans="1:19" x14ac:dyDescent="0.2">
      <c r="A1244" t="s">
        <v>1255</v>
      </c>
      <c r="B1244">
        <v>5.5974991799999998</v>
      </c>
      <c r="C1244">
        <v>0.18893493</v>
      </c>
      <c r="D1244">
        <v>5.7399491500000002</v>
      </c>
      <c r="E1244">
        <v>1.0864980500000001</v>
      </c>
      <c r="F1244">
        <v>3.2345912700000001</v>
      </c>
      <c r="G1244">
        <v>1.2761849599999999</v>
      </c>
      <c r="H1244">
        <v>2.58579662</v>
      </c>
      <c r="I1244">
        <v>9.6783300000000006E-3</v>
      </c>
      <c r="J1244">
        <v>1</v>
      </c>
      <c r="K1244">
        <v>950059</v>
      </c>
      <c r="L1244">
        <f t="shared" si="170"/>
        <v>1.2440735653846154E-2</v>
      </c>
      <c r="M1244">
        <f t="shared" si="171"/>
        <v>4.9084036923076916E-3</v>
      </c>
      <c r="N1244">
        <f t="shared" si="172"/>
        <v>9.9453716153846145E-3</v>
      </c>
      <c r="O1244">
        <f t="shared" si="173"/>
        <v>7.4268876538461544E-3</v>
      </c>
      <c r="P1244">
        <f t="shared" si="169"/>
        <v>10.691529967011993</v>
      </c>
      <c r="Q1244">
        <f t="shared" ref="Q1244" si="176">ABS(0.5*(SUMPRODUCT(O1244:O1262,P1245:P1263)+O1263*P1244-(SUMPRODUCT(O1245:O1263,P1244:P1262)+O1244*P1263)))</f>
        <v>5.2045651798917625E-3</v>
      </c>
      <c r="R1244">
        <f t="shared" si="174"/>
        <v>1.780452524949493E-3</v>
      </c>
    </row>
    <row r="1245" spans="1:19" x14ac:dyDescent="0.2">
      <c r="A1245" t="s">
        <v>1256</v>
      </c>
      <c r="B1245">
        <v>5.6481094799999996</v>
      </c>
      <c r="C1245">
        <v>0.28161998999999999</v>
      </c>
      <c r="D1245">
        <v>5.7977836800000002</v>
      </c>
      <c r="E1245">
        <v>1.0272345199999999</v>
      </c>
      <c r="F1245">
        <v>3.2254580100000001</v>
      </c>
      <c r="G1245">
        <v>1.2898409</v>
      </c>
      <c r="H1245">
        <v>2.6416792600000001</v>
      </c>
      <c r="I1245">
        <v>9.8609400000000003E-3</v>
      </c>
      <c r="J1245">
        <v>1</v>
      </c>
      <c r="K1245">
        <v>950059</v>
      </c>
      <c r="L1245">
        <f t="shared" si="170"/>
        <v>1.2405607730769231E-2</v>
      </c>
      <c r="M1245">
        <f t="shared" si="171"/>
        <v>4.9609265384615384E-3</v>
      </c>
      <c r="N1245">
        <f t="shared" si="172"/>
        <v>1.0160304846153847E-2</v>
      </c>
      <c r="O1245">
        <f t="shared" si="173"/>
        <v>7.5606156923076918E-3</v>
      </c>
      <c r="P1245">
        <f t="shared" si="169"/>
        <v>15.936431460263158</v>
      </c>
      <c r="R1245">
        <f t="shared" si="174"/>
        <v>2.8939319428156317E-3</v>
      </c>
    </row>
    <row r="1246" spans="1:19" x14ac:dyDescent="0.2">
      <c r="A1246" t="s">
        <v>1257</v>
      </c>
      <c r="B1246">
        <v>5.7098800000000001</v>
      </c>
      <c r="C1246">
        <v>0.39278924999999998</v>
      </c>
      <c r="D1246">
        <v>5.8632953600000004</v>
      </c>
      <c r="E1246">
        <v>0.90870746000000002</v>
      </c>
      <c r="F1246">
        <v>3.22750512</v>
      </c>
      <c r="G1246">
        <v>1.30519534</v>
      </c>
      <c r="H1246">
        <v>2.7051873199999998</v>
      </c>
      <c r="I1246">
        <v>1.004355E-2</v>
      </c>
      <c r="J1246">
        <v>1</v>
      </c>
      <c r="K1246">
        <v>950059</v>
      </c>
      <c r="L1246">
        <f t="shared" si="170"/>
        <v>1.2413481230769231E-2</v>
      </c>
      <c r="M1246">
        <f t="shared" si="171"/>
        <v>5.0199820769230774E-3</v>
      </c>
      <c r="N1246">
        <f t="shared" si="172"/>
        <v>1.0404566615384615E-2</v>
      </c>
      <c r="O1246">
        <f t="shared" si="173"/>
        <v>7.712274346153845E-3</v>
      </c>
      <c r="P1246">
        <f t="shared" si="169"/>
        <v>22.227324704305154</v>
      </c>
      <c r="R1246">
        <f t="shared" si="174"/>
        <v>3.8376300081985034E-3</v>
      </c>
    </row>
    <row r="1247" spans="1:19" x14ac:dyDescent="0.2">
      <c r="A1247" t="s">
        <v>1258</v>
      </c>
      <c r="B1247">
        <v>5.7739863800000002</v>
      </c>
      <c r="C1247">
        <v>0.52587549</v>
      </c>
      <c r="D1247">
        <v>5.9339251400000004</v>
      </c>
      <c r="E1247">
        <v>0.67165333999999999</v>
      </c>
      <c r="F1247">
        <v>3.2350636800000001</v>
      </c>
      <c r="G1247">
        <v>1.3194627400000001</v>
      </c>
      <c r="H1247">
        <v>2.7676935</v>
      </c>
      <c r="I1247">
        <v>1.004355E-2</v>
      </c>
      <c r="J1247">
        <v>1</v>
      </c>
      <c r="K1247">
        <v>950059</v>
      </c>
      <c r="L1247">
        <f t="shared" si="170"/>
        <v>1.2442552615384616E-2</v>
      </c>
      <c r="M1247">
        <f t="shared" si="171"/>
        <v>5.0748566923076929E-3</v>
      </c>
      <c r="N1247">
        <f t="shared" si="172"/>
        <v>1.0644975000000001E-2</v>
      </c>
      <c r="O1247">
        <f t="shared" si="173"/>
        <v>7.8599158461538469E-3</v>
      </c>
      <c r="P1247">
        <f t="shared" si="169"/>
        <v>29.758465309999139</v>
      </c>
      <c r="R1247">
        <f t="shared" si="174"/>
        <v>4.4255861123245746E-3</v>
      </c>
    </row>
    <row r="1248" spans="1:19" x14ac:dyDescent="0.2">
      <c r="A1248" t="s">
        <v>1259</v>
      </c>
      <c r="B1248">
        <v>5.8318637999999998</v>
      </c>
      <c r="C1248">
        <v>0.70477614</v>
      </c>
      <c r="D1248">
        <v>6.0040431099999996</v>
      </c>
      <c r="E1248">
        <v>0.61238981000000003</v>
      </c>
      <c r="F1248">
        <v>3.24624405</v>
      </c>
      <c r="G1248">
        <v>1.3306728400000001</v>
      </c>
      <c r="H1248">
        <v>2.8225742600000001</v>
      </c>
      <c r="I1248">
        <v>9.8609400000000003E-3</v>
      </c>
      <c r="J1248">
        <v>1</v>
      </c>
      <c r="K1248">
        <v>950059</v>
      </c>
      <c r="L1248">
        <f t="shared" si="170"/>
        <v>1.2485554038461539E-2</v>
      </c>
      <c r="M1248">
        <f t="shared" si="171"/>
        <v>5.1179724615384621E-3</v>
      </c>
      <c r="N1248">
        <f t="shared" si="172"/>
        <v>1.0856054846153847E-2</v>
      </c>
      <c r="O1248">
        <f t="shared" si="173"/>
        <v>7.9870136538461537E-3</v>
      </c>
      <c r="P1248">
        <f t="shared" si="169"/>
        <v>39.88217118372468</v>
      </c>
      <c r="R1248">
        <f t="shared" si="174"/>
        <v>2.7904574608836425E-3</v>
      </c>
    </row>
    <row r="1249" spans="1:19" x14ac:dyDescent="0.2">
      <c r="A1249" t="s">
        <v>1260</v>
      </c>
      <c r="B1249">
        <v>5.8674207799999998</v>
      </c>
      <c r="C1249">
        <v>0.82716794999999999</v>
      </c>
      <c r="D1249">
        <v>6.0398698099999999</v>
      </c>
      <c r="E1249">
        <v>0.61238981000000003</v>
      </c>
      <c r="F1249">
        <v>3.2610462299999998</v>
      </c>
      <c r="G1249">
        <v>1.3354286399999999</v>
      </c>
      <c r="H1249">
        <v>2.8512948200000001</v>
      </c>
      <c r="I1249">
        <v>9.4957199999999992E-3</v>
      </c>
      <c r="J1249">
        <v>1</v>
      </c>
      <c r="K1249">
        <v>950059</v>
      </c>
      <c r="L1249">
        <f t="shared" si="170"/>
        <v>1.2542485499999999E-2</v>
      </c>
      <c r="M1249">
        <f t="shared" si="171"/>
        <v>5.1362639999999998E-3</v>
      </c>
      <c r="N1249">
        <f t="shared" si="172"/>
        <v>1.0966518538461539E-2</v>
      </c>
      <c r="O1249">
        <f t="shared" si="173"/>
        <v>8.0513912692307676E-3</v>
      </c>
      <c r="P1249">
        <f t="shared" si="169"/>
        <v>46.808130847889679</v>
      </c>
      <c r="R1249">
        <f t="shared" si="174"/>
        <v>9.1478306971702237E-4</v>
      </c>
    </row>
    <row r="1250" spans="1:19" x14ac:dyDescent="0.2">
      <c r="A1250" t="s">
        <v>1261</v>
      </c>
      <c r="B1250">
        <v>5.8793596199999998</v>
      </c>
      <c r="C1250">
        <v>0.85542236999999999</v>
      </c>
      <c r="D1250">
        <v>6.0490823899999997</v>
      </c>
      <c r="E1250">
        <v>0.61238981000000003</v>
      </c>
      <c r="F1250">
        <v>3.2793127499999999</v>
      </c>
      <c r="G1250">
        <v>1.33712714</v>
      </c>
      <c r="H1250">
        <v>2.8595881599999999</v>
      </c>
      <c r="I1250">
        <v>9.3131099999999994E-3</v>
      </c>
      <c r="J1250">
        <v>1</v>
      </c>
      <c r="K1250">
        <v>950059</v>
      </c>
      <c r="L1250">
        <f t="shared" si="170"/>
        <v>1.2612741346153845E-2</v>
      </c>
      <c r="M1250">
        <f t="shared" si="171"/>
        <v>5.1427966923076919E-3</v>
      </c>
      <c r="N1250">
        <f t="shared" si="172"/>
        <v>1.0998416E-2</v>
      </c>
      <c r="O1250">
        <f t="shared" si="173"/>
        <v>8.0706063461538462E-3</v>
      </c>
      <c r="P1250">
        <f t="shared" si="169"/>
        <v>48.407003952669953</v>
      </c>
      <c r="R1250">
        <f t="shared" si="174"/>
        <v>3.0745191541759089E-4</v>
      </c>
    </row>
    <row r="1251" spans="1:19" x14ac:dyDescent="0.2">
      <c r="A1251" t="s">
        <v>1262</v>
      </c>
      <c r="B1251">
        <v>5.8832527199999998</v>
      </c>
      <c r="C1251">
        <v>0.85581845999999995</v>
      </c>
      <c r="D1251">
        <v>6.0490823899999997</v>
      </c>
      <c r="E1251">
        <v>0.61238981000000003</v>
      </c>
      <c r="F1251">
        <v>3.2933275800000001</v>
      </c>
      <c r="G1251">
        <v>1.3375347799999999</v>
      </c>
      <c r="H1251">
        <v>2.8624824800000002</v>
      </c>
      <c r="I1251">
        <v>9.6783300000000006E-3</v>
      </c>
      <c r="J1251">
        <v>1</v>
      </c>
      <c r="K1251">
        <v>950059</v>
      </c>
      <c r="L1251">
        <f t="shared" si="170"/>
        <v>1.2666644538461539E-2</v>
      </c>
      <c r="M1251">
        <f t="shared" si="171"/>
        <v>5.1443645384615377E-3</v>
      </c>
      <c r="N1251">
        <f t="shared" si="172"/>
        <v>1.1009548000000001E-2</v>
      </c>
      <c r="O1251">
        <f t="shared" si="173"/>
        <v>8.0769562692307693E-3</v>
      </c>
      <c r="P1251">
        <f t="shared" si="169"/>
        <v>48.429418061615465</v>
      </c>
      <c r="R1251">
        <f t="shared" si="174"/>
        <v>-1.1138069276537017E-4</v>
      </c>
    </row>
    <row r="1252" spans="1:19" x14ac:dyDescent="0.2">
      <c r="A1252" t="s">
        <v>1263</v>
      </c>
      <c r="B1252">
        <v>5.8793596199999998</v>
      </c>
      <c r="C1252">
        <v>0.81475713000000005</v>
      </c>
      <c r="D1252">
        <v>6.0429406700000001</v>
      </c>
      <c r="E1252">
        <v>0.53337177000000002</v>
      </c>
      <c r="F1252">
        <v>3.30671253</v>
      </c>
      <c r="G1252">
        <v>1.3381462399999999</v>
      </c>
      <c r="H1252">
        <v>2.8606457000000001</v>
      </c>
      <c r="I1252">
        <v>9.8609400000000003E-3</v>
      </c>
      <c r="J1252">
        <v>1</v>
      </c>
      <c r="K1252">
        <v>950059</v>
      </c>
      <c r="L1252">
        <f t="shared" si="170"/>
        <v>1.2718125115384615E-2</v>
      </c>
      <c r="M1252">
        <f t="shared" si="171"/>
        <v>5.1467163076923074E-3</v>
      </c>
      <c r="N1252">
        <f t="shared" si="172"/>
        <v>1.1002483461538462E-2</v>
      </c>
      <c r="O1252">
        <f t="shared" si="173"/>
        <v>8.0745998846153844E-3</v>
      </c>
      <c r="P1252">
        <f t="shared" si="169"/>
        <v>46.105822100930126</v>
      </c>
      <c r="R1252">
        <f t="shared" si="174"/>
        <v>-1.0143413898562232E-3</v>
      </c>
    </row>
    <row r="1253" spans="1:19" x14ac:dyDescent="0.2">
      <c r="A1253" t="s">
        <v>1264</v>
      </c>
      <c r="B1253">
        <v>5.8627490599999996</v>
      </c>
      <c r="C1253">
        <v>0.70305974999999998</v>
      </c>
      <c r="D1253">
        <v>6.0306572300000001</v>
      </c>
      <c r="E1253">
        <v>0.47410824000000001</v>
      </c>
      <c r="F1253">
        <v>3.3182078399999999</v>
      </c>
      <c r="G1253">
        <v>1.3379424200000001</v>
      </c>
      <c r="H1253">
        <v>2.8485674799999998</v>
      </c>
      <c r="I1253">
        <v>9.8609400000000003E-3</v>
      </c>
      <c r="J1253">
        <v>1</v>
      </c>
      <c r="K1253">
        <v>950059</v>
      </c>
      <c r="L1253">
        <f t="shared" si="170"/>
        <v>1.2762337846153845E-2</v>
      </c>
      <c r="M1253">
        <f t="shared" si="171"/>
        <v>5.1459323846153853E-3</v>
      </c>
      <c r="N1253">
        <f t="shared" si="172"/>
        <v>1.0956028769230769E-2</v>
      </c>
      <c r="O1253">
        <f t="shared" si="173"/>
        <v>8.0509805769230763E-3</v>
      </c>
      <c r="P1253">
        <f t="shared" si="169"/>
        <v>39.785043378294098</v>
      </c>
      <c r="R1253">
        <f t="shared" si="174"/>
        <v>-9.849923528730143E-4</v>
      </c>
    </row>
    <row r="1254" spans="1:19" x14ac:dyDescent="0.2">
      <c r="A1254" t="s">
        <v>1265</v>
      </c>
      <c r="B1254">
        <v>5.8476957399999998</v>
      </c>
      <c r="C1254">
        <v>0.61367543999999996</v>
      </c>
      <c r="D1254">
        <v>6.0147911199999999</v>
      </c>
      <c r="E1254">
        <v>0.47410824000000001</v>
      </c>
      <c r="F1254">
        <v>3.3293882099999998</v>
      </c>
      <c r="G1254">
        <v>1.3379424200000001</v>
      </c>
      <c r="H1254">
        <v>2.8348194599999998</v>
      </c>
      <c r="I1254">
        <v>9.6783300000000006E-3</v>
      </c>
      <c r="J1254">
        <v>1</v>
      </c>
      <c r="K1254">
        <v>950059</v>
      </c>
      <c r="L1254">
        <f t="shared" si="170"/>
        <v>1.2805339269230769E-2</v>
      </c>
      <c r="M1254">
        <f t="shared" si="171"/>
        <v>5.1459323846153853E-3</v>
      </c>
      <c r="N1254">
        <f t="shared" si="172"/>
        <v>1.0903151769230769E-2</v>
      </c>
      <c r="O1254">
        <f t="shared" si="173"/>
        <v>8.0245420769230764E-3</v>
      </c>
      <c r="P1254">
        <f t="shared" si="169"/>
        <v>34.726926126255584</v>
      </c>
      <c r="R1254">
        <f t="shared" si="174"/>
        <v>-1.3859378542634907E-3</v>
      </c>
    </row>
    <row r="1255" spans="1:19" x14ac:dyDescent="0.2">
      <c r="A1255" t="s">
        <v>1266</v>
      </c>
      <c r="B1255">
        <v>5.82485622</v>
      </c>
      <c r="C1255">
        <v>0.52099037999999998</v>
      </c>
      <c r="D1255">
        <v>5.9917596700000004</v>
      </c>
      <c r="E1255">
        <v>0.47410824000000001</v>
      </c>
      <c r="F1255">
        <v>3.3341123100000001</v>
      </c>
      <c r="G1255">
        <v>1.3369233199999999</v>
      </c>
      <c r="H1255">
        <v>2.8133903600000001</v>
      </c>
      <c r="I1255">
        <v>9.6783300000000006E-3</v>
      </c>
      <c r="J1255">
        <v>1</v>
      </c>
      <c r="K1255">
        <v>950059</v>
      </c>
      <c r="L1255">
        <f t="shared" si="170"/>
        <v>1.2823508884615385E-2</v>
      </c>
      <c r="M1255">
        <f t="shared" si="171"/>
        <v>5.142012769230769E-3</v>
      </c>
      <c r="N1255">
        <f t="shared" si="172"/>
        <v>1.0820732153846154E-2</v>
      </c>
      <c r="O1255">
        <f t="shared" si="173"/>
        <v>7.9813724615384607E-3</v>
      </c>
      <c r="P1255">
        <f t="shared" si="169"/>
        <v>29.482024633004418</v>
      </c>
      <c r="R1255">
        <f t="shared" si="174"/>
        <v>-2.028700847495732E-3</v>
      </c>
    </row>
    <row r="1256" spans="1:19" x14ac:dyDescent="0.2">
      <c r="A1256" t="s">
        <v>1267</v>
      </c>
      <c r="B1256">
        <v>5.7924137199999999</v>
      </c>
      <c r="C1256">
        <v>0.41787495000000002</v>
      </c>
      <c r="D1256">
        <v>5.9492794399999998</v>
      </c>
      <c r="E1256">
        <v>0.47410824000000001</v>
      </c>
      <c r="F1256">
        <v>3.3380490599999999</v>
      </c>
      <c r="G1256">
        <v>1.3333904400000001</v>
      </c>
      <c r="H1256">
        <v>2.7772113599999999</v>
      </c>
      <c r="I1256">
        <v>9.6783300000000006E-3</v>
      </c>
      <c r="J1256">
        <v>1</v>
      </c>
      <c r="K1256">
        <v>950059</v>
      </c>
      <c r="L1256">
        <f t="shared" si="170"/>
        <v>1.283865023076923E-2</v>
      </c>
      <c r="M1256">
        <f t="shared" si="171"/>
        <v>5.1284247692307697E-3</v>
      </c>
      <c r="N1256">
        <f t="shared" si="172"/>
        <v>1.0681582153846153E-2</v>
      </c>
      <c r="O1256">
        <f t="shared" si="173"/>
        <v>7.905003461538461E-3</v>
      </c>
      <c r="P1256">
        <f t="shared" si="169"/>
        <v>23.646884937521286</v>
      </c>
      <c r="R1256">
        <f t="shared" si="174"/>
        <v>-2.215296841228153E-3</v>
      </c>
    </row>
    <row r="1257" spans="1:19" x14ac:dyDescent="0.2">
      <c r="A1257" t="s">
        <v>1268</v>
      </c>
      <c r="B1257">
        <v>5.74543698</v>
      </c>
      <c r="C1257">
        <v>0.32479380000000002</v>
      </c>
      <c r="D1257">
        <v>5.8991220599999998</v>
      </c>
      <c r="E1257">
        <v>0.47410824000000001</v>
      </c>
      <c r="F1257">
        <v>3.3380490599999999</v>
      </c>
      <c r="G1257">
        <v>1.3251017599999999</v>
      </c>
      <c r="H1257">
        <v>2.7306796000000002</v>
      </c>
      <c r="I1257">
        <v>9.6783300000000006E-3</v>
      </c>
      <c r="J1257">
        <v>1</v>
      </c>
      <c r="K1257">
        <v>950059</v>
      </c>
      <c r="L1257">
        <f t="shared" si="170"/>
        <v>1.283865023076923E-2</v>
      </c>
      <c r="M1257">
        <f t="shared" si="171"/>
        <v>5.0965452307692302E-3</v>
      </c>
      <c r="N1257">
        <f t="shared" si="172"/>
        <v>1.0502613846153848E-2</v>
      </c>
      <c r="O1257">
        <f t="shared" si="173"/>
        <v>7.7995795384615384E-3</v>
      </c>
      <c r="P1257">
        <f t="shared" si="169"/>
        <v>18.3795693353246</v>
      </c>
      <c r="R1257">
        <f t="shared" si="174"/>
        <v>-1.9864367002183445E-3</v>
      </c>
    </row>
    <row r="1258" spans="1:19" x14ac:dyDescent="0.2">
      <c r="A1258" t="s">
        <v>1269</v>
      </c>
      <c r="B1258">
        <v>5.6948266800000003</v>
      </c>
      <c r="C1258">
        <v>0.24174693</v>
      </c>
      <c r="D1258">
        <v>5.8464056299999996</v>
      </c>
      <c r="E1258">
        <v>0.47410824000000001</v>
      </c>
      <c r="F1258">
        <v>3.3317502600000002</v>
      </c>
      <c r="G1258">
        <v>1.31348402</v>
      </c>
      <c r="H1258">
        <v>2.6778582599999998</v>
      </c>
      <c r="I1258">
        <v>9.6783300000000006E-3</v>
      </c>
      <c r="J1258">
        <v>1</v>
      </c>
      <c r="K1258">
        <v>950059</v>
      </c>
      <c r="L1258">
        <f t="shared" si="170"/>
        <v>1.2814424076923077E-2</v>
      </c>
      <c r="M1258">
        <f t="shared" si="171"/>
        <v>5.0518616153846152E-3</v>
      </c>
      <c r="N1258">
        <f t="shared" si="172"/>
        <v>1.0299454846153846E-2</v>
      </c>
      <c r="O1258">
        <f t="shared" si="173"/>
        <v>7.6756582307692302E-3</v>
      </c>
      <c r="P1258">
        <f t="shared" si="169"/>
        <v>13.680077826414367</v>
      </c>
      <c r="R1258">
        <f t="shared" si="174"/>
        <v>-1.5415473449790537E-3</v>
      </c>
    </row>
    <row r="1259" spans="1:19" x14ac:dyDescent="0.2">
      <c r="A1259" t="s">
        <v>1270</v>
      </c>
      <c r="B1259">
        <v>5.6449949999999998</v>
      </c>
      <c r="C1259">
        <v>0.16516953000000001</v>
      </c>
      <c r="D1259">
        <v>5.7855002400000002</v>
      </c>
      <c r="E1259">
        <v>0.47410824000000001</v>
      </c>
      <c r="F1259">
        <v>3.3186802499999999</v>
      </c>
      <c r="G1259">
        <v>1.2987410399999999</v>
      </c>
      <c r="H1259">
        <v>2.6229775000000002</v>
      </c>
      <c r="I1259">
        <v>9.4957199999999992E-3</v>
      </c>
      <c r="J1259">
        <v>1</v>
      </c>
      <c r="K1259">
        <v>950059</v>
      </c>
      <c r="L1259">
        <f t="shared" si="170"/>
        <v>1.2764154807692307E-2</v>
      </c>
      <c r="M1259">
        <f t="shared" si="171"/>
        <v>4.9951578461538458E-3</v>
      </c>
      <c r="N1259">
        <f t="shared" si="172"/>
        <v>1.0088375E-2</v>
      </c>
      <c r="O1259">
        <f t="shared" si="173"/>
        <v>7.5417664230769234E-3</v>
      </c>
      <c r="P1259">
        <f t="shared" si="169"/>
        <v>9.3466834302809243</v>
      </c>
      <c r="R1259">
        <f t="shared" si="174"/>
        <v>-9.8533356472133992E-4</v>
      </c>
    </row>
    <row r="1260" spans="1:19" x14ac:dyDescent="0.2">
      <c r="A1260" t="s">
        <v>1271</v>
      </c>
      <c r="B1260">
        <v>5.5910106800000001</v>
      </c>
      <c r="C1260">
        <v>9.9154530000000005E-2</v>
      </c>
      <c r="D1260">
        <v>5.7338074299999997</v>
      </c>
      <c r="E1260">
        <v>0.84944392999999996</v>
      </c>
      <c r="F1260">
        <v>3.3048228900000001</v>
      </c>
      <c r="G1260">
        <v>1.2833866</v>
      </c>
      <c r="H1260">
        <v>2.5698221999999999</v>
      </c>
      <c r="I1260">
        <v>9.6783300000000006E-3</v>
      </c>
      <c r="J1260">
        <v>1</v>
      </c>
      <c r="K1260">
        <v>950059</v>
      </c>
      <c r="L1260">
        <f t="shared" si="170"/>
        <v>1.2710857269230769E-2</v>
      </c>
      <c r="M1260">
        <f t="shared" si="171"/>
        <v>4.9361023076923078E-3</v>
      </c>
      <c r="N1260">
        <f t="shared" si="172"/>
        <v>9.8839315384615378E-3</v>
      </c>
      <c r="O1260">
        <f t="shared" si="173"/>
        <v>7.4100169230769232E-3</v>
      </c>
      <c r="P1260">
        <f t="shared" si="169"/>
        <v>5.6109986060279571</v>
      </c>
      <c r="R1260">
        <f t="shared" si="174"/>
        <v>-3.9969850637625547E-4</v>
      </c>
    </row>
    <row r="1261" spans="1:19" x14ac:dyDescent="0.2">
      <c r="A1261" t="s">
        <v>1272</v>
      </c>
      <c r="B1261">
        <v>5.5476675000000002</v>
      </c>
      <c r="C1261">
        <v>5.320809E-2</v>
      </c>
      <c r="D1261">
        <v>5.6918390099999998</v>
      </c>
      <c r="E1261">
        <v>1.0272345199999999</v>
      </c>
      <c r="F1261">
        <v>3.28608396</v>
      </c>
      <c r="G1261">
        <v>1.2728558999999999</v>
      </c>
      <c r="H1261">
        <v>2.53214038</v>
      </c>
      <c r="I1261">
        <v>9.8609400000000003E-3</v>
      </c>
      <c r="J1261">
        <v>1</v>
      </c>
      <c r="K1261">
        <v>950059</v>
      </c>
      <c r="L1261">
        <f t="shared" si="170"/>
        <v>1.2638784461538462E-2</v>
      </c>
      <c r="M1261">
        <f t="shared" si="171"/>
        <v>4.8955996153846153E-3</v>
      </c>
      <c r="N1261">
        <f t="shared" si="172"/>
        <v>9.7390014615384608E-3</v>
      </c>
      <c r="O1261">
        <f t="shared" si="173"/>
        <v>7.3173005384615389E-3</v>
      </c>
      <c r="P1261">
        <f t="shared" si="169"/>
        <v>3.0109619683478916</v>
      </c>
      <c r="R1261">
        <f t="shared" si="174"/>
        <v>-7.9431498165776716E-5</v>
      </c>
    </row>
    <row r="1262" spans="1:19" x14ac:dyDescent="0.2">
      <c r="A1262" t="s">
        <v>1273</v>
      </c>
      <c r="B1262">
        <v>5.5380645199999998</v>
      </c>
      <c r="C1262">
        <v>5.1227639999999998E-2</v>
      </c>
      <c r="D1262">
        <v>5.6805791899999996</v>
      </c>
      <c r="E1262">
        <v>1.0864980500000001</v>
      </c>
      <c r="F1262">
        <v>3.2634082800000002</v>
      </c>
      <c r="G1262">
        <v>1.2691192</v>
      </c>
      <c r="H1262">
        <v>2.5218989399999998</v>
      </c>
      <c r="I1262">
        <v>1.004355E-2</v>
      </c>
      <c r="J1262">
        <v>1</v>
      </c>
      <c r="K1262">
        <v>950059</v>
      </c>
      <c r="L1262">
        <f t="shared" si="170"/>
        <v>1.2551570307692309E-2</v>
      </c>
      <c r="M1262">
        <f t="shared" si="171"/>
        <v>4.8812276923076922E-3</v>
      </c>
      <c r="N1262">
        <f t="shared" si="172"/>
        <v>9.6996113076923077E-3</v>
      </c>
      <c r="O1262">
        <f t="shared" si="173"/>
        <v>7.2904195E-3</v>
      </c>
      <c r="P1262">
        <f t="shared" si="169"/>
        <v>2.8988914236203027</v>
      </c>
      <c r="R1262">
        <f t="shared" si="174"/>
        <v>1.7741165856684034E-4</v>
      </c>
      <c r="S1262">
        <f>ABS(SUMIFS($R:$R,$K:$K,K1262))</f>
        <v>5.1900153257290818E-3</v>
      </c>
    </row>
    <row r="1263" spans="1:19" x14ac:dyDescent="0.2">
      <c r="A1263" t="s">
        <v>1274</v>
      </c>
      <c r="B1263">
        <v>5.5593468000000001</v>
      </c>
      <c r="C1263">
        <v>0.10681227</v>
      </c>
      <c r="D1263">
        <v>5.7025870200000002</v>
      </c>
      <c r="E1263">
        <v>1.0864980500000001</v>
      </c>
      <c r="F1263">
        <v>3.2441969400000001</v>
      </c>
      <c r="G1263">
        <v>1.2693230200000001</v>
      </c>
      <c r="H1263">
        <v>2.54232616</v>
      </c>
      <c r="I1263">
        <v>9.8609400000000003E-3</v>
      </c>
      <c r="J1263">
        <v>1</v>
      </c>
      <c r="K1263">
        <v>950059</v>
      </c>
      <c r="L1263">
        <f t="shared" si="170"/>
        <v>1.2477680538461539E-2</v>
      </c>
      <c r="M1263">
        <f t="shared" si="171"/>
        <v>4.882011615384616E-3</v>
      </c>
      <c r="N1263">
        <f t="shared" si="172"/>
        <v>9.7781775384615383E-3</v>
      </c>
      <c r="O1263">
        <f t="shared" si="173"/>
        <v>7.3300945769230767E-3</v>
      </c>
      <c r="P1263">
        <f t="shared" si="169"/>
        <v>6.0443380456413012</v>
      </c>
      <c r="R1263">
        <f t="shared" si="174"/>
        <v>7.9540822579853617E-4</v>
      </c>
    </row>
    <row r="1264" spans="1:19" x14ac:dyDescent="0.2">
      <c r="A1264" t="s">
        <v>1275</v>
      </c>
      <c r="B1264">
        <v>5.5998350400000003</v>
      </c>
      <c r="C1264">
        <v>0.18774666000000001</v>
      </c>
      <c r="D1264">
        <v>5.7430200100000004</v>
      </c>
      <c r="E1264">
        <v>1.0864980500000001</v>
      </c>
      <c r="F1264">
        <v>3.2331740400000002</v>
      </c>
      <c r="G1264">
        <v>1.2759811400000001</v>
      </c>
      <c r="H1264">
        <v>2.5852956800000002</v>
      </c>
      <c r="I1264">
        <v>9.8609400000000003E-3</v>
      </c>
      <c r="J1264">
        <v>1</v>
      </c>
      <c r="K1264">
        <v>950060</v>
      </c>
      <c r="L1264">
        <f t="shared" si="170"/>
        <v>1.2435284769230771E-2</v>
      </c>
      <c r="M1264">
        <f t="shared" si="171"/>
        <v>4.9076197692307696E-3</v>
      </c>
      <c r="N1264">
        <f t="shared" si="172"/>
        <v>9.9434449230769231E-3</v>
      </c>
      <c r="O1264">
        <f t="shared" si="173"/>
        <v>7.4255323461538472E-3</v>
      </c>
      <c r="P1264">
        <f t="shared" si="169"/>
        <v>10.62428764017544</v>
      </c>
      <c r="Q1264">
        <f t="shared" ref="Q1264" si="177">ABS(0.5*(SUMPRODUCT(O1264:O1282,P1265:P1283)+O1283*P1264-(SUMPRODUCT(O1265:O1283,P1264:P1282)+O1264*P1283)))</f>
        <v>5.1665922005539322E-3</v>
      </c>
      <c r="R1264">
        <f t="shared" si="174"/>
        <v>1.8006790754834471E-3</v>
      </c>
    </row>
    <row r="1265" spans="1:18" x14ac:dyDescent="0.2">
      <c r="A1265" t="s">
        <v>1276</v>
      </c>
      <c r="B1265">
        <v>5.6488880999999997</v>
      </c>
      <c r="C1265">
        <v>0.28201608</v>
      </c>
      <c r="D1265">
        <v>5.7993191099999999</v>
      </c>
      <c r="E1265">
        <v>0.84944392999999996</v>
      </c>
      <c r="F1265">
        <v>3.22703271</v>
      </c>
      <c r="G1265">
        <v>1.29004472</v>
      </c>
      <c r="H1265">
        <v>2.6416792600000001</v>
      </c>
      <c r="I1265">
        <v>9.8609400000000003E-3</v>
      </c>
      <c r="J1265">
        <v>1</v>
      </c>
      <c r="K1265">
        <v>950060</v>
      </c>
      <c r="L1265">
        <f t="shared" si="170"/>
        <v>1.2411664269230769E-2</v>
      </c>
      <c r="M1265">
        <f t="shared" si="171"/>
        <v>4.9617104615384613E-3</v>
      </c>
      <c r="N1265">
        <f t="shared" si="172"/>
        <v>1.0160304846153847E-2</v>
      </c>
      <c r="O1265">
        <f t="shared" si="173"/>
        <v>7.5610076538461541E-3</v>
      </c>
      <c r="P1265">
        <f t="shared" si="169"/>
        <v>15.958845569208677</v>
      </c>
      <c r="R1265">
        <f t="shared" si="174"/>
        <v>2.8799845242967804E-3</v>
      </c>
    </row>
    <row r="1266" spans="1:18" x14ac:dyDescent="0.2">
      <c r="A1266" t="s">
        <v>1277</v>
      </c>
      <c r="B1266">
        <v>5.7036510399999996</v>
      </c>
      <c r="C1266">
        <v>0.39199707</v>
      </c>
      <c r="D1266">
        <v>5.8648307900000001</v>
      </c>
      <c r="E1266">
        <v>0.61238981000000003</v>
      </c>
      <c r="F1266">
        <v>3.2265603</v>
      </c>
      <c r="G1266">
        <v>1.3053991599999999</v>
      </c>
      <c r="H1266">
        <v>2.70485336</v>
      </c>
      <c r="I1266">
        <v>9.8609400000000003E-3</v>
      </c>
      <c r="J1266">
        <v>1</v>
      </c>
      <c r="K1266">
        <v>950060</v>
      </c>
      <c r="L1266">
        <f t="shared" si="170"/>
        <v>1.2409847307692307E-2</v>
      </c>
      <c r="M1266">
        <f t="shared" si="171"/>
        <v>5.0207659999999994E-3</v>
      </c>
      <c r="N1266">
        <f t="shared" si="172"/>
        <v>1.0403282153846154E-2</v>
      </c>
      <c r="O1266">
        <f t="shared" si="173"/>
        <v>7.7120240769230769E-3</v>
      </c>
      <c r="P1266">
        <f t="shared" si="169"/>
        <v>22.18249648641412</v>
      </c>
      <c r="R1266">
        <f t="shared" si="174"/>
        <v>3.8204778093191782E-3</v>
      </c>
    </row>
    <row r="1267" spans="1:18" x14ac:dyDescent="0.2">
      <c r="A1267" t="s">
        <v>1278</v>
      </c>
      <c r="B1267">
        <v>5.7685360399999999</v>
      </c>
      <c r="C1267">
        <v>0.52455518999999995</v>
      </c>
      <c r="D1267">
        <v>5.9369959999999997</v>
      </c>
      <c r="E1267">
        <v>0.53337177000000002</v>
      </c>
      <c r="F1267">
        <v>3.2336464500000002</v>
      </c>
      <c r="G1267">
        <v>1.3196665599999999</v>
      </c>
      <c r="H1267">
        <v>2.7671925599999998</v>
      </c>
      <c r="I1267">
        <v>9.8609400000000003E-3</v>
      </c>
      <c r="J1267">
        <v>1</v>
      </c>
      <c r="K1267">
        <v>950060</v>
      </c>
      <c r="L1267">
        <f t="shared" si="170"/>
        <v>1.2437101730769231E-2</v>
      </c>
      <c r="M1267">
        <f t="shared" si="171"/>
        <v>5.075640615384615E-3</v>
      </c>
      <c r="N1267">
        <f t="shared" si="172"/>
        <v>1.0643048307692306E-2</v>
      </c>
      <c r="O1267">
        <f t="shared" si="173"/>
        <v>7.859344461538461E-3</v>
      </c>
      <c r="P1267">
        <f t="shared" si="169"/>
        <v>29.683751613514076</v>
      </c>
      <c r="R1267">
        <f t="shared" si="174"/>
        <v>4.423750731433169E-3</v>
      </c>
    </row>
    <row r="1268" spans="1:18" x14ac:dyDescent="0.2">
      <c r="A1268" t="s">
        <v>1279</v>
      </c>
      <c r="B1268">
        <v>5.8318637999999998</v>
      </c>
      <c r="C1268">
        <v>0.70385193000000001</v>
      </c>
      <c r="D1268">
        <v>6.0055785400000001</v>
      </c>
      <c r="E1268">
        <v>0.47410824000000001</v>
      </c>
      <c r="F1268">
        <v>3.2457716400000001</v>
      </c>
      <c r="G1268">
        <v>1.33046902</v>
      </c>
      <c r="H1268">
        <v>2.8225742600000001</v>
      </c>
      <c r="I1268">
        <v>1.004355E-2</v>
      </c>
      <c r="J1268">
        <v>1</v>
      </c>
      <c r="K1268">
        <v>950060</v>
      </c>
      <c r="L1268">
        <f t="shared" si="170"/>
        <v>1.2483737076923077E-2</v>
      </c>
      <c r="M1268">
        <f t="shared" si="171"/>
        <v>5.1171885384615383E-3</v>
      </c>
      <c r="N1268">
        <f t="shared" si="172"/>
        <v>1.0856054846153847E-2</v>
      </c>
      <c r="O1268">
        <f t="shared" si="173"/>
        <v>7.9866216923076931E-3</v>
      </c>
      <c r="P1268">
        <f t="shared" si="169"/>
        <v>39.829871596185136</v>
      </c>
      <c r="R1268">
        <f t="shared" si="174"/>
        <v>2.8397121466087936E-3</v>
      </c>
    </row>
    <row r="1269" spans="1:18" x14ac:dyDescent="0.2">
      <c r="A1269" t="s">
        <v>1280</v>
      </c>
      <c r="B1269">
        <v>5.8707947999999996</v>
      </c>
      <c r="C1269">
        <v>0.82716794999999999</v>
      </c>
      <c r="D1269">
        <v>6.0398698099999999</v>
      </c>
      <c r="E1269">
        <v>0.47410824000000001</v>
      </c>
      <c r="F1269">
        <v>3.2586841799999999</v>
      </c>
      <c r="G1269">
        <v>1.3358362800000001</v>
      </c>
      <c r="H1269">
        <v>2.8512948200000001</v>
      </c>
      <c r="I1269">
        <v>1.004355E-2</v>
      </c>
      <c r="J1269">
        <v>1</v>
      </c>
      <c r="K1269">
        <v>950060</v>
      </c>
      <c r="L1269">
        <f t="shared" si="170"/>
        <v>1.2533400692307692E-2</v>
      </c>
      <c r="M1269">
        <f t="shared" si="171"/>
        <v>5.1378318461538465E-3</v>
      </c>
      <c r="N1269">
        <f t="shared" si="172"/>
        <v>1.0966518538461539E-2</v>
      </c>
      <c r="O1269">
        <f t="shared" si="173"/>
        <v>8.0521751923076923E-3</v>
      </c>
      <c r="P1269">
        <f t="shared" si="169"/>
        <v>46.808130847889679</v>
      </c>
      <c r="R1269">
        <f t="shared" si="174"/>
        <v>9.0846495654909904E-4</v>
      </c>
    </row>
    <row r="1270" spans="1:18" x14ac:dyDescent="0.2">
      <c r="A1270" t="s">
        <v>1281</v>
      </c>
      <c r="B1270">
        <v>5.8793596199999998</v>
      </c>
      <c r="C1270">
        <v>0.85621455000000002</v>
      </c>
      <c r="D1270">
        <v>6.0526650599999998</v>
      </c>
      <c r="E1270">
        <v>0.47410824000000001</v>
      </c>
      <c r="F1270">
        <v>3.27600588</v>
      </c>
      <c r="G1270">
        <v>1.33712714</v>
      </c>
      <c r="H1270">
        <v>2.8599221199999998</v>
      </c>
      <c r="I1270">
        <v>9.6783300000000006E-3</v>
      </c>
      <c r="J1270">
        <v>1</v>
      </c>
      <c r="K1270">
        <v>950060</v>
      </c>
      <c r="L1270">
        <f t="shared" si="170"/>
        <v>1.2600022615384615E-2</v>
      </c>
      <c r="M1270">
        <f t="shared" si="171"/>
        <v>5.1427966923076919E-3</v>
      </c>
      <c r="N1270">
        <f t="shared" si="172"/>
        <v>1.0999700461538461E-2</v>
      </c>
      <c r="O1270">
        <f t="shared" si="173"/>
        <v>8.0712485769230766E-3</v>
      </c>
      <c r="P1270">
        <f t="shared" si="169"/>
        <v>48.451832170560991</v>
      </c>
      <c r="R1270">
        <f t="shared" si="174"/>
        <v>2.9553940445242044E-4</v>
      </c>
    </row>
    <row r="1271" spans="1:18" x14ac:dyDescent="0.2">
      <c r="A1271" t="s">
        <v>1282</v>
      </c>
      <c r="B1271">
        <v>5.8816954800000003</v>
      </c>
      <c r="C1271">
        <v>0.85621455000000002</v>
      </c>
      <c r="D1271">
        <v>6.0511296300000001</v>
      </c>
      <c r="E1271">
        <v>0.47410824000000001</v>
      </c>
      <c r="F1271">
        <v>3.2937999900000001</v>
      </c>
      <c r="G1271">
        <v>1.3377386</v>
      </c>
      <c r="H1271">
        <v>2.8624824800000002</v>
      </c>
      <c r="I1271">
        <v>9.4957199999999992E-3</v>
      </c>
      <c r="J1271">
        <v>1</v>
      </c>
      <c r="K1271">
        <v>950060</v>
      </c>
      <c r="L1271">
        <f t="shared" si="170"/>
        <v>1.26684615E-2</v>
      </c>
      <c r="M1271">
        <f t="shared" si="171"/>
        <v>5.1451484615384615E-3</v>
      </c>
      <c r="N1271">
        <f t="shared" si="172"/>
        <v>1.1009548000000001E-2</v>
      </c>
      <c r="O1271">
        <f t="shared" si="173"/>
        <v>8.0773482307692317E-3</v>
      </c>
      <c r="P1271">
        <f t="shared" si="169"/>
        <v>48.451832170560991</v>
      </c>
      <c r="R1271">
        <f t="shared" si="174"/>
        <v>-2.1738455272435784E-4</v>
      </c>
    </row>
    <row r="1272" spans="1:18" x14ac:dyDescent="0.2">
      <c r="A1272" t="s">
        <v>1283</v>
      </c>
      <c r="B1272">
        <v>5.8770237600000002</v>
      </c>
      <c r="C1272">
        <v>0.81304074000000004</v>
      </c>
      <c r="D1272">
        <v>6.0490823899999997</v>
      </c>
      <c r="E1272">
        <v>0.47410824000000001</v>
      </c>
      <c r="F1272">
        <v>3.30671253</v>
      </c>
      <c r="G1272">
        <v>1.3377386</v>
      </c>
      <c r="H1272">
        <v>2.8600891000000002</v>
      </c>
      <c r="I1272">
        <v>9.6783300000000006E-3</v>
      </c>
      <c r="J1272">
        <v>1</v>
      </c>
      <c r="K1272">
        <v>950060</v>
      </c>
      <c r="L1272">
        <f t="shared" si="170"/>
        <v>1.2718125115384615E-2</v>
      </c>
      <c r="M1272">
        <f t="shared" si="171"/>
        <v>5.1451484615384615E-3</v>
      </c>
      <c r="N1272">
        <f t="shared" si="172"/>
        <v>1.1000342692307694E-2</v>
      </c>
      <c r="O1272">
        <f t="shared" si="173"/>
        <v>8.072745576923078E-3</v>
      </c>
      <c r="P1272">
        <f t="shared" si="169"/>
        <v>46.008694295499545</v>
      </c>
      <c r="R1272">
        <f t="shared" si="174"/>
        <v>-9.3495126511833066E-4</v>
      </c>
    </row>
    <row r="1273" spans="1:18" x14ac:dyDescent="0.2">
      <c r="A1273" t="s">
        <v>1284</v>
      </c>
      <c r="B1273">
        <v>5.8643063</v>
      </c>
      <c r="C1273">
        <v>0.70517222999999996</v>
      </c>
      <c r="D1273">
        <v>6.03526352</v>
      </c>
      <c r="E1273">
        <v>0.47410824000000001</v>
      </c>
      <c r="F1273">
        <v>3.3163182</v>
      </c>
      <c r="G1273">
        <v>1.3379424200000001</v>
      </c>
      <c r="H1273">
        <v>2.8485674799999998</v>
      </c>
      <c r="I1273">
        <v>9.6783300000000006E-3</v>
      </c>
      <c r="J1273">
        <v>1</v>
      </c>
      <c r="K1273">
        <v>950060</v>
      </c>
      <c r="L1273">
        <f t="shared" si="170"/>
        <v>1.275507E-2</v>
      </c>
      <c r="M1273">
        <f t="shared" si="171"/>
        <v>5.1459323846153853E-3</v>
      </c>
      <c r="N1273">
        <f t="shared" si="172"/>
        <v>1.0956028769230769E-2</v>
      </c>
      <c r="O1273">
        <f t="shared" si="173"/>
        <v>8.0509805769230763E-3</v>
      </c>
      <c r="P1273">
        <f t="shared" si="169"/>
        <v>39.904585292670191</v>
      </c>
      <c r="R1273">
        <f t="shared" si="174"/>
        <v>-1.0102344385933774E-3</v>
      </c>
    </row>
    <row r="1274" spans="1:18" x14ac:dyDescent="0.2">
      <c r="A1274" t="s">
        <v>1285</v>
      </c>
      <c r="B1274">
        <v>5.84458126</v>
      </c>
      <c r="C1274">
        <v>0.61327935</v>
      </c>
      <c r="D1274">
        <v>6.0193974099999998</v>
      </c>
      <c r="E1274">
        <v>0.47410824000000001</v>
      </c>
      <c r="F1274">
        <v>3.3278135099999999</v>
      </c>
      <c r="G1274">
        <v>1.3379424200000001</v>
      </c>
      <c r="H1274">
        <v>2.8344855</v>
      </c>
      <c r="I1274">
        <v>9.6783300000000006E-3</v>
      </c>
      <c r="J1274">
        <v>1</v>
      </c>
      <c r="K1274">
        <v>950060</v>
      </c>
      <c r="L1274">
        <f t="shared" si="170"/>
        <v>1.279928273076923E-2</v>
      </c>
      <c r="M1274">
        <f t="shared" si="171"/>
        <v>5.1459323846153853E-3</v>
      </c>
      <c r="N1274">
        <f t="shared" si="172"/>
        <v>1.0901867307692308E-2</v>
      </c>
      <c r="O1274">
        <f t="shared" si="173"/>
        <v>8.0238998461538476E-3</v>
      </c>
      <c r="P1274">
        <f t="shared" si="169"/>
        <v>34.704512017310066</v>
      </c>
      <c r="R1274">
        <f t="shared" si="174"/>
        <v>-1.3461091180281513E-3</v>
      </c>
    </row>
    <row r="1275" spans="1:18" x14ac:dyDescent="0.2">
      <c r="A1275" t="s">
        <v>1286</v>
      </c>
      <c r="B1275">
        <v>5.8271920799999997</v>
      </c>
      <c r="C1275">
        <v>0.52257474000000004</v>
      </c>
      <c r="D1275">
        <v>5.9963659600000003</v>
      </c>
      <c r="E1275">
        <v>0.47410824000000001</v>
      </c>
      <c r="F1275">
        <v>3.3345847200000001</v>
      </c>
      <c r="G1275">
        <v>1.3369233199999999</v>
      </c>
      <c r="H1275">
        <v>2.8137243199999999</v>
      </c>
      <c r="I1275">
        <v>9.6783300000000006E-3</v>
      </c>
      <c r="J1275">
        <v>1</v>
      </c>
      <c r="K1275">
        <v>950060</v>
      </c>
      <c r="L1275">
        <f t="shared" si="170"/>
        <v>1.2825325846153847E-2</v>
      </c>
      <c r="M1275">
        <f t="shared" si="171"/>
        <v>5.142012769230769E-3</v>
      </c>
      <c r="N1275">
        <f t="shared" si="172"/>
        <v>1.0822016615384615E-2</v>
      </c>
      <c r="O1275">
        <f t="shared" si="173"/>
        <v>7.9820146923076929E-3</v>
      </c>
      <c r="P1275">
        <f t="shared" si="169"/>
        <v>29.571681068786493</v>
      </c>
      <c r="R1275">
        <f t="shared" si="174"/>
        <v>-2.0211675387560484E-3</v>
      </c>
    </row>
    <row r="1276" spans="1:18" x14ac:dyDescent="0.2">
      <c r="A1276" t="s">
        <v>1287</v>
      </c>
      <c r="B1276">
        <v>5.7924137199999999</v>
      </c>
      <c r="C1276">
        <v>0.41985539999999999</v>
      </c>
      <c r="D1276">
        <v>5.9477440100000001</v>
      </c>
      <c r="E1276">
        <v>0.47410824000000001</v>
      </c>
      <c r="F1276">
        <v>3.33552954</v>
      </c>
      <c r="G1276">
        <v>1.33318662</v>
      </c>
      <c r="H1276">
        <v>2.77804626</v>
      </c>
      <c r="I1276">
        <v>9.6783300000000006E-3</v>
      </c>
      <c r="J1276">
        <v>1</v>
      </c>
      <c r="K1276">
        <v>950060</v>
      </c>
      <c r="L1276">
        <f t="shared" si="170"/>
        <v>1.2828959769230769E-2</v>
      </c>
      <c r="M1276">
        <f t="shared" si="171"/>
        <v>5.1276408461538459E-3</v>
      </c>
      <c r="N1276">
        <f t="shared" si="172"/>
        <v>1.0684793307692307E-2</v>
      </c>
      <c r="O1276">
        <f t="shared" si="173"/>
        <v>7.9062170769230774E-3</v>
      </c>
      <c r="P1276">
        <f t="shared" si="169"/>
        <v>23.758955482248872</v>
      </c>
      <c r="R1276">
        <f t="shared" si="174"/>
        <v>-2.2276615839969573E-3</v>
      </c>
    </row>
    <row r="1277" spans="1:18" x14ac:dyDescent="0.2">
      <c r="A1277" t="s">
        <v>1288</v>
      </c>
      <c r="B1277">
        <v>5.7488109999999999</v>
      </c>
      <c r="C1277">
        <v>0.32518988999999998</v>
      </c>
      <c r="D1277">
        <v>5.8991220599999998</v>
      </c>
      <c r="E1277">
        <v>0.47410824000000001</v>
      </c>
      <c r="F1277">
        <v>3.33505713</v>
      </c>
      <c r="G1277">
        <v>1.3251017599999999</v>
      </c>
      <c r="H1277">
        <v>2.73118054</v>
      </c>
      <c r="I1277">
        <v>9.6783300000000006E-3</v>
      </c>
      <c r="J1277">
        <v>1</v>
      </c>
      <c r="K1277">
        <v>950060</v>
      </c>
      <c r="L1277">
        <f t="shared" si="170"/>
        <v>1.2827142807692309E-2</v>
      </c>
      <c r="M1277">
        <f t="shared" si="171"/>
        <v>5.0965452307692302E-3</v>
      </c>
      <c r="N1277">
        <f t="shared" si="172"/>
        <v>1.0504540538461539E-2</v>
      </c>
      <c r="O1277">
        <f t="shared" si="173"/>
        <v>7.8005428846153833E-3</v>
      </c>
      <c r="P1277">
        <f t="shared" si="169"/>
        <v>18.401983444270115</v>
      </c>
      <c r="R1277">
        <f t="shared" si="174"/>
        <v>-1.9929765147860389E-3</v>
      </c>
    </row>
    <row r="1278" spans="1:18" x14ac:dyDescent="0.2">
      <c r="A1278" t="s">
        <v>1289</v>
      </c>
      <c r="B1278">
        <v>5.6994984000000004</v>
      </c>
      <c r="C1278">
        <v>0.24174693</v>
      </c>
      <c r="D1278">
        <v>5.8479410600000001</v>
      </c>
      <c r="E1278">
        <v>0.47410824000000001</v>
      </c>
      <c r="F1278">
        <v>3.3303330299999998</v>
      </c>
      <c r="G1278">
        <v>1.31348402</v>
      </c>
      <c r="H1278">
        <v>2.6781922200000001</v>
      </c>
      <c r="I1278">
        <v>9.4957199999999992E-3</v>
      </c>
      <c r="J1278">
        <v>1</v>
      </c>
      <c r="K1278">
        <v>950060</v>
      </c>
      <c r="L1278">
        <f t="shared" si="170"/>
        <v>1.2808973192307692E-2</v>
      </c>
      <c r="M1278">
        <f t="shared" si="171"/>
        <v>5.0518616153846152E-3</v>
      </c>
      <c r="N1278">
        <f t="shared" si="172"/>
        <v>1.0300739307692309E-2</v>
      </c>
      <c r="O1278">
        <f t="shared" si="173"/>
        <v>7.6763004615384624E-3</v>
      </c>
      <c r="P1278">
        <f t="shared" si="169"/>
        <v>13.680077826414367</v>
      </c>
      <c r="R1278">
        <f t="shared" si="174"/>
        <v>-1.5393075841077656E-3</v>
      </c>
    </row>
    <row r="1279" spans="1:18" x14ac:dyDescent="0.2">
      <c r="A1279" t="s">
        <v>1290</v>
      </c>
      <c r="B1279">
        <v>5.6465522400000001</v>
      </c>
      <c r="C1279">
        <v>0.16675388999999999</v>
      </c>
      <c r="D1279">
        <v>5.7885711000000004</v>
      </c>
      <c r="E1279">
        <v>0.47410824000000001</v>
      </c>
      <c r="F1279">
        <v>3.31679061</v>
      </c>
      <c r="G1279">
        <v>1.29894486</v>
      </c>
      <c r="H1279">
        <v>2.62347844</v>
      </c>
      <c r="I1279">
        <v>9.4957199999999992E-3</v>
      </c>
      <c r="J1279">
        <v>1</v>
      </c>
      <c r="K1279">
        <v>950060</v>
      </c>
      <c r="L1279">
        <f t="shared" si="170"/>
        <v>1.2756886961538462E-2</v>
      </c>
      <c r="M1279">
        <f t="shared" si="171"/>
        <v>4.9959417692307688E-3</v>
      </c>
      <c r="N1279">
        <f t="shared" si="172"/>
        <v>1.0090301692307692E-2</v>
      </c>
      <c r="O1279">
        <f t="shared" si="173"/>
        <v>7.5431217307692314E-3</v>
      </c>
      <c r="P1279">
        <f t="shared" si="169"/>
        <v>9.436339866062994</v>
      </c>
      <c r="R1279">
        <f t="shared" si="174"/>
        <v>-1.002542676184183E-3</v>
      </c>
    </row>
    <row r="1280" spans="1:18" x14ac:dyDescent="0.2">
      <c r="A1280" t="s">
        <v>1291</v>
      </c>
      <c r="B1280">
        <v>5.5936060799999998</v>
      </c>
      <c r="C1280">
        <v>0.10073889</v>
      </c>
      <c r="D1280">
        <v>5.7307365700000004</v>
      </c>
      <c r="E1280">
        <v>0.90870746000000002</v>
      </c>
      <c r="F1280">
        <v>3.3015160200000002</v>
      </c>
      <c r="G1280">
        <v>1.2833866</v>
      </c>
      <c r="H1280">
        <v>2.5701561599999998</v>
      </c>
      <c r="I1280">
        <v>1.004355E-2</v>
      </c>
      <c r="J1280">
        <v>1</v>
      </c>
      <c r="K1280">
        <v>950060</v>
      </c>
      <c r="L1280">
        <f t="shared" si="170"/>
        <v>1.2698138538461539E-2</v>
      </c>
      <c r="M1280">
        <f t="shared" si="171"/>
        <v>4.9361023076923078E-3</v>
      </c>
      <c r="N1280">
        <f t="shared" si="172"/>
        <v>9.8852159999999988E-3</v>
      </c>
      <c r="O1280">
        <f t="shared" si="173"/>
        <v>7.4106591538461537E-3</v>
      </c>
      <c r="P1280">
        <f t="shared" si="169"/>
        <v>5.7006550418100277</v>
      </c>
      <c r="R1280">
        <f t="shared" si="174"/>
        <v>-4.0250794079219087E-4</v>
      </c>
    </row>
    <row r="1281" spans="1:19" x14ac:dyDescent="0.2">
      <c r="A1281" t="s">
        <v>1292</v>
      </c>
      <c r="B1281">
        <v>5.5538964599999998</v>
      </c>
      <c r="C1281">
        <v>5.2811999999999998E-2</v>
      </c>
      <c r="D1281">
        <v>5.6918390099999998</v>
      </c>
      <c r="E1281">
        <v>1.1457615800000001</v>
      </c>
      <c r="F1281">
        <v>3.2832495000000002</v>
      </c>
      <c r="G1281">
        <v>1.27305972</v>
      </c>
      <c r="H1281">
        <v>2.5323073599999999</v>
      </c>
      <c r="I1281">
        <v>1.022616E-2</v>
      </c>
      <c r="J1281">
        <v>1</v>
      </c>
      <c r="K1281">
        <v>950060</v>
      </c>
      <c r="L1281">
        <f t="shared" si="170"/>
        <v>1.2627882692307692E-2</v>
      </c>
      <c r="M1281">
        <f t="shared" si="171"/>
        <v>4.8963835384615382E-3</v>
      </c>
      <c r="N1281">
        <f t="shared" si="172"/>
        <v>9.7396436923076913E-3</v>
      </c>
      <c r="O1281">
        <f t="shared" si="173"/>
        <v>7.3180136153846156E-3</v>
      </c>
      <c r="P1281">
        <f t="shared" si="169"/>
        <v>2.9885478594023738</v>
      </c>
      <c r="R1281">
        <f t="shared" si="174"/>
        <v>-7.4901027285697349E-5</v>
      </c>
    </row>
    <row r="1282" spans="1:19" x14ac:dyDescent="0.2">
      <c r="A1282" t="s">
        <v>1293</v>
      </c>
      <c r="B1282">
        <v>5.5411789999999996</v>
      </c>
      <c r="C1282">
        <v>5.162373E-2</v>
      </c>
      <c r="D1282">
        <v>5.6821146200000001</v>
      </c>
      <c r="E1282">
        <v>1.1457615800000001</v>
      </c>
      <c r="F1282">
        <v>3.2645105700000001</v>
      </c>
      <c r="G1282">
        <v>1.26973066</v>
      </c>
      <c r="H1282">
        <v>2.5224555400000002</v>
      </c>
      <c r="I1282">
        <v>1.004355E-2</v>
      </c>
      <c r="J1282">
        <v>1</v>
      </c>
      <c r="K1282">
        <v>950060</v>
      </c>
      <c r="L1282">
        <f t="shared" si="170"/>
        <v>1.2555809884615386E-2</v>
      </c>
      <c r="M1282">
        <f t="shared" si="171"/>
        <v>4.8835794615384618E-3</v>
      </c>
      <c r="N1282">
        <f t="shared" si="172"/>
        <v>9.7017520769230783E-3</v>
      </c>
      <c r="O1282">
        <f t="shared" si="173"/>
        <v>7.2926657692307696E-3</v>
      </c>
      <c r="P1282">
        <f t="shared" si="169"/>
        <v>2.9213055325658206</v>
      </c>
      <c r="R1282">
        <f t="shared" si="174"/>
        <v>1.7550314805291382E-4</v>
      </c>
    </row>
    <row r="1283" spans="1:19" x14ac:dyDescent="0.2">
      <c r="A1283" t="s">
        <v>1294</v>
      </c>
      <c r="B1283">
        <v>5.5601254200000003</v>
      </c>
      <c r="C1283">
        <v>0.10918881</v>
      </c>
      <c r="D1283">
        <v>5.7041224499999998</v>
      </c>
      <c r="E1283">
        <v>1.1457615800000001</v>
      </c>
      <c r="F1283">
        <v>3.2441969400000001</v>
      </c>
      <c r="G1283">
        <v>1.2689153799999999</v>
      </c>
      <c r="H1283">
        <v>2.54332804</v>
      </c>
      <c r="I1283">
        <v>1.004355E-2</v>
      </c>
      <c r="J1283">
        <v>1</v>
      </c>
      <c r="K1283">
        <v>950060</v>
      </c>
      <c r="L1283">
        <f t="shared" si="170"/>
        <v>1.2477680538461539E-2</v>
      </c>
      <c r="M1283">
        <f t="shared" si="171"/>
        <v>4.8804437692307693E-3</v>
      </c>
      <c r="N1283">
        <f t="shared" si="172"/>
        <v>9.7820309230769228E-3</v>
      </c>
      <c r="O1283">
        <f t="shared" si="173"/>
        <v>7.331237346153846E-3</v>
      </c>
      <c r="P1283">
        <f t="shared" ref="P1283:P1346" si="178">+C1283*4/(PI()*0.15^2)</f>
        <v>6.1788226993144075</v>
      </c>
      <c r="R1283">
        <f t="shared" si="174"/>
        <v>7.909902304976226E-4</v>
      </c>
      <c r="S1283">
        <f>ABS(SUMIFS($R:$R,$K:$K,K1283))</f>
        <v>5.1653577863203255E-3</v>
      </c>
    </row>
    <row r="1284" spans="1:19" x14ac:dyDescent="0.2">
      <c r="A1284" t="s">
        <v>1295</v>
      </c>
      <c r="B1284">
        <v>5.5959419400000003</v>
      </c>
      <c r="C1284">
        <v>0.18814275</v>
      </c>
      <c r="D1284">
        <v>5.7399491500000002</v>
      </c>
      <c r="E1284">
        <v>1.0864980500000001</v>
      </c>
      <c r="F1284">
        <v>3.2322292199999998</v>
      </c>
      <c r="G1284">
        <v>1.27550556</v>
      </c>
      <c r="H1284">
        <v>2.5856296400000001</v>
      </c>
      <c r="I1284">
        <v>1.004355E-2</v>
      </c>
      <c r="J1284">
        <v>1</v>
      </c>
      <c r="K1284">
        <v>950061</v>
      </c>
      <c r="L1284">
        <f t="shared" ref="L1284:L1347" si="179">+F1284/260</f>
        <v>1.2431650846153846E-2</v>
      </c>
      <c r="M1284">
        <f t="shared" ref="M1284:M1347" si="180">+G1284/260</f>
        <v>4.9057906153846158E-3</v>
      </c>
      <c r="N1284">
        <f t="shared" ref="N1284:N1347" si="181">+H1284/260</f>
        <v>9.9447293846153841E-3</v>
      </c>
      <c r="O1284">
        <f t="shared" ref="O1284:O1347" si="182">(+G1284+H1284)/520</f>
        <v>7.4252600000000004E-3</v>
      </c>
      <c r="P1284">
        <f t="shared" si="178"/>
        <v>10.646701749120957</v>
      </c>
      <c r="Q1284">
        <f t="shared" ref="Q1284" si="183">ABS(0.5*(SUMPRODUCT(O1284:O1302,P1285:P1303)+O1303*P1284-(SUMPRODUCT(O1285:O1303,P1284:P1302)+O1284*P1303)))</f>
        <v>5.1884742830368147E-3</v>
      </c>
      <c r="R1284">
        <f t="shared" ref="R1284:R1347" si="184">+(P1284+P1285)/2*(O1285-O1284)</f>
        <v>1.8021230768656654E-3</v>
      </c>
    </row>
    <row r="1285" spans="1:19" x14ac:dyDescent="0.2">
      <c r="A1285" t="s">
        <v>1296</v>
      </c>
      <c r="B1285">
        <v>5.6488880999999997</v>
      </c>
      <c r="C1285">
        <v>0.28241217000000002</v>
      </c>
      <c r="D1285">
        <v>5.7993191099999999</v>
      </c>
      <c r="E1285">
        <v>0.84944392999999996</v>
      </c>
      <c r="F1285">
        <v>3.22797753</v>
      </c>
      <c r="G1285">
        <v>1.2898409</v>
      </c>
      <c r="H1285">
        <v>2.6416792600000001</v>
      </c>
      <c r="I1285">
        <v>1.004355E-2</v>
      </c>
      <c r="J1285">
        <v>1</v>
      </c>
      <c r="K1285">
        <v>950061</v>
      </c>
      <c r="L1285">
        <f t="shared" si="179"/>
        <v>1.2415298192307692E-2</v>
      </c>
      <c r="M1285">
        <f t="shared" si="180"/>
        <v>4.9609265384615384E-3</v>
      </c>
      <c r="N1285">
        <f t="shared" si="181"/>
        <v>1.0160304846153847E-2</v>
      </c>
      <c r="O1285">
        <f t="shared" si="182"/>
        <v>7.5606156923076918E-3</v>
      </c>
      <c r="P1285">
        <f t="shared" si="178"/>
        <v>15.981259678154196</v>
      </c>
      <c r="R1285">
        <f t="shared" si="184"/>
        <v>2.8816769735765173E-3</v>
      </c>
    </row>
    <row r="1286" spans="1:19" x14ac:dyDescent="0.2">
      <c r="A1286" t="s">
        <v>1297</v>
      </c>
      <c r="B1286">
        <v>5.7067655200000003</v>
      </c>
      <c r="C1286">
        <v>0.39199707</v>
      </c>
      <c r="D1286">
        <v>5.8663662199999997</v>
      </c>
      <c r="E1286">
        <v>0.67165333999999999</v>
      </c>
      <c r="F1286">
        <v>3.22703271</v>
      </c>
      <c r="G1286">
        <v>1.30519534</v>
      </c>
      <c r="H1286">
        <v>2.70485336</v>
      </c>
      <c r="I1286">
        <v>1.004355E-2</v>
      </c>
      <c r="J1286">
        <v>1</v>
      </c>
      <c r="K1286">
        <v>950061</v>
      </c>
      <c r="L1286">
        <f t="shared" si="179"/>
        <v>1.2411664269230769E-2</v>
      </c>
      <c r="M1286">
        <f t="shared" si="180"/>
        <v>5.0199820769230774E-3</v>
      </c>
      <c r="N1286">
        <f t="shared" si="181"/>
        <v>1.0403282153846154E-2</v>
      </c>
      <c r="O1286">
        <f t="shared" si="182"/>
        <v>7.7116321153846163E-3</v>
      </c>
      <c r="P1286">
        <f t="shared" si="178"/>
        <v>22.18249648641412</v>
      </c>
      <c r="R1286">
        <f t="shared" si="184"/>
        <v>3.8034327191330754E-3</v>
      </c>
    </row>
    <row r="1287" spans="1:19" x14ac:dyDescent="0.2">
      <c r="A1287" t="s">
        <v>1298</v>
      </c>
      <c r="B1287">
        <v>5.7700932800000002</v>
      </c>
      <c r="C1287">
        <v>0.52534736999999998</v>
      </c>
      <c r="D1287">
        <v>5.9400668599999999</v>
      </c>
      <c r="E1287">
        <v>0.61238981000000003</v>
      </c>
      <c r="F1287">
        <v>3.2317568099999998</v>
      </c>
      <c r="G1287">
        <v>1.3190550999999999</v>
      </c>
      <c r="H1287">
        <v>2.7671925599999998</v>
      </c>
      <c r="I1287">
        <v>1.004355E-2</v>
      </c>
      <c r="J1287">
        <v>1</v>
      </c>
      <c r="K1287">
        <v>950061</v>
      </c>
      <c r="L1287">
        <f t="shared" si="179"/>
        <v>1.2429833884615384E-2</v>
      </c>
      <c r="M1287">
        <f t="shared" si="180"/>
        <v>5.0732888461538462E-3</v>
      </c>
      <c r="N1287">
        <f t="shared" si="181"/>
        <v>1.0643048307692306E-2</v>
      </c>
      <c r="O1287">
        <f t="shared" si="182"/>
        <v>7.8581685769230757E-3</v>
      </c>
      <c r="P1287">
        <f t="shared" si="178"/>
        <v>29.728579831405114</v>
      </c>
      <c r="R1287">
        <f t="shared" si="184"/>
        <v>4.4768000910321536E-3</v>
      </c>
    </row>
    <row r="1288" spans="1:19" x14ac:dyDescent="0.2">
      <c r="A1288" t="s">
        <v>1299</v>
      </c>
      <c r="B1288">
        <v>5.8295279400000002</v>
      </c>
      <c r="C1288">
        <v>0.70266366000000002</v>
      </c>
      <c r="D1288">
        <v>6.0025076799999999</v>
      </c>
      <c r="E1288">
        <v>0.61238981000000003</v>
      </c>
      <c r="F1288">
        <v>3.24671646</v>
      </c>
      <c r="G1288">
        <v>1.3306728400000001</v>
      </c>
      <c r="H1288">
        <v>2.8225742600000001</v>
      </c>
      <c r="I1288">
        <v>9.6783300000000006E-3</v>
      </c>
      <c r="J1288">
        <v>1</v>
      </c>
      <c r="K1288">
        <v>950061</v>
      </c>
      <c r="L1288">
        <f t="shared" si="179"/>
        <v>1.2487371000000001E-2</v>
      </c>
      <c r="M1288">
        <f t="shared" si="180"/>
        <v>5.1179724615384621E-3</v>
      </c>
      <c r="N1288">
        <f t="shared" si="181"/>
        <v>1.0856054846153847E-2</v>
      </c>
      <c r="O1288">
        <f t="shared" si="182"/>
        <v>7.9870136538461537E-3</v>
      </c>
      <c r="P1288">
        <f t="shared" si="178"/>
        <v>39.762629269348587</v>
      </c>
      <c r="R1288">
        <f t="shared" si="184"/>
        <v>2.7875093196281799E-3</v>
      </c>
    </row>
    <row r="1289" spans="1:19" x14ac:dyDescent="0.2">
      <c r="A1289" t="s">
        <v>1300</v>
      </c>
      <c r="B1289">
        <v>5.8700161800000004</v>
      </c>
      <c r="C1289">
        <v>0.82597967999999999</v>
      </c>
      <c r="D1289">
        <v>6.0398698099999999</v>
      </c>
      <c r="E1289">
        <v>0.61238981000000003</v>
      </c>
      <c r="F1289">
        <v>3.2610462299999998</v>
      </c>
      <c r="G1289">
        <v>1.33563246</v>
      </c>
      <c r="H1289">
        <v>2.8511278400000002</v>
      </c>
      <c r="I1289">
        <v>9.6783300000000006E-3</v>
      </c>
      <c r="J1289">
        <v>1</v>
      </c>
      <c r="K1289">
        <v>950061</v>
      </c>
      <c r="L1289">
        <f t="shared" si="179"/>
        <v>1.2542485499999999E-2</v>
      </c>
      <c r="M1289">
        <f t="shared" si="180"/>
        <v>5.1370479230769235E-3</v>
      </c>
      <c r="N1289">
        <f t="shared" si="181"/>
        <v>1.0965876307692309E-2</v>
      </c>
      <c r="O1289">
        <f t="shared" si="182"/>
        <v>8.0514621153846156E-3</v>
      </c>
      <c r="P1289">
        <f t="shared" si="178"/>
        <v>46.74088852105313</v>
      </c>
      <c r="R1289">
        <f t="shared" si="184"/>
        <v>9.2560703301556376E-4</v>
      </c>
    </row>
    <row r="1290" spans="1:19" x14ac:dyDescent="0.2">
      <c r="A1290" t="s">
        <v>1301</v>
      </c>
      <c r="B1290">
        <v>5.8816954800000003</v>
      </c>
      <c r="C1290">
        <v>0.85463018999999996</v>
      </c>
      <c r="D1290">
        <v>6.0526650599999998</v>
      </c>
      <c r="E1290">
        <v>0.61238981000000003</v>
      </c>
      <c r="F1290">
        <v>3.2750610600000001</v>
      </c>
      <c r="G1290">
        <v>1.33712714</v>
      </c>
      <c r="H1290">
        <v>2.8597551399999999</v>
      </c>
      <c r="I1290">
        <v>9.6783300000000006E-3</v>
      </c>
      <c r="J1290">
        <v>1</v>
      </c>
      <c r="K1290">
        <v>950061</v>
      </c>
      <c r="L1290">
        <f t="shared" si="179"/>
        <v>1.2596388692307692E-2</v>
      </c>
      <c r="M1290">
        <f t="shared" si="180"/>
        <v>5.1427966923076919E-3</v>
      </c>
      <c r="N1290">
        <f t="shared" si="181"/>
        <v>1.0999058230769231E-2</v>
      </c>
      <c r="O1290">
        <f t="shared" si="182"/>
        <v>8.0709274615384605E-3</v>
      </c>
      <c r="P1290">
        <f t="shared" si="178"/>
        <v>48.362175734778916</v>
      </c>
      <c r="R1290">
        <f t="shared" si="184"/>
        <v>3.2963118398499818E-4</v>
      </c>
    </row>
    <row r="1291" spans="1:19" x14ac:dyDescent="0.2">
      <c r="A1291" t="s">
        <v>1302</v>
      </c>
      <c r="B1291">
        <v>5.8858481200000003</v>
      </c>
      <c r="C1291">
        <v>0.85542236999999999</v>
      </c>
      <c r="D1291">
        <v>6.0511296300000001</v>
      </c>
      <c r="E1291">
        <v>0.53337177000000002</v>
      </c>
      <c r="F1291">
        <v>3.2908080599999998</v>
      </c>
      <c r="G1291">
        <v>1.3379424200000001</v>
      </c>
      <c r="H1291">
        <v>2.8624824800000002</v>
      </c>
      <c r="I1291">
        <v>9.6783300000000006E-3</v>
      </c>
      <c r="J1291">
        <v>1</v>
      </c>
      <c r="K1291">
        <v>950061</v>
      </c>
      <c r="L1291">
        <f t="shared" si="179"/>
        <v>1.2656954076923077E-2</v>
      </c>
      <c r="M1291">
        <f t="shared" si="180"/>
        <v>5.1459323846153853E-3</v>
      </c>
      <c r="N1291">
        <f t="shared" si="181"/>
        <v>1.1009548000000001E-2</v>
      </c>
      <c r="O1291">
        <f t="shared" si="182"/>
        <v>8.0777401923076923E-3</v>
      </c>
      <c r="P1291">
        <f t="shared" si="178"/>
        <v>48.407003952669953</v>
      </c>
      <c r="R1291">
        <f t="shared" si="184"/>
        <v>-1.3692912820491057E-4</v>
      </c>
    </row>
    <row r="1292" spans="1:19" x14ac:dyDescent="0.2">
      <c r="A1292" t="s">
        <v>1303</v>
      </c>
      <c r="B1292">
        <v>5.8816954800000003</v>
      </c>
      <c r="C1292">
        <v>0.81911411999999995</v>
      </c>
      <c r="D1292">
        <v>6.0490823899999997</v>
      </c>
      <c r="E1292">
        <v>0.53337177000000002</v>
      </c>
      <c r="F1292">
        <v>3.30624012</v>
      </c>
      <c r="G1292">
        <v>1.3379424200000001</v>
      </c>
      <c r="H1292">
        <v>2.8609796599999999</v>
      </c>
      <c r="I1292">
        <v>9.6783300000000006E-3</v>
      </c>
      <c r="J1292">
        <v>1</v>
      </c>
      <c r="K1292">
        <v>950061</v>
      </c>
      <c r="L1292">
        <f t="shared" si="179"/>
        <v>1.2716308153846154E-2</v>
      </c>
      <c r="M1292">
        <f t="shared" si="180"/>
        <v>5.1459323846153853E-3</v>
      </c>
      <c r="N1292">
        <f t="shared" si="181"/>
        <v>1.1003767923076923E-2</v>
      </c>
      <c r="O1292">
        <f t="shared" si="182"/>
        <v>8.0748501538461543E-3</v>
      </c>
      <c r="P1292">
        <f t="shared" si="178"/>
        <v>46.352377299330819</v>
      </c>
      <c r="R1292">
        <f t="shared" si="184"/>
        <v>-1.0302611248168723E-3</v>
      </c>
    </row>
    <row r="1293" spans="1:19" x14ac:dyDescent="0.2">
      <c r="A1293" t="s">
        <v>1304</v>
      </c>
      <c r="B1293">
        <v>5.8674207799999998</v>
      </c>
      <c r="C1293">
        <v>0.70636049999999995</v>
      </c>
      <c r="D1293">
        <v>6.03526352</v>
      </c>
      <c r="E1293">
        <v>0.53337177000000002</v>
      </c>
      <c r="F1293">
        <v>3.31584579</v>
      </c>
      <c r="G1293">
        <v>1.3379424200000001</v>
      </c>
      <c r="H1293">
        <v>2.8485674799999998</v>
      </c>
      <c r="I1293">
        <v>9.6783300000000006E-3</v>
      </c>
      <c r="J1293">
        <v>1</v>
      </c>
      <c r="K1293">
        <v>950061</v>
      </c>
      <c r="L1293">
        <f t="shared" si="179"/>
        <v>1.2753253038461539E-2</v>
      </c>
      <c r="M1293">
        <f t="shared" si="180"/>
        <v>5.1459323846153853E-3</v>
      </c>
      <c r="N1293">
        <f t="shared" si="181"/>
        <v>1.0956028769230769E-2</v>
      </c>
      <c r="O1293">
        <f t="shared" si="182"/>
        <v>8.0509805769230763E-3</v>
      </c>
      <c r="P1293">
        <f t="shared" si="178"/>
        <v>39.971827619506747</v>
      </c>
      <c r="R1293">
        <f t="shared" si="184"/>
        <v>-1.0231347850301554E-3</v>
      </c>
    </row>
    <row r="1294" spans="1:19" x14ac:dyDescent="0.2">
      <c r="A1294" t="s">
        <v>1305</v>
      </c>
      <c r="B1294">
        <v>5.8469171199999996</v>
      </c>
      <c r="C1294">
        <v>0.61327935</v>
      </c>
      <c r="D1294">
        <v>6.0163265499999996</v>
      </c>
      <c r="E1294">
        <v>0.41484471000000001</v>
      </c>
      <c r="F1294">
        <v>3.32545146</v>
      </c>
      <c r="G1294">
        <v>1.3379424200000001</v>
      </c>
      <c r="H1294">
        <v>2.8343185200000001</v>
      </c>
      <c r="I1294">
        <v>9.6783300000000006E-3</v>
      </c>
      <c r="J1294">
        <v>1</v>
      </c>
      <c r="K1294">
        <v>950061</v>
      </c>
      <c r="L1294">
        <f t="shared" si="179"/>
        <v>1.2790197923076924E-2</v>
      </c>
      <c r="M1294">
        <f t="shared" si="180"/>
        <v>5.1459323846153853E-3</v>
      </c>
      <c r="N1294">
        <f t="shared" si="181"/>
        <v>1.0901225076923078E-2</v>
      </c>
      <c r="O1294">
        <f t="shared" si="182"/>
        <v>8.0235787307692315E-3</v>
      </c>
      <c r="P1294">
        <f t="shared" si="178"/>
        <v>34.704512017310066</v>
      </c>
      <c r="R1294">
        <f t="shared" si="184"/>
        <v>-1.339278536432166E-3</v>
      </c>
    </row>
    <row r="1295" spans="1:19" x14ac:dyDescent="0.2">
      <c r="A1295" t="s">
        <v>1306</v>
      </c>
      <c r="B1295">
        <v>5.82485622</v>
      </c>
      <c r="C1295">
        <v>0.52257474000000004</v>
      </c>
      <c r="D1295">
        <v>5.9881770000000003</v>
      </c>
      <c r="E1295">
        <v>0.41484471000000001</v>
      </c>
      <c r="F1295">
        <v>3.33505713</v>
      </c>
      <c r="G1295">
        <v>1.3375347799999999</v>
      </c>
      <c r="H1295">
        <v>2.8130563999999998</v>
      </c>
      <c r="I1295">
        <v>9.8609400000000003E-3</v>
      </c>
      <c r="J1295">
        <v>1</v>
      </c>
      <c r="K1295">
        <v>950061</v>
      </c>
      <c r="L1295">
        <f t="shared" si="179"/>
        <v>1.2827142807692309E-2</v>
      </c>
      <c r="M1295">
        <f t="shared" si="180"/>
        <v>5.1443645384615377E-3</v>
      </c>
      <c r="N1295">
        <f t="shared" si="181"/>
        <v>1.0819447692307691E-2</v>
      </c>
      <c r="O1295">
        <f t="shared" si="182"/>
        <v>7.9819061153846137E-3</v>
      </c>
      <c r="P1295">
        <f t="shared" si="178"/>
        <v>29.571681068786493</v>
      </c>
      <c r="R1295">
        <f t="shared" si="184"/>
        <v>-2.0475690504406004E-3</v>
      </c>
    </row>
    <row r="1296" spans="1:19" x14ac:dyDescent="0.2">
      <c r="A1296" t="s">
        <v>1307</v>
      </c>
      <c r="B1296">
        <v>5.7882610799999998</v>
      </c>
      <c r="C1296">
        <v>0.42064758000000002</v>
      </c>
      <c r="D1296">
        <v>5.9462085800000004</v>
      </c>
      <c r="E1296">
        <v>0.41484471000000001</v>
      </c>
      <c r="F1296">
        <v>3.3374191799999999</v>
      </c>
      <c r="G1296">
        <v>1.3329827999999999</v>
      </c>
      <c r="H1296">
        <v>2.7777123000000001</v>
      </c>
      <c r="I1296">
        <v>9.6783300000000006E-3</v>
      </c>
      <c r="J1296">
        <v>1</v>
      </c>
      <c r="K1296">
        <v>950061</v>
      </c>
      <c r="L1296">
        <f t="shared" si="179"/>
        <v>1.2836227615384615E-2</v>
      </c>
      <c r="M1296">
        <f t="shared" si="180"/>
        <v>5.126856923076923E-3</v>
      </c>
      <c r="N1296">
        <f t="shared" si="181"/>
        <v>1.0683508846153846E-2</v>
      </c>
      <c r="O1296">
        <f t="shared" si="182"/>
        <v>7.9051828846153846E-3</v>
      </c>
      <c r="P1296">
        <f t="shared" si="178"/>
        <v>23.80378370013991</v>
      </c>
      <c r="R1296">
        <f t="shared" si="184"/>
        <v>-2.2025983838431852E-3</v>
      </c>
    </row>
    <row r="1297" spans="1:19" x14ac:dyDescent="0.2">
      <c r="A1297" t="s">
        <v>1308</v>
      </c>
      <c r="B1297">
        <v>5.7472537600000004</v>
      </c>
      <c r="C1297">
        <v>0.32558598</v>
      </c>
      <c r="D1297">
        <v>5.8975866300000002</v>
      </c>
      <c r="E1297">
        <v>0.41484471000000001</v>
      </c>
      <c r="F1297">
        <v>3.3336399000000001</v>
      </c>
      <c r="G1297">
        <v>1.3251017599999999</v>
      </c>
      <c r="H1297">
        <v>2.7313475199999999</v>
      </c>
      <c r="I1297">
        <v>9.8609400000000003E-3</v>
      </c>
      <c r="J1297">
        <v>1</v>
      </c>
      <c r="K1297">
        <v>950061</v>
      </c>
      <c r="L1297">
        <f t="shared" si="179"/>
        <v>1.2821691923076924E-2</v>
      </c>
      <c r="M1297">
        <f t="shared" si="180"/>
        <v>5.0965452307692302E-3</v>
      </c>
      <c r="N1297">
        <f t="shared" si="181"/>
        <v>1.0505182769230769E-2</v>
      </c>
      <c r="O1297">
        <f t="shared" si="182"/>
        <v>7.8008639999999994E-3</v>
      </c>
      <c r="P1297">
        <f t="shared" si="178"/>
        <v>18.424397553215634</v>
      </c>
      <c r="R1297">
        <f t="shared" si="184"/>
        <v>-2.0018789691117864E-3</v>
      </c>
    </row>
    <row r="1298" spans="1:19" x14ac:dyDescent="0.2">
      <c r="A1298" t="s">
        <v>1309</v>
      </c>
      <c r="B1298">
        <v>5.7005365599999998</v>
      </c>
      <c r="C1298">
        <v>0.24095475</v>
      </c>
      <c r="D1298">
        <v>5.8479410600000001</v>
      </c>
      <c r="E1298">
        <v>0.41484471000000001</v>
      </c>
      <c r="F1298">
        <v>3.3298606199999998</v>
      </c>
      <c r="G1298">
        <v>1.31348402</v>
      </c>
      <c r="H1298">
        <v>2.6780252400000002</v>
      </c>
      <c r="I1298">
        <v>9.6783300000000006E-3</v>
      </c>
      <c r="J1298">
        <v>1</v>
      </c>
      <c r="K1298">
        <v>950061</v>
      </c>
      <c r="L1298">
        <f t="shared" si="179"/>
        <v>1.280715623076923E-2</v>
      </c>
      <c r="M1298">
        <f t="shared" si="180"/>
        <v>5.0518616153846152E-3</v>
      </c>
      <c r="N1298">
        <f t="shared" si="181"/>
        <v>1.0300097076923078E-2</v>
      </c>
      <c r="O1298">
        <f t="shared" si="182"/>
        <v>7.6759793461538463E-3</v>
      </c>
      <c r="P1298">
        <f t="shared" si="178"/>
        <v>13.635249608523331</v>
      </c>
      <c r="R1298">
        <f t="shared" si="184"/>
        <v>-1.5326181803631599E-3</v>
      </c>
    </row>
    <row r="1299" spans="1:19" x14ac:dyDescent="0.2">
      <c r="A1299" t="s">
        <v>1310</v>
      </c>
      <c r="B1299">
        <v>5.6473308600000003</v>
      </c>
      <c r="C1299">
        <v>0.16675388999999999</v>
      </c>
      <c r="D1299">
        <v>5.7870356699999999</v>
      </c>
      <c r="E1299">
        <v>0.41484471000000001</v>
      </c>
      <c r="F1299">
        <v>3.3197825399999998</v>
      </c>
      <c r="G1299">
        <v>1.29894486</v>
      </c>
      <c r="H1299">
        <v>2.62347844</v>
      </c>
      <c r="I1299">
        <v>9.8609400000000003E-3</v>
      </c>
      <c r="J1299">
        <v>1</v>
      </c>
      <c r="K1299">
        <v>950061</v>
      </c>
      <c r="L1299">
        <f t="shared" si="179"/>
        <v>1.2768394384615384E-2</v>
      </c>
      <c r="M1299">
        <f t="shared" si="180"/>
        <v>4.9959417692307688E-3</v>
      </c>
      <c r="N1299">
        <f t="shared" si="181"/>
        <v>1.0090301692307692E-2</v>
      </c>
      <c r="O1299">
        <f t="shared" si="182"/>
        <v>7.5431217307692314E-3</v>
      </c>
      <c r="P1299">
        <f t="shared" si="178"/>
        <v>9.436339866062994</v>
      </c>
      <c r="R1299">
        <f t="shared" si="184"/>
        <v>-9.8824452456214751E-4</v>
      </c>
    </row>
    <row r="1300" spans="1:19" x14ac:dyDescent="0.2">
      <c r="A1300" t="s">
        <v>1311</v>
      </c>
      <c r="B1300">
        <v>5.5925679199999996</v>
      </c>
      <c r="C1300">
        <v>9.9550620000000006E-2</v>
      </c>
      <c r="D1300">
        <v>5.7307365700000004</v>
      </c>
      <c r="E1300">
        <v>0.73091687000000005</v>
      </c>
      <c r="F1300">
        <v>3.3004137299999998</v>
      </c>
      <c r="G1300">
        <v>1.2840659999999999</v>
      </c>
      <c r="H1300">
        <v>2.5701561599999998</v>
      </c>
      <c r="I1300">
        <v>9.8609400000000003E-3</v>
      </c>
      <c r="J1300">
        <v>1</v>
      </c>
      <c r="K1300">
        <v>950061</v>
      </c>
      <c r="L1300">
        <f t="shared" si="179"/>
        <v>1.269389896153846E-2</v>
      </c>
      <c r="M1300">
        <f t="shared" si="180"/>
        <v>4.9387153846153845E-3</v>
      </c>
      <c r="N1300">
        <f t="shared" si="181"/>
        <v>9.8852159999999988E-3</v>
      </c>
      <c r="O1300">
        <f t="shared" si="182"/>
        <v>7.4119656923076925E-3</v>
      </c>
      <c r="P1300">
        <f t="shared" si="178"/>
        <v>5.633412714973475</v>
      </c>
      <c r="R1300">
        <f t="shared" si="184"/>
        <v>-4.0260385622421612E-4</v>
      </c>
    </row>
    <row r="1301" spans="1:19" x14ac:dyDescent="0.2">
      <c r="A1301" t="s">
        <v>1312</v>
      </c>
      <c r="B1301">
        <v>5.5531178399999996</v>
      </c>
      <c r="C1301">
        <v>5.4000270000000003E-2</v>
      </c>
      <c r="D1301">
        <v>5.6933744400000004</v>
      </c>
      <c r="E1301">
        <v>1.0864980500000001</v>
      </c>
      <c r="F1301">
        <v>3.2816747999999998</v>
      </c>
      <c r="G1301">
        <v>1.27305972</v>
      </c>
      <c r="H1301">
        <v>2.5329752800000001</v>
      </c>
      <c r="I1301">
        <v>9.8609400000000003E-3</v>
      </c>
      <c r="J1301">
        <v>1</v>
      </c>
      <c r="K1301">
        <v>950061</v>
      </c>
      <c r="L1301">
        <f t="shared" si="179"/>
        <v>1.2621826153846154E-2</v>
      </c>
      <c r="M1301">
        <f t="shared" si="180"/>
        <v>4.8963835384615382E-3</v>
      </c>
      <c r="N1301">
        <f t="shared" si="181"/>
        <v>9.7422126153846149E-3</v>
      </c>
      <c r="O1301">
        <f t="shared" si="182"/>
        <v>7.3192980769230774E-3</v>
      </c>
      <c r="P1301">
        <f t="shared" si="178"/>
        <v>3.0557901862389274</v>
      </c>
      <c r="R1301">
        <f t="shared" si="184"/>
        <v>-8.375053560672991E-5</v>
      </c>
    </row>
    <row r="1302" spans="1:19" x14ac:dyDescent="0.2">
      <c r="A1302" t="s">
        <v>1313</v>
      </c>
      <c r="B1302">
        <v>5.5372858999999996</v>
      </c>
      <c r="C1302">
        <v>5.1227639999999998E-2</v>
      </c>
      <c r="D1302">
        <v>5.6805791899999996</v>
      </c>
      <c r="E1302">
        <v>1.1457615800000001</v>
      </c>
      <c r="F1302">
        <v>3.2640381600000001</v>
      </c>
      <c r="G1302">
        <v>1.2691192</v>
      </c>
      <c r="H1302">
        <v>2.5222885599999998</v>
      </c>
      <c r="I1302">
        <v>1.004355E-2</v>
      </c>
      <c r="J1302">
        <v>1</v>
      </c>
      <c r="K1302">
        <v>950061</v>
      </c>
      <c r="L1302">
        <f t="shared" si="179"/>
        <v>1.2553992923076924E-2</v>
      </c>
      <c r="M1302">
        <f t="shared" si="180"/>
        <v>4.8812276923076922E-3</v>
      </c>
      <c r="N1302">
        <f t="shared" si="181"/>
        <v>9.7011098461538461E-3</v>
      </c>
      <c r="O1302">
        <f t="shared" si="182"/>
        <v>7.2911687692307691E-3</v>
      </c>
      <c r="P1302">
        <f t="shared" si="178"/>
        <v>2.8988914236203027</v>
      </c>
      <c r="R1302">
        <f t="shared" si="184"/>
        <v>1.7794416865676098E-4</v>
      </c>
    </row>
    <row r="1303" spans="1:19" x14ac:dyDescent="0.2">
      <c r="A1303" t="s">
        <v>1314</v>
      </c>
      <c r="B1303">
        <v>5.5577895599999998</v>
      </c>
      <c r="C1303">
        <v>0.10800054000000001</v>
      </c>
      <c r="D1303">
        <v>5.7010515899999996</v>
      </c>
      <c r="E1303">
        <v>1.1457615800000001</v>
      </c>
      <c r="F1303">
        <v>3.2457716400000001</v>
      </c>
      <c r="G1303">
        <v>1.2691192</v>
      </c>
      <c r="H1303">
        <v>2.5428270999999998</v>
      </c>
      <c r="I1303">
        <v>1.022616E-2</v>
      </c>
      <c r="J1303">
        <v>1</v>
      </c>
      <c r="K1303">
        <v>950061</v>
      </c>
      <c r="L1303">
        <f t="shared" si="179"/>
        <v>1.2483737076923077E-2</v>
      </c>
      <c r="M1303">
        <f t="shared" si="180"/>
        <v>4.8812276923076922E-3</v>
      </c>
      <c r="N1303">
        <f t="shared" si="181"/>
        <v>9.7801042307692296E-3</v>
      </c>
      <c r="O1303">
        <f t="shared" si="182"/>
        <v>7.3306659615384609E-3</v>
      </c>
      <c r="P1303">
        <f t="shared" si="178"/>
        <v>6.1115803724778548</v>
      </c>
      <c r="R1303">
        <f t="shared" si="184"/>
        <v>7.8886959889121026E-4</v>
      </c>
    </row>
    <row r="1304" spans="1:19" x14ac:dyDescent="0.2">
      <c r="A1304" t="s">
        <v>1315</v>
      </c>
      <c r="B1304">
        <v>5.5990564200000001</v>
      </c>
      <c r="C1304">
        <v>0.18774666000000001</v>
      </c>
      <c r="D1304">
        <v>5.7445554400000001</v>
      </c>
      <c r="E1304">
        <v>1.0864980500000001</v>
      </c>
      <c r="F1304">
        <v>3.2308119899999999</v>
      </c>
      <c r="G1304">
        <v>1.27550556</v>
      </c>
      <c r="H1304">
        <v>2.5854626600000001</v>
      </c>
      <c r="I1304">
        <v>1.022616E-2</v>
      </c>
      <c r="J1304">
        <v>1</v>
      </c>
      <c r="K1304">
        <v>950062</v>
      </c>
      <c r="L1304">
        <f t="shared" si="179"/>
        <v>1.2426199961538461E-2</v>
      </c>
      <c r="M1304">
        <f t="shared" si="180"/>
        <v>4.9057906153846158E-3</v>
      </c>
      <c r="N1304">
        <f t="shared" si="181"/>
        <v>9.9440871538461536E-3</v>
      </c>
      <c r="O1304">
        <f t="shared" si="182"/>
        <v>7.4249388846153851E-3</v>
      </c>
      <c r="P1304">
        <f t="shared" si="178"/>
        <v>10.62428764017544</v>
      </c>
      <c r="Q1304">
        <f t="shared" ref="Q1304" si="185">ABS(0.5*(SUMPRODUCT(O1304:O1322,P1305:P1323)+O1323*P1304-(SUMPRODUCT(O1305:O1323,P1304:P1322)+O1304*P1323)))</f>
        <v>5.2346134505787401E-3</v>
      </c>
      <c r="R1304">
        <f t="shared" si="184"/>
        <v>1.7661765789564678E-3</v>
      </c>
      <c r="S1304">
        <f>ABS(SUMIFS($R:$R,$K:$K,K1304))</f>
        <v>5.2345706560104482E-3</v>
      </c>
    </row>
    <row r="1305" spans="1:19" x14ac:dyDescent="0.2">
      <c r="A1305" t="s">
        <v>1316</v>
      </c>
      <c r="B1305">
        <v>5.6457736199999999</v>
      </c>
      <c r="C1305">
        <v>0.28082781000000001</v>
      </c>
      <c r="D1305">
        <v>5.8039253999999998</v>
      </c>
      <c r="E1305">
        <v>0.79018040000000001</v>
      </c>
      <c r="F1305">
        <v>3.22750512</v>
      </c>
      <c r="G1305">
        <v>1.2892294399999999</v>
      </c>
      <c r="H1305">
        <v>2.6410113399999999</v>
      </c>
      <c r="I1305">
        <v>1.004355E-2</v>
      </c>
      <c r="J1305">
        <v>1</v>
      </c>
      <c r="K1305">
        <v>950062</v>
      </c>
      <c r="L1305">
        <f t="shared" si="179"/>
        <v>1.2413481230769231E-2</v>
      </c>
      <c r="M1305">
        <f t="shared" si="180"/>
        <v>4.9585747692307688E-3</v>
      </c>
      <c r="N1305">
        <f t="shared" si="181"/>
        <v>1.0157735923076923E-2</v>
      </c>
      <c r="O1305">
        <f t="shared" si="182"/>
        <v>7.5581553461538465E-3</v>
      </c>
      <c r="P1305">
        <f t="shared" si="178"/>
        <v>15.891603242372124</v>
      </c>
      <c r="R1305">
        <f t="shared" si="184"/>
        <v>2.8928911074593386E-3</v>
      </c>
    </row>
    <row r="1306" spans="1:19" x14ac:dyDescent="0.2">
      <c r="A1306" t="s">
        <v>1317</v>
      </c>
      <c r="B1306">
        <v>5.7075441400000004</v>
      </c>
      <c r="C1306">
        <v>0.39160097999999999</v>
      </c>
      <c r="D1306">
        <v>5.8745551799999998</v>
      </c>
      <c r="E1306">
        <v>0.61238981000000003</v>
      </c>
      <c r="F1306">
        <v>3.22703271</v>
      </c>
      <c r="G1306">
        <v>1.3047877000000001</v>
      </c>
      <c r="H1306">
        <v>2.7045194000000001</v>
      </c>
      <c r="I1306">
        <v>9.8609400000000003E-3</v>
      </c>
      <c r="J1306">
        <v>1</v>
      </c>
      <c r="K1306">
        <v>950062</v>
      </c>
      <c r="L1306">
        <f t="shared" si="179"/>
        <v>1.2411664269230769E-2</v>
      </c>
      <c r="M1306">
        <f t="shared" si="180"/>
        <v>5.0184142307692315E-3</v>
      </c>
      <c r="N1306">
        <f t="shared" si="181"/>
        <v>1.0401997692307693E-2</v>
      </c>
      <c r="O1306">
        <f t="shared" si="182"/>
        <v>7.7102059615384612E-3</v>
      </c>
      <c r="P1306">
        <f t="shared" si="178"/>
        <v>22.160082377468601</v>
      </c>
      <c r="R1306">
        <f t="shared" si="184"/>
        <v>3.845635028901233E-3</v>
      </c>
    </row>
    <row r="1307" spans="1:19" x14ac:dyDescent="0.2">
      <c r="A1307" t="s">
        <v>1318</v>
      </c>
      <c r="B1307">
        <v>5.7739863800000002</v>
      </c>
      <c r="C1307">
        <v>0.52455518999999995</v>
      </c>
      <c r="D1307">
        <v>5.9400668599999999</v>
      </c>
      <c r="E1307">
        <v>0.53337177000000002</v>
      </c>
      <c r="F1307">
        <v>3.2308119899999999</v>
      </c>
      <c r="G1307">
        <v>1.31925892</v>
      </c>
      <c r="H1307">
        <v>2.7671925599999998</v>
      </c>
      <c r="I1307">
        <v>1.004355E-2</v>
      </c>
      <c r="J1307">
        <v>1</v>
      </c>
      <c r="K1307">
        <v>950062</v>
      </c>
      <c r="L1307">
        <f t="shared" si="179"/>
        <v>1.2426199961538461E-2</v>
      </c>
      <c r="M1307">
        <f t="shared" si="180"/>
        <v>5.0740727692307691E-3</v>
      </c>
      <c r="N1307">
        <f t="shared" si="181"/>
        <v>1.0643048307692306E-2</v>
      </c>
      <c r="O1307">
        <f t="shared" si="182"/>
        <v>7.8585605384615381E-3</v>
      </c>
      <c r="P1307">
        <f t="shared" si="178"/>
        <v>29.683751613514076</v>
      </c>
      <c r="R1307">
        <f t="shared" si="184"/>
        <v>4.4282803211226161E-3</v>
      </c>
    </row>
    <row r="1308" spans="1:19" x14ac:dyDescent="0.2">
      <c r="A1308" t="s">
        <v>1319</v>
      </c>
      <c r="B1308">
        <v>5.8341996600000003</v>
      </c>
      <c r="C1308">
        <v>0.70305974999999998</v>
      </c>
      <c r="D1308">
        <v>6.0055785400000001</v>
      </c>
      <c r="E1308">
        <v>0.53337177000000002</v>
      </c>
      <c r="F1308">
        <v>3.2427797100000002</v>
      </c>
      <c r="G1308">
        <v>1.3306728400000001</v>
      </c>
      <c r="H1308">
        <v>2.8220733199999999</v>
      </c>
      <c r="I1308">
        <v>1.022616E-2</v>
      </c>
      <c r="J1308">
        <v>1</v>
      </c>
      <c r="K1308">
        <v>950062</v>
      </c>
      <c r="L1308">
        <f t="shared" si="179"/>
        <v>1.2472229653846154E-2</v>
      </c>
      <c r="M1308">
        <f t="shared" si="180"/>
        <v>5.1179724615384621E-3</v>
      </c>
      <c r="N1308">
        <f t="shared" si="181"/>
        <v>1.0854128153846154E-2</v>
      </c>
      <c r="O1308">
        <f t="shared" si="182"/>
        <v>7.9860503076923071E-3</v>
      </c>
      <c r="P1308">
        <f t="shared" si="178"/>
        <v>39.785043378294098</v>
      </c>
      <c r="R1308">
        <f t="shared" si="184"/>
        <v>2.828308353587878E-3</v>
      </c>
    </row>
    <row r="1309" spans="1:19" x14ac:dyDescent="0.2">
      <c r="A1309" t="s">
        <v>1320</v>
      </c>
      <c r="B1309">
        <v>5.8681994</v>
      </c>
      <c r="C1309">
        <v>0.82677186000000003</v>
      </c>
      <c r="D1309">
        <v>6.0429406700000001</v>
      </c>
      <c r="E1309">
        <v>0.53337177000000002</v>
      </c>
      <c r="F1309">
        <v>3.2615186399999998</v>
      </c>
      <c r="G1309">
        <v>1.3354286399999999</v>
      </c>
      <c r="H1309">
        <v>2.8512948200000001</v>
      </c>
      <c r="I1309">
        <v>1.022616E-2</v>
      </c>
      <c r="J1309">
        <v>1</v>
      </c>
      <c r="K1309">
        <v>950062</v>
      </c>
      <c r="L1309">
        <f t="shared" si="179"/>
        <v>1.254430246153846E-2</v>
      </c>
      <c r="M1309">
        <f t="shared" si="180"/>
        <v>5.1362639999999998E-3</v>
      </c>
      <c r="N1309">
        <f t="shared" si="181"/>
        <v>1.0966518538461539E-2</v>
      </c>
      <c r="O1309">
        <f t="shared" si="182"/>
        <v>8.0513912692307676E-3</v>
      </c>
      <c r="P1309">
        <f t="shared" si="178"/>
        <v>46.785716738944167</v>
      </c>
      <c r="R1309">
        <f t="shared" si="184"/>
        <v>9.0846495654909904E-4</v>
      </c>
    </row>
    <row r="1310" spans="1:19" x14ac:dyDescent="0.2">
      <c r="A1310" t="s">
        <v>1321</v>
      </c>
      <c r="B1310">
        <v>5.8816954800000003</v>
      </c>
      <c r="C1310">
        <v>0.85661063999999998</v>
      </c>
      <c r="D1310">
        <v>6.0542004900000004</v>
      </c>
      <c r="E1310">
        <v>0.53337177000000002</v>
      </c>
      <c r="F1310">
        <v>3.27600588</v>
      </c>
      <c r="G1310">
        <v>1.3367195000000001</v>
      </c>
      <c r="H1310">
        <v>2.8599221199999998</v>
      </c>
      <c r="I1310">
        <v>1.022616E-2</v>
      </c>
      <c r="J1310">
        <v>1</v>
      </c>
      <c r="K1310">
        <v>950062</v>
      </c>
      <c r="L1310">
        <f t="shared" si="179"/>
        <v>1.2600022615384615E-2</v>
      </c>
      <c r="M1310">
        <f t="shared" si="180"/>
        <v>5.1412288461538461E-3</v>
      </c>
      <c r="N1310">
        <f t="shared" si="181"/>
        <v>1.0999700461538461E-2</v>
      </c>
      <c r="O1310">
        <f t="shared" si="182"/>
        <v>8.070464653846152E-3</v>
      </c>
      <c r="P1310">
        <f t="shared" si="178"/>
        <v>48.474246279506502</v>
      </c>
      <c r="R1310">
        <f t="shared" si="184"/>
        <v>3.2673221856616293E-4</v>
      </c>
    </row>
    <row r="1311" spans="1:19" x14ac:dyDescent="0.2">
      <c r="A1311" t="s">
        <v>1322</v>
      </c>
      <c r="B1311">
        <v>5.8832527199999998</v>
      </c>
      <c r="C1311">
        <v>0.85621455000000002</v>
      </c>
      <c r="D1311">
        <v>6.0526650599999998</v>
      </c>
      <c r="E1311">
        <v>0.53337177000000002</v>
      </c>
      <c r="F1311">
        <v>3.2898632399999999</v>
      </c>
      <c r="G1311">
        <v>1.3373309600000001</v>
      </c>
      <c r="H1311">
        <v>2.86281644</v>
      </c>
      <c r="I1311">
        <v>1.004355E-2</v>
      </c>
      <c r="J1311">
        <v>1</v>
      </c>
      <c r="K1311">
        <v>950062</v>
      </c>
      <c r="L1311">
        <f t="shared" si="179"/>
        <v>1.2653320153846154E-2</v>
      </c>
      <c r="M1311">
        <f t="shared" si="180"/>
        <v>5.1435806153846157E-3</v>
      </c>
      <c r="N1311">
        <f t="shared" si="181"/>
        <v>1.1010832461538462E-2</v>
      </c>
      <c r="O1311">
        <f t="shared" si="182"/>
        <v>8.0772065384615392E-3</v>
      </c>
      <c r="P1311">
        <f t="shared" si="178"/>
        <v>48.451832170560991</v>
      </c>
      <c r="R1311">
        <f t="shared" si="184"/>
        <v>-9.9574665197230759E-5</v>
      </c>
    </row>
    <row r="1312" spans="1:19" x14ac:dyDescent="0.2">
      <c r="A1312" t="s">
        <v>1323</v>
      </c>
      <c r="B1312">
        <v>5.8785809999999996</v>
      </c>
      <c r="C1312">
        <v>0.81475713000000005</v>
      </c>
      <c r="D1312">
        <v>6.04754696</v>
      </c>
      <c r="E1312">
        <v>0.53337177000000002</v>
      </c>
      <c r="F1312">
        <v>3.30718494</v>
      </c>
      <c r="G1312">
        <v>1.3377386</v>
      </c>
      <c r="H1312">
        <v>2.8613136199999998</v>
      </c>
      <c r="I1312">
        <v>1.022616E-2</v>
      </c>
      <c r="J1312">
        <v>1</v>
      </c>
      <c r="K1312">
        <v>950062</v>
      </c>
      <c r="L1312">
        <f t="shared" si="179"/>
        <v>1.2719942076923077E-2</v>
      </c>
      <c r="M1312">
        <f t="shared" si="180"/>
        <v>5.1451484615384615E-3</v>
      </c>
      <c r="N1312">
        <f t="shared" si="181"/>
        <v>1.1005052384615384E-2</v>
      </c>
      <c r="O1312">
        <f t="shared" si="182"/>
        <v>8.0751004230769224E-3</v>
      </c>
      <c r="P1312">
        <f t="shared" si="178"/>
        <v>46.105822100930126</v>
      </c>
      <c r="R1312">
        <f t="shared" si="184"/>
        <v>-1.0192701924986521E-3</v>
      </c>
    </row>
    <row r="1313" spans="1:19" x14ac:dyDescent="0.2">
      <c r="A1313" t="s">
        <v>1324</v>
      </c>
      <c r="B1313">
        <v>5.8643063</v>
      </c>
      <c r="C1313">
        <v>0.70345584000000005</v>
      </c>
      <c r="D1313">
        <v>6.0337280900000003</v>
      </c>
      <c r="E1313">
        <v>0.53337177000000002</v>
      </c>
      <c r="F1313">
        <v>3.3197825399999998</v>
      </c>
      <c r="G1313">
        <v>1.3381462399999999</v>
      </c>
      <c r="H1313">
        <v>2.8485674799999998</v>
      </c>
      <c r="I1313">
        <v>1.022616E-2</v>
      </c>
      <c r="J1313">
        <v>1</v>
      </c>
      <c r="K1313">
        <v>950062</v>
      </c>
      <c r="L1313">
        <f t="shared" si="179"/>
        <v>1.2768394384615384E-2</v>
      </c>
      <c r="M1313">
        <f t="shared" si="180"/>
        <v>5.1467163076923074E-3</v>
      </c>
      <c r="N1313">
        <f t="shared" si="181"/>
        <v>1.0956028769230769E-2</v>
      </c>
      <c r="O1313">
        <f t="shared" si="182"/>
        <v>8.0513725384615386E-3</v>
      </c>
      <c r="P1313">
        <f t="shared" si="178"/>
        <v>39.807457487239624</v>
      </c>
      <c r="R1313">
        <f t="shared" si="184"/>
        <v>-9.7801626965769608E-4</v>
      </c>
    </row>
    <row r="1314" spans="1:19" x14ac:dyDescent="0.2">
      <c r="A1314" t="s">
        <v>1325</v>
      </c>
      <c r="B1314">
        <v>5.8422454000000004</v>
      </c>
      <c r="C1314">
        <v>0.61644807000000001</v>
      </c>
      <c r="D1314">
        <v>6.0193974099999998</v>
      </c>
      <c r="E1314">
        <v>0.53337177000000002</v>
      </c>
      <c r="F1314">
        <v>3.32639628</v>
      </c>
      <c r="G1314">
        <v>1.3379424200000001</v>
      </c>
      <c r="H1314">
        <v>2.8351534200000001</v>
      </c>
      <c r="I1314">
        <v>1.004355E-2</v>
      </c>
      <c r="J1314">
        <v>1</v>
      </c>
      <c r="K1314">
        <v>950062</v>
      </c>
      <c r="L1314">
        <f t="shared" si="179"/>
        <v>1.2793831846153847E-2</v>
      </c>
      <c r="M1314">
        <f t="shared" si="180"/>
        <v>5.1459323846153853E-3</v>
      </c>
      <c r="N1314">
        <f t="shared" si="181"/>
        <v>1.0904436230769232E-2</v>
      </c>
      <c r="O1314">
        <f t="shared" si="182"/>
        <v>8.0251843076923086E-3</v>
      </c>
      <c r="P1314">
        <f t="shared" si="178"/>
        <v>34.883824888874209</v>
      </c>
      <c r="R1314">
        <f t="shared" si="184"/>
        <v>-1.3708239649973199E-3</v>
      </c>
    </row>
    <row r="1315" spans="1:19" x14ac:dyDescent="0.2">
      <c r="A1315" t="s">
        <v>1326</v>
      </c>
      <c r="B1315">
        <v>5.8256348400000002</v>
      </c>
      <c r="C1315">
        <v>0.52178256000000001</v>
      </c>
      <c r="D1315">
        <v>5.9948305299999998</v>
      </c>
      <c r="E1315">
        <v>0.53337177000000002</v>
      </c>
      <c r="F1315">
        <v>3.3345847200000001</v>
      </c>
      <c r="G1315">
        <v>1.3377386</v>
      </c>
      <c r="H1315">
        <v>2.8132233800000002</v>
      </c>
      <c r="I1315">
        <v>9.8609400000000003E-3</v>
      </c>
      <c r="J1315">
        <v>1</v>
      </c>
      <c r="K1315">
        <v>950062</v>
      </c>
      <c r="L1315">
        <f t="shared" si="179"/>
        <v>1.2825325846153847E-2</v>
      </c>
      <c r="M1315">
        <f t="shared" si="180"/>
        <v>5.1451484615384615E-3</v>
      </c>
      <c r="N1315">
        <f t="shared" si="181"/>
        <v>1.0820089923076924E-2</v>
      </c>
      <c r="O1315">
        <f t="shared" si="182"/>
        <v>7.9826191923076922E-3</v>
      </c>
      <c r="P1315">
        <f t="shared" si="178"/>
        <v>29.526852850895455</v>
      </c>
      <c r="R1315">
        <f t="shared" si="184"/>
        <v>-2.0558880504240895E-3</v>
      </c>
    </row>
    <row r="1316" spans="1:19" x14ac:dyDescent="0.2">
      <c r="A1316" t="s">
        <v>1327</v>
      </c>
      <c r="B1316">
        <v>5.7890397</v>
      </c>
      <c r="C1316">
        <v>0.41827103999999998</v>
      </c>
      <c r="D1316">
        <v>5.9477440100000001</v>
      </c>
      <c r="E1316">
        <v>0.53337177000000002</v>
      </c>
      <c r="F1316">
        <v>3.3389938799999999</v>
      </c>
      <c r="G1316">
        <v>1.3333904400000001</v>
      </c>
      <c r="H1316">
        <v>2.7773783399999998</v>
      </c>
      <c r="I1316">
        <v>9.8609400000000003E-3</v>
      </c>
      <c r="J1316">
        <v>1</v>
      </c>
      <c r="K1316">
        <v>950062</v>
      </c>
      <c r="L1316">
        <f t="shared" si="179"/>
        <v>1.2842284153846154E-2</v>
      </c>
      <c r="M1316">
        <f t="shared" si="180"/>
        <v>5.1284247692307697E-3</v>
      </c>
      <c r="N1316">
        <f t="shared" si="181"/>
        <v>1.0682224384615384E-2</v>
      </c>
      <c r="O1316">
        <f t="shared" si="182"/>
        <v>7.9053245769230771E-3</v>
      </c>
      <c r="P1316">
        <f t="shared" si="178"/>
        <v>23.669299046466801</v>
      </c>
      <c r="R1316">
        <f t="shared" si="184"/>
        <v>-2.2520547652265322E-3</v>
      </c>
    </row>
    <row r="1317" spans="1:19" x14ac:dyDescent="0.2">
      <c r="A1317" t="s">
        <v>1328</v>
      </c>
      <c r="B1317">
        <v>5.74543698</v>
      </c>
      <c r="C1317">
        <v>0.32268131999999999</v>
      </c>
      <c r="D1317">
        <v>5.9011693000000003</v>
      </c>
      <c r="E1317">
        <v>0.53337177000000002</v>
      </c>
      <c r="F1317">
        <v>3.33552954</v>
      </c>
      <c r="G1317">
        <v>1.3248979400000001</v>
      </c>
      <c r="H1317">
        <v>2.7300116800000001</v>
      </c>
      <c r="I1317">
        <v>1.004355E-2</v>
      </c>
      <c r="J1317">
        <v>1</v>
      </c>
      <c r="K1317">
        <v>950062</v>
      </c>
      <c r="L1317">
        <f t="shared" si="179"/>
        <v>1.2828959769230769E-2</v>
      </c>
      <c r="M1317">
        <f t="shared" si="180"/>
        <v>5.0957613076923081E-3</v>
      </c>
      <c r="N1317">
        <f t="shared" si="181"/>
        <v>1.0500044923076924E-2</v>
      </c>
      <c r="O1317">
        <f t="shared" si="182"/>
        <v>7.7979031153846152E-3</v>
      </c>
      <c r="P1317">
        <f t="shared" si="178"/>
        <v>18.260027420948504</v>
      </c>
      <c r="R1317">
        <f t="shared" si="184"/>
        <v>-1.9870870254741577E-3</v>
      </c>
    </row>
    <row r="1318" spans="1:19" x14ac:dyDescent="0.2">
      <c r="A1318" t="s">
        <v>1329</v>
      </c>
      <c r="B1318">
        <v>5.6963839199999997</v>
      </c>
      <c r="C1318">
        <v>0.24016256999999999</v>
      </c>
      <c r="D1318">
        <v>5.8433347700000002</v>
      </c>
      <c r="E1318">
        <v>0.53337177000000002</v>
      </c>
      <c r="F1318">
        <v>3.3293882099999998</v>
      </c>
      <c r="G1318">
        <v>1.3126687399999999</v>
      </c>
      <c r="H1318">
        <v>2.67735732</v>
      </c>
      <c r="I1318">
        <v>1.004355E-2</v>
      </c>
      <c r="J1318">
        <v>1</v>
      </c>
      <c r="K1318">
        <v>950062</v>
      </c>
      <c r="L1318">
        <f t="shared" si="179"/>
        <v>1.2805339269230769E-2</v>
      </c>
      <c r="M1318">
        <f t="shared" si="180"/>
        <v>5.0487259230769226E-3</v>
      </c>
      <c r="N1318">
        <f t="shared" si="181"/>
        <v>1.0297528153846155E-2</v>
      </c>
      <c r="O1318">
        <f t="shared" si="182"/>
        <v>7.6731270384615387E-3</v>
      </c>
      <c r="P1318">
        <f t="shared" si="178"/>
        <v>13.590421390632295</v>
      </c>
      <c r="R1318">
        <f t="shared" si="184"/>
        <v>-1.5123052816296972E-3</v>
      </c>
    </row>
    <row r="1319" spans="1:19" x14ac:dyDescent="0.2">
      <c r="A1319" t="s">
        <v>1330</v>
      </c>
      <c r="B1319">
        <v>5.6442163799999996</v>
      </c>
      <c r="C1319">
        <v>0.16398125999999999</v>
      </c>
      <c r="D1319">
        <v>5.7870356699999999</v>
      </c>
      <c r="E1319">
        <v>0.53337177000000002</v>
      </c>
      <c r="F1319">
        <v>3.3202549499999998</v>
      </c>
      <c r="G1319">
        <v>1.29894486</v>
      </c>
      <c r="H1319">
        <v>2.62230958</v>
      </c>
      <c r="I1319">
        <v>1.022616E-2</v>
      </c>
      <c r="J1319">
        <v>1</v>
      </c>
      <c r="K1319">
        <v>950062</v>
      </c>
      <c r="L1319">
        <f t="shared" si="179"/>
        <v>1.2770211346153845E-2</v>
      </c>
      <c r="M1319">
        <f t="shared" si="180"/>
        <v>4.9959417692307688E-3</v>
      </c>
      <c r="N1319">
        <f t="shared" si="181"/>
        <v>1.0085806076923077E-2</v>
      </c>
      <c r="O1319">
        <f t="shared" si="182"/>
        <v>7.5408739230769239E-3</v>
      </c>
      <c r="P1319">
        <f t="shared" si="178"/>
        <v>9.2794411034443698</v>
      </c>
      <c r="R1319">
        <f t="shared" si="184"/>
        <v>-9.7556736848306231E-4</v>
      </c>
    </row>
    <row r="1320" spans="1:19" x14ac:dyDescent="0.2">
      <c r="A1320" t="s">
        <v>1331</v>
      </c>
      <c r="B1320">
        <v>5.5925679199999996</v>
      </c>
      <c r="C1320">
        <v>9.8362350000000001E-2</v>
      </c>
      <c r="D1320">
        <v>5.7353428600000003</v>
      </c>
      <c r="E1320">
        <v>0.73091687000000005</v>
      </c>
      <c r="F1320">
        <v>3.3038780700000001</v>
      </c>
      <c r="G1320">
        <v>1.2835904199999999</v>
      </c>
      <c r="H1320">
        <v>2.5693212600000002</v>
      </c>
      <c r="I1320">
        <v>1.004355E-2</v>
      </c>
      <c r="J1320">
        <v>1</v>
      </c>
      <c r="K1320">
        <v>950062</v>
      </c>
      <c r="L1320">
        <f t="shared" si="179"/>
        <v>1.2707223346153847E-2</v>
      </c>
      <c r="M1320">
        <f t="shared" si="180"/>
        <v>4.9368862307692307E-3</v>
      </c>
      <c r="N1320">
        <f t="shared" si="181"/>
        <v>9.8820048461538464E-3</v>
      </c>
      <c r="O1320">
        <f t="shared" si="182"/>
        <v>7.409445538461539E-3</v>
      </c>
      <c r="P1320">
        <f t="shared" si="178"/>
        <v>5.5661703881369213</v>
      </c>
      <c r="R1320">
        <f t="shared" si="184"/>
        <v>-3.9308231228396074E-4</v>
      </c>
    </row>
    <row r="1321" spans="1:19" x14ac:dyDescent="0.2">
      <c r="A1321" t="s">
        <v>1332</v>
      </c>
      <c r="B1321">
        <v>5.5523392200000004</v>
      </c>
      <c r="C1321">
        <v>5.4000270000000003E-2</v>
      </c>
      <c r="D1321">
        <v>5.69490987</v>
      </c>
      <c r="E1321">
        <v>1.0272345199999999</v>
      </c>
      <c r="F1321">
        <v>3.2816747999999998</v>
      </c>
      <c r="G1321">
        <v>1.2728558999999999</v>
      </c>
      <c r="H1321">
        <v>2.5326413200000002</v>
      </c>
      <c r="I1321">
        <v>1.004355E-2</v>
      </c>
      <c r="J1321">
        <v>1</v>
      </c>
      <c r="K1321">
        <v>950062</v>
      </c>
      <c r="L1321">
        <f t="shared" si="179"/>
        <v>1.2621826153846154E-2</v>
      </c>
      <c r="M1321">
        <f t="shared" si="180"/>
        <v>4.8955996153846153E-3</v>
      </c>
      <c r="N1321">
        <f t="shared" si="181"/>
        <v>9.740928153846154E-3</v>
      </c>
      <c r="O1321">
        <f t="shared" si="182"/>
        <v>7.3182638846153855E-3</v>
      </c>
      <c r="P1321">
        <f t="shared" si="178"/>
        <v>3.0557901862389274</v>
      </c>
      <c r="R1321">
        <f t="shared" si="184"/>
        <v>-7.5495177037304245E-5</v>
      </c>
    </row>
    <row r="1322" spans="1:19" x14ac:dyDescent="0.2">
      <c r="A1322" t="s">
        <v>1333</v>
      </c>
      <c r="B1322">
        <v>5.5404003800000003</v>
      </c>
      <c r="C1322">
        <v>5.4000270000000003E-2</v>
      </c>
      <c r="D1322">
        <v>5.6836500499999998</v>
      </c>
      <c r="E1322">
        <v>1.0864980500000001</v>
      </c>
      <c r="F1322">
        <v>3.2640381600000001</v>
      </c>
      <c r="G1322">
        <v>1.2695268399999999</v>
      </c>
      <c r="H1322">
        <v>2.5231234599999999</v>
      </c>
      <c r="I1322">
        <v>9.8609400000000003E-3</v>
      </c>
      <c r="J1322">
        <v>1</v>
      </c>
      <c r="K1322">
        <v>950062</v>
      </c>
      <c r="L1322">
        <f t="shared" si="179"/>
        <v>1.2553992923076924E-2</v>
      </c>
      <c r="M1322">
        <f t="shared" si="180"/>
        <v>4.882795538461538E-3</v>
      </c>
      <c r="N1322">
        <f t="shared" si="181"/>
        <v>9.7043210000000001E-3</v>
      </c>
      <c r="O1322">
        <f t="shared" si="182"/>
        <v>7.2935582692307691E-3</v>
      </c>
      <c r="P1322">
        <f t="shared" si="178"/>
        <v>3.0557901862389274</v>
      </c>
      <c r="R1322">
        <f t="shared" si="184"/>
        <v>1.8099908842844015E-4</v>
      </c>
    </row>
    <row r="1323" spans="1:19" x14ac:dyDescent="0.2">
      <c r="A1323" t="s">
        <v>1334</v>
      </c>
      <c r="B1323">
        <v>5.55856818</v>
      </c>
      <c r="C1323">
        <v>0.1095849</v>
      </c>
      <c r="D1323">
        <v>5.7056578800000004</v>
      </c>
      <c r="E1323">
        <v>1.0864980500000001</v>
      </c>
      <c r="F1323">
        <v>3.24671646</v>
      </c>
      <c r="G1323">
        <v>1.2693230200000001</v>
      </c>
      <c r="H1323">
        <v>2.5436619999999999</v>
      </c>
      <c r="I1323">
        <v>9.8609400000000003E-3</v>
      </c>
      <c r="J1323">
        <v>1</v>
      </c>
      <c r="K1323">
        <v>950062</v>
      </c>
      <c r="L1323">
        <f t="shared" si="179"/>
        <v>1.2487371000000001E-2</v>
      </c>
      <c r="M1323">
        <f t="shared" si="180"/>
        <v>4.882011615384616E-3</v>
      </c>
      <c r="N1323">
        <f t="shared" si="181"/>
        <v>9.7833153846153837E-3</v>
      </c>
      <c r="O1323">
        <f t="shared" si="182"/>
        <v>7.3326635000000003E-3</v>
      </c>
      <c r="P1323">
        <f t="shared" si="178"/>
        <v>6.2012368082599254</v>
      </c>
      <c r="R1323">
        <f t="shared" si="184"/>
        <v>7.7624807534891699E-4</v>
      </c>
    </row>
    <row r="1324" spans="1:19" x14ac:dyDescent="0.2">
      <c r="A1324" t="s">
        <v>1335</v>
      </c>
      <c r="B1324">
        <v>5.5967205599999996</v>
      </c>
      <c r="C1324">
        <v>0.18853884000000001</v>
      </c>
      <c r="D1324">
        <v>5.7430200100000004</v>
      </c>
      <c r="E1324">
        <v>1.0272345199999999</v>
      </c>
      <c r="F1324">
        <v>3.2331740400000002</v>
      </c>
      <c r="G1324">
        <v>1.2757093799999999</v>
      </c>
      <c r="H1324">
        <v>2.5851286999999998</v>
      </c>
      <c r="I1324">
        <v>9.8609400000000003E-3</v>
      </c>
      <c r="J1324">
        <v>1</v>
      </c>
      <c r="K1324">
        <v>950063</v>
      </c>
      <c r="L1324">
        <f t="shared" si="179"/>
        <v>1.2435284769230771E-2</v>
      </c>
      <c r="M1324">
        <f t="shared" si="180"/>
        <v>4.9065745384615379E-3</v>
      </c>
      <c r="N1324">
        <f t="shared" si="181"/>
        <v>9.9428026923076909E-3</v>
      </c>
      <c r="O1324">
        <f t="shared" si="182"/>
        <v>7.4246886153846153E-3</v>
      </c>
      <c r="P1324">
        <f t="shared" si="178"/>
        <v>10.669115858066476</v>
      </c>
      <c r="Q1324">
        <f t="shared" ref="Q1324" si="186">ABS(0.5*(SUMPRODUCT(O1324:O1342,P1325:P1343)+O1343*P1324-(SUMPRODUCT(O1325:O1343,P1324:P1342)+O1324*P1343)))</f>
        <v>5.1891853127405962E-3</v>
      </c>
      <c r="R1324">
        <f t="shared" si="184"/>
        <v>1.8314449883229385E-3</v>
      </c>
    </row>
    <row r="1325" spans="1:19" x14ac:dyDescent="0.2">
      <c r="A1325" t="s">
        <v>1336</v>
      </c>
      <c r="B1325">
        <v>5.6481094799999996</v>
      </c>
      <c r="C1325">
        <v>0.28320434999999999</v>
      </c>
      <c r="D1325">
        <v>5.8023899700000001</v>
      </c>
      <c r="E1325">
        <v>0.96797098999999998</v>
      </c>
      <c r="F1325">
        <v>3.22703271</v>
      </c>
      <c r="G1325">
        <v>1.2898409</v>
      </c>
      <c r="H1325">
        <v>2.6423471799999998</v>
      </c>
      <c r="I1325">
        <v>9.8609400000000003E-3</v>
      </c>
      <c r="J1325">
        <v>1</v>
      </c>
      <c r="K1325">
        <v>950063</v>
      </c>
      <c r="L1325">
        <f t="shared" si="179"/>
        <v>1.2411664269230769E-2</v>
      </c>
      <c r="M1325">
        <f t="shared" si="180"/>
        <v>4.9609265384615384E-3</v>
      </c>
      <c r="N1325">
        <f t="shared" si="181"/>
        <v>1.0162873769230769E-2</v>
      </c>
      <c r="O1325">
        <f t="shared" si="182"/>
        <v>7.5619001538461527E-3</v>
      </c>
      <c r="P1325">
        <f t="shared" si="178"/>
        <v>16.02608789604523</v>
      </c>
      <c r="R1325">
        <f t="shared" si="184"/>
        <v>2.9177716896662494E-3</v>
      </c>
      <c r="S1325">
        <f>ABS(SUMIFS($R:$R,$K:$K,K1325))</f>
        <v>5.1806500170363725E-3</v>
      </c>
    </row>
    <row r="1326" spans="1:19" x14ac:dyDescent="0.2">
      <c r="A1326" t="s">
        <v>1337</v>
      </c>
      <c r="B1326">
        <v>5.7075441400000004</v>
      </c>
      <c r="C1326">
        <v>0.39278924999999998</v>
      </c>
      <c r="D1326">
        <v>5.8679016500000003</v>
      </c>
      <c r="E1326">
        <v>0.79018040000000001</v>
      </c>
      <c r="F1326">
        <v>3.2293947599999999</v>
      </c>
      <c r="G1326">
        <v>1.30560298</v>
      </c>
      <c r="H1326">
        <v>2.7059109000000001</v>
      </c>
      <c r="I1326">
        <v>9.8609400000000003E-3</v>
      </c>
      <c r="J1326">
        <v>1</v>
      </c>
      <c r="K1326">
        <v>950063</v>
      </c>
      <c r="L1326">
        <f t="shared" si="179"/>
        <v>1.2420749076923077E-2</v>
      </c>
      <c r="M1326">
        <f t="shared" si="180"/>
        <v>5.0215499230769232E-3</v>
      </c>
      <c r="N1326">
        <f t="shared" si="181"/>
        <v>1.0407349615384616E-2</v>
      </c>
      <c r="O1326">
        <f t="shared" si="182"/>
        <v>7.7144497692307693E-3</v>
      </c>
      <c r="P1326">
        <f t="shared" si="178"/>
        <v>22.227324704305154</v>
      </c>
      <c r="R1326">
        <f t="shared" si="184"/>
        <v>3.8001512585255086E-3</v>
      </c>
    </row>
    <row r="1327" spans="1:19" x14ac:dyDescent="0.2">
      <c r="A1327" t="s">
        <v>1338</v>
      </c>
      <c r="B1327">
        <v>5.7700932800000002</v>
      </c>
      <c r="C1327">
        <v>0.52666767000000003</v>
      </c>
      <c r="D1327">
        <v>5.9369959999999997</v>
      </c>
      <c r="E1327">
        <v>0.67165333999999999</v>
      </c>
      <c r="F1327">
        <v>3.2345912700000001</v>
      </c>
      <c r="G1327">
        <v>1.3190550999999999</v>
      </c>
      <c r="H1327">
        <v>2.7684170799999999</v>
      </c>
      <c r="I1327">
        <v>9.6783300000000006E-3</v>
      </c>
      <c r="J1327">
        <v>1</v>
      </c>
      <c r="K1327">
        <v>950063</v>
      </c>
      <c r="L1327">
        <f t="shared" si="179"/>
        <v>1.2440735653846154E-2</v>
      </c>
      <c r="M1327">
        <f t="shared" si="180"/>
        <v>5.0732888461538462E-3</v>
      </c>
      <c r="N1327">
        <f t="shared" si="181"/>
        <v>1.0647758E-2</v>
      </c>
      <c r="O1327">
        <f t="shared" si="182"/>
        <v>7.8605234230769219E-3</v>
      </c>
      <c r="P1327">
        <f t="shared" si="178"/>
        <v>29.803293527890176</v>
      </c>
      <c r="R1327">
        <f t="shared" si="184"/>
        <v>4.4332445387756571E-3</v>
      </c>
    </row>
    <row r="1328" spans="1:19" x14ac:dyDescent="0.2">
      <c r="A1328" t="s">
        <v>1339</v>
      </c>
      <c r="B1328">
        <v>5.8318637999999998</v>
      </c>
      <c r="C1328">
        <v>0.70715267999999998</v>
      </c>
      <c r="D1328">
        <v>6.0025076799999999</v>
      </c>
      <c r="E1328">
        <v>0.67165333999999999</v>
      </c>
      <c r="F1328">
        <v>3.2452992300000001</v>
      </c>
      <c r="G1328">
        <v>1.3302651999999999</v>
      </c>
      <c r="H1328">
        <v>2.8232421799999998</v>
      </c>
      <c r="I1328">
        <v>9.6783300000000006E-3</v>
      </c>
      <c r="J1328">
        <v>1</v>
      </c>
      <c r="K1328">
        <v>950063</v>
      </c>
      <c r="L1328">
        <f t="shared" si="179"/>
        <v>1.2481920115384616E-2</v>
      </c>
      <c r="M1328">
        <f t="shared" si="180"/>
        <v>5.1164046153846154E-3</v>
      </c>
      <c r="N1328">
        <f t="shared" si="181"/>
        <v>1.0858623769230769E-2</v>
      </c>
      <c r="O1328">
        <f t="shared" si="182"/>
        <v>7.9875141923076917E-3</v>
      </c>
      <c r="P1328">
        <f t="shared" si="178"/>
        <v>40.016655837397785</v>
      </c>
      <c r="R1328">
        <f t="shared" si="184"/>
        <v>2.7689657114871153E-3</v>
      </c>
    </row>
    <row r="1329" spans="1:18" x14ac:dyDescent="0.2">
      <c r="A1329" t="s">
        <v>1340</v>
      </c>
      <c r="B1329">
        <v>5.8681994</v>
      </c>
      <c r="C1329">
        <v>0.82320705000000005</v>
      </c>
      <c r="D1329">
        <v>6.0383343800000002</v>
      </c>
      <c r="E1329">
        <v>0.67165333999999999</v>
      </c>
      <c r="F1329">
        <v>3.2634082800000002</v>
      </c>
      <c r="G1329">
        <v>1.33563246</v>
      </c>
      <c r="H1329">
        <v>2.8511278400000002</v>
      </c>
      <c r="I1329">
        <v>9.6783300000000006E-3</v>
      </c>
      <c r="J1329">
        <v>1</v>
      </c>
      <c r="K1329">
        <v>950063</v>
      </c>
      <c r="L1329">
        <f t="shared" si="179"/>
        <v>1.2551570307692309E-2</v>
      </c>
      <c r="M1329">
        <f t="shared" si="180"/>
        <v>5.1370479230769235E-3</v>
      </c>
      <c r="N1329">
        <f t="shared" si="181"/>
        <v>1.0965876307692309E-2</v>
      </c>
      <c r="O1329">
        <f t="shared" si="182"/>
        <v>8.0514621153846156E-3</v>
      </c>
      <c r="P1329">
        <f t="shared" si="178"/>
        <v>46.583989758434505</v>
      </c>
      <c r="R1329">
        <f t="shared" si="184"/>
        <v>8.0195540627467582E-4</v>
      </c>
    </row>
    <row r="1330" spans="1:18" x14ac:dyDescent="0.2">
      <c r="A1330" t="s">
        <v>1341</v>
      </c>
      <c r="B1330">
        <v>5.8809168600000001</v>
      </c>
      <c r="C1330">
        <v>0.85053725999999996</v>
      </c>
      <c r="D1330">
        <v>6.0511296300000001</v>
      </c>
      <c r="E1330">
        <v>0.67165333999999999</v>
      </c>
      <c r="F1330">
        <v>3.2793127499999999</v>
      </c>
      <c r="G1330">
        <v>1.3363118599999999</v>
      </c>
      <c r="H1330">
        <v>2.8592542000000001</v>
      </c>
      <c r="I1330">
        <v>9.6783300000000006E-3</v>
      </c>
      <c r="J1330">
        <v>1</v>
      </c>
      <c r="K1330">
        <v>950063</v>
      </c>
      <c r="L1330">
        <f t="shared" si="179"/>
        <v>1.2612741346153845E-2</v>
      </c>
      <c r="M1330">
        <f t="shared" si="180"/>
        <v>5.1396609999999994E-3</v>
      </c>
      <c r="N1330">
        <f t="shared" si="181"/>
        <v>1.099713153846154E-2</v>
      </c>
      <c r="O1330">
        <f t="shared" si="182"/>
        <v>8.0683962692307699E-3</v>
      </c>
      <c r="P1330">
        <f t="shared" si="178"/>
        <v>48.130563275675229</v>
      </c>
      <c r="R1330">
        <f t="shared" si="184"/>
        <v>3.4410222812937124E-4</v>
      </c>
    </row>
    <row r="1331" spans="1:18" x14ac:dyDescent="0.2">
      <c r="A1331" t="s">
        <v>1342</v>
      </c>
      <c r="B1331">
        <v>5.8816954800000003</v>
      </c>
      <c r="C1331">
        <v>0.8542341</v>
      </c>
      <c r="D1331">
        <v>6.0542004900000004</v>
      </c>
      <c r="E1331">
        <v>0.67165333999999999</v>
      </c>
      <c r="F1331">
        <v>3.2912804699999998</v>
      </c>
      <c r="G1331">
        <v>1.33712714</v>
      </c>
      <c r="H1331">
        <v>2.8621485199999999</v>
      </c>
      <c r="I1331">
        <v>9.8609400000000003E-3</v>
      </c>
      <c r="J1331">
        <v>1</v>
      </c>
      <c r="K1331">
        <v>950063</v>
      </c>
      <c r="L1331">
        <f t="shared" si="179"/>
        <v>1.2658771038461537E-2</v>
      </c>
      <c r="M1331">
        <f t="shared" si="180"/>
        <v>5.1427966923076919E-3</v>
      </c>
      <c r="N1331">
        <f t="shared" si="181"/>
        <v>1.1008263538461538E-2</v>
      </c>
      <c r="O1331">
        <f t="shared" si="182"/>
        <v>8.0755301153846142E-3</v>
      </c>
      <c r="P1331">
        <f t="shared" si="178"/>
        <v>48.339761625833397</v>
      </c>
      <c r="R1331">
        <f t="shared" si="184"/>
        <v>-5.7682068844990473E-5</v>
      </c>
    </row>
    <row r="1332" spans="1:18" x14ac:dyDescent="0.2">
      <c r="A1332" t="s">
        <v>1343</v>
      </c>
      <c r="B1332">
        <v>5.8816954800000003</v>
      </c>
      <c r="C1332">
        <v>0.82558359000000003</v>
      </c>
      <c r="D1332">
        <v>6.0511296300000001</v>
      </c>
      <c r="E1332">
        <v>0.53337177000000002</v>
      </c>
      <c r="F1332">
        <v>3.30624012</v>
      </c>
      <c r="G1332">
        <v>1.3373309600000001</v>
      </c>
      <c r="H1332">
        <v>2.8613136199999998</v>
      </c>
      <c r="I1332">
        <v>1.022616E-2</v>
      </c>
      <c r="J1332">
        <v>1</v>
      </c>
      <c r="K1332">
        <v>950063</v>
      </c>
      <c r="L1332">
        <f t="shared" si="179"/>
        <v>1.2716308153846154E-2</v>
      </c>
      <c r="M1332">
        <f t="shared" si="180"/>
        <v>5.1435806153846157E-3</v>
      </c>
      <c r="N1332">
        <f t="shared" si="181"/>
        <v>1.1005052384615384E-2</v>
      </c>
      <c r="O1332">
        <f t="shared" si="182"/>
        <v>8.0743164999999995E-3</v>
      </c>
      <c r="P1332">
        <f t="shared" si="178"/>
        <v>46.718474412107611</v>
      </c>
      <c r="R1332">
        <f t="shared" si="184"/>
        <v>-1.0892025194532756E-3</v>
      </c>
    </row>
    <row r="1333" spans="1:18" x14ac:dyDescent="0.2">
      <c r="A1333" t="s">
        <v>1344</v>
      </c>
      <c r="B1333">
        <v>5.8650849200000001</v>
      </c>
      <c r="C1333">
        <v>0.70913313</v>
      </c>
      <c r="D1333">
        <v>6.0337280900000003</v>
      </c>
      <c r="E1333">
        <v>0.53337177000000002</v>
      </c>
      <c r="F1333">
        <v>3.3197825399999998</v>
      </c>
      <c r="G1333">
        <v>1.3375347799999999</v>
      </c>
      <c r="H1333">
        <v>2.84806654</v>
      </c>
      <c r="I1333">
        <v>1.004355E-2</v>
      </c>
      <c r="J1333">
        <v>1</v>
      </c>
      <c r="K1333">
        <v>950063</v>
      </c>
      <c r="L1333">
        <f t="shared" si="179"/>
        <v>1.2768394384615384E-2</v>
      </c>
      <c r="M1333">
        <f t="shared" si="180"/>
        <v>5.1443645384615377E-3</v>
      </c>
      <c r="N1333">
        <f t="shared" si="181"/>
        <v>1.0954102076923078E-2</v>
      </c>
      <c r="O1333">
        <f t="shared" si="182"/>
        <v>8.0492333076923068E-3</v>
      </c>
      <c r="P1333">
        <f t="shared" si="178"/>
        <v>40.128726382125372</v>
      </c>
      <c r="R1333">
        <f t="shared" si="184"/>
        <v>-1.0140157829690811E-3</v>
      </c>
    </row>
    <row r="1334" spans="1:18" x14ac:dyDescent="0.2">
      <c r="A1334" t="s">
        <v>1345</v>
      </c>
      <c r="B1334">
        <v>5.8461385000000003</v>
      </c>
      <c r="C1334">
        <v>0.61248716999999997</v>
      </c>
      <c r="D1334">
        <v>6.0147911199999999</v>
      </c>
      <c r="E1334">
        <v>0.53337177000000002</v>
      </c>
      <c r="F1334">
        <v>3.32592387</v>
      </c>
      <c r="G1334">
        <v>1.3377386</v>
      </c>
      <c r="H1334">
        <v>2.8337619200000002</v>
      </c>
      <c r="I1334">
        <v>1.004355E-2</v>
      </c>
      <c r="J1334">
        <v>1</v>
      </c>
      <c r="K1334">
        <v>950063</v>
      </c>
      <c r="L1334">
        <f t="shared" si="179"/>
        <v>1.2792014884615385E-2</v>
      </c>
      <c r="M1334">
        <f t="shared" si="180"/>
        <v>5.1451484615384615E-3</v>
      </c>
      <c r="N1334">
        <f t="shared" si="181"/>
        <v>1.0899084307692309E-2</v>
      </c>
      <c r="O1334">
        <f t="shared" si="182"/>
        <v>8.0221163846153857E-3</v>
      </c>
      <c r="P1334">
        <f t="shared" si="178"/>
        <v>34.659683799419028</v>
      </c>
      <c r="R1334">
        <f t="shared" si="184"/>
        <v>-1.2959307823623956E-3</v>
      </c>
    </row>
    <row r="1335" spans="1:18" x14ac:dyDescent="0.2">
      <c r="A1335" t="s">
        <v>1346</v>
      </c>
      <c r="B1335">
        <v>5.8279706999999998</v>
      </c>
      <c r="C1335">
        <v>0.52257474000000004</v>
      </c>
      <c r="D1335">
        <v>5.9881770000000003</v>
      </c>
      <c r="E1335">
        <v>0.53337177000000002</v>
      </c>
      <c r="F1335">
        <v>3.3326950800000001</v>
      </c>
      <c r="G1335">
        <v>1.33712714</v>
      </c>
      <c r="H1335">
        <v>2.8133903600000001</v>
      </c>
      <c r="I1335">
        <v>1.022616E-2</v>
      </c>
      <c r="J1335">
        <v>1</v>
      </c>
      <c r="K1335">
        <v>950063</v>
      </c>
      <c r="L1335">
        <f t="shared" si="179"/>
        <v>1.2818058E-2</v>
      </c>
      <c r="M1335">
        <f t="shared" si="180"/>
        <v>5.1427966923076919E-3</v>
      </c>
      <c r="N1335">
        <f t="shared" si="181"/>
        <v>1.0820732153846154E-2</v>
      </c>
      <c r="O1335">
        <f t="shared" si="182"/>
        <v>7.981764423076923E-3</v>
      </c>
      <c r="P1335">
        <f t="shared" si="178"/>
        <v>29.571681068786493</v>
      </c>
      <c r="R1335">
        <f t="shared" si="184"/>
        <v>-1.9890659887049594E-3</v>
      </c>
    </row>
    <row r="1336" spans="1:18" x14ac:dyDescent="0.2">
      <c r="A1336" t="s">
        <v>1347</v>
      </c>
      <c r="B1336">
        <v>5.7947495800000004</v>
      </c>
      <c r="C1336">
        <v>0.42223193999999997</v>
      </c>
      <c r="D1336">
        <v>5.9492794399999998</v>
      </c>
      <c r="E1336">
        <v>0.53337177000000002</v>
      </c>
      <c r="F1336">
        <v>3.3389938799999999</v>
      </c>
      <c r="G1336">
        <v>1.3333904400000001</v>
      </c>
      <c r="H1336">
        <v>2.77843588</v>
      </c>
      <c r="I1336">
        <v>1.004355E-2</v>
      </c>
      <c r="J1336">
        <v>1</v>
      </c>
      <c r="K1336">
        <v>950063</v>
      </c>
      <c r="L1336">
        <f t="shared" si="179"/>
        <v>1.2842284153846154E-2</v>
      </c>
      <c r="M1336">
        <f t="shared" si="180"/>
        <v>5.1284247692307697E-3</v>
      </c>
      <c r="N1336">
        <f t="shared" si="181"/>
        <v>1.0686291846153845E-2</v>
      </c>
      <c r="O1336">
        <f t="shared" si="182"/>
        <v>7.9073583076923089E-3</v>
      </c>
      <c r="P1336">
        <f t="shared" si="178"/>
        <v>23.893440135921978</v>
      </c>
      <c r="R1336">
        <f t="shared" si="184"/>
        <v>-2.1809058048925002E-3</v>
      </c>
    </row>
    <row r="1337" spans="1:18" x14ac:dyDescent="0.2">
      <c r="A1337" t="s">
        <v>1348</v>
      </c>
      <c r="B1337">
        <v>5.7472537600000004</v>
      </c>
      <c r="C1337">
        <v>0.32637815999999997</v>
      </c>
      <c r="D1337">
        <v>5.90270473</v>
      </c>
      <c r="E1337">
        <v>0.53337177000000002</v>
      </c>
      <c r="F1337">
        <v>3.3380490599999999</v>
      </c>
      <c r="G1337">
        <v>1.3257132199999999</v>
      </c>
      <c r="H1337">
        <v>2.73257204</v>
      </c>
      <c r="I1337">
        <v>9.8609400000000003E-3</v>
      </c>
      <c r="J1337">
        <v>1</v>
      </c>
      <c r="K1337">
        <v>950063</v>
      </c>
      <c r="L1337">
        <f t="shared" si="179"/>
        <v>1.283865023076923E-2</v>
      </c>
      <c r="M1337">
        <f t="shared" si="180"/>
        <v>5.0988969999999998E-3</v>
      </c>
      <c r="N1337">
        <f t="shared" si="181"/>
        <v>1.0509892461538462E-2</v>
      </c>
      <c r="O1337">
        <f t="shared" si="182"/>
        <v>7.8043947307692308E-3</v>
      </c>
      <c r="P1337">
        <f t="shared" si="178"/>
        <v>18.469225771106668</v>
      </c>
      <c r="R1337">
        <f t="shared" si="184"/>
        <v>-2.0010788880101037E-3</v>
      </c>
    </row>
    <row r="1338" spans="1:18" x14ac:dyDescent="0.2">
      <c r="A1338" t="s">
        <v>1349</v>
      </c>
      <c r="B1338">
        <v>5.6979411600000001</v>
      </c>
      <c r="C1338">
        <v>0.24253911</v>
      </c>
      <c r="D1338">
        <v>5.8479410600000001</v>
      </c>
      <c r="E1338">
        <v>0.53337177000000002</v>
      </c>
      <c r="F1338">
        <v>3.3289157999999999</v>
      </c>
      <c r="G1338">
        <v>1.3138916599999999</v>
      </c>
      <c r="H1338">
        <v>2.6797507</v>
      </c>
      <c r="I1338">
        <v>9.6783300000000006E-3</v>
      </c>
      <c r="J1338">
        <v>1</v>
      </c>
      <c r="K1338">
        <v>950063</v>
      </c>
      <c r="L1338">
        <f t="shared" si="179"/>
        <v>1.2803522307692307E-2</v>
      </c>
      <c r="M1338">
        <f t="shared" si="180"/>
        <v>5.053429461538461E-3</v>
      </c>
      <c r="N1338">
        <f t="shared" si="181"/>
        <v>1.0306733461538462E-2</v>
      </c>
      <c r="O1338">
        <f t="shared" si="182"/>
        <v>7.6800814615384612E-3</v>
      </c>
      <c r="P1338">
        <f t="shared" si="178"/>
        <v>13.724906044305403</v>
      </c>
      <c r="R1338">
        <f t="shared" si="184"/>
        <v>-1.5512298378826872E-3</v>
      </c>
    </row>
    <row r="1339" spans="1:18" x14ac:dyDescent="0.2">
      <c r="A1339" t="s">
        <v>1350</v>
      </c>
      <c r="B1339">
        <v>5.6465522400000001</v>
      </c>
      <c r="C1339">
        <v>0.16714998</v>
      </c>
      <c r="D1339">
        <v>5.7885711000000004</v>
      </c>
      <c r="E1339">
        <v>0.53337177000000002</v>
      </c>
      <c r="F1339">
        <v>3.3202549499999998</v>
      </c>
      <c r="G1339">
        <v>1.2993524999999999</v>
      </c>
      <c r="H1339">
        <v>2.62470296</v>
      </c>
      <c r="I1339">
        <v>9.6783300000000006E-3</v>
      </c>
      <c r="J1339">
        <v>1</v>
      </c>
      <c r="K1339">
        <v>950063</v>
      </c>
      <c r="L1339">
        <f t="shared" si="179"/>
        <v>1.2770211346153845E-2</v>
      </c>
      <c r="M1339">
        <f t="shared" si="180"/>
        <v>4.9975096153846155E-3</v>
      </c>
      <c r="N1339">
        <f t="shared" si="181"/>
        <v>1.0095011384615384E-2</v>
      </c>
      <c r="O1339">
        <f t="shared" si="182"/>
        <v>7.5462604999999997E-3</v>
      </c>
      <c r="P1339">
        <f t="shared" si="178"/>
        <v>9.4587539750085128</v>
      </c>
      <c r="R1339">
        <f t="shared" si="184"/>
        <v>-1.0027742080386927E-3</v>
      </c>
    </row>
    <row r="1340" spans="1:18" x14ac:dyDescent="0.2">
      <c r="A1340" t="s">
        <v>1351</v>
      </c>
      <c r="B1340">
        <v>5.5925679199999996</v>
      </c>
      <c r="C1340">
        <v>0.10073889</v>
      </c>
      <c r="D1340">
        <v>5.7307365700000004</v>
      </c>
      <c r="E1340">
        <v>0.73091687000000005</v>
      </c>
      <c r="F1340">
        <v>3.3043504800000001</v>
      </c>
      <c r="G1340">
        <v>1.28426982</v>
      </c>
      <c r="H1340">
        <v>2.5709910599999999</v>
      </c>
      <c r="I1340">
        <v>1.004355E-2</v>
      </c>
      <c r="J1340">
        <v>1</v>
      </c>
      <c r="K1340">
        <v>950063</v>
      </c>
      <c r="L1340">
        <f t="shared" si="179"/>
        <v>1.2709040307692309E-2</v>
      </c>
      <c r="M1340">
        <f t="shared" si="180"/>
        <v>4.9394993076923074E-3</v>
      </c>
      <c r="N1340">
        <f t="shared" si="181"/>
        <v>9.8884271538461528E-3</v>
      </c>
      <c r="O1340">
        <f t="shared" si="182"/>
        <v>7.413963230769231E-3</v>
      </c>
      <c r="P1340">
        <f t="shared" si="178"/>
        <v>5.7006550418100277</v>
      </c>
      <c r="R1340">
        <f t="shared" si="184"/>
        <v>-4.1609452994491607E-4</v>
      </c>
    </row>
    <row r="1341" spans="1:18" x14ac:dyDescent="0.2">
      <c r="A1341" t="s">
        <v>1352</v>
      </c>
      <c r="B1341">
        <v>5.5531178399999996</v>
      </c>
      <c r="C1341">
        <v>5.2415910000000003E-2</v>
      </c>
      <c r="D1341">
        <v>5.6903035800000001</v>
      </c>
      <c r="E1341">
        <v>1.1457615800000001</v>
      </c>
      <c r="F1341">
        <v>3.2837219100000001</v>
      </c>
      <c r="G1341">
        <v>1.2728558999999999</v>
      </c>
      <c r="H1341">
        <v>2.5324743399999998</v>
      </c>
      <c r="I1341">
        <v>1.004355E-2</v>
      </c>
      <c r="J1341">
        <v>1</v>
      </c>
      <c r="K1341">
        <v>950063</v>
      </c>
      <c r="L1341">
        <f t="shared" si="179"/>
        <v>1.2629699653846154E-2</v>
      </c>
      <c r="M1341">
        <f t="shared" si="180"/>
        <v>4.8955996153846153E-3</v>
      </c>
      <c r="N1341">
        <f t="shared" si="181"/>
        <v>9.7402859230769218E-3</v>
      </c>
      <c r="O1341">
        <f t="shared" si="182"/>
        <v>7.3179427692307694E-3</v>
      </c>
      <c r="P1341">
        <f t="shared" si="178"/>
        <v>2.9661337504568563</v>
      </c>
      <c r="R1341">
        <f t="shared" si="184"/>
        <v>-7.8063935360667366E-5</v>
      </c>
    </row>
    <row r="1342" spans="1:18" x14ac:dyDescent="0.2">
      <c r="A1342" t="s">
        <v>1353</v>
      </c>
      <c r="B1342">
        <v>5.5396217600000002</v>
      </c>
      <c r="C1342">
        <v>5.2019820000000001E-2</v>
      </c>
      <c r="D1342">
        <v>5.6805791899999996</v>
      </c>
      <c r="E1342">
        <v>1.20502511</v>
      </c>
      <c r="F1342">
        <v>3.2624634600000002</v>
      </c>
      <c r="G1342">
        <v>1.2695268399999999</v>
      </c>
      <c r="H1342">
        <v>2.5220659200000002</v>
      </c>
      <c r="I1342">
        <v>1.004355E-2</v>
      </c>
      <c r="J1342">
        <v>1</v>
      </c>
      <c r="K1342">
        <v>950063</v>
      </c>
      <c r="L1342">
        <f t="shared" si="179"/>
        <v>1.2547936384615386E-2</v>
      </c>
      <c r="M1342">
        <f t="shared" si="180"/>
        <v>4.882795538461538E-3</v>
      </c>
      <c r="N1342">
        <f t="shared" si="181"/>
        <v>9.7002535384615399E-3</v>
      </c>
      <c r="O1342">
        <f t="shared" si="182"/>
        <v>7.291524538461539E-3</v>
      </c>
      <c r="P1342">
        <f t="shared" si="178"/>
        <v>2.9437196415113385</v>
      </c>
      <c r="R1342">
        <f t="shared" si="184"/>
        <v>1.7765732452856842E-4</v>
      </c>
    </row>
    <row r="1343" spans="1:18" x14ac:dyDescent="0.2">
      <c r="A1343" t="s">
        <v>1354</v>
      </c>
      <c r="B1343">
        <v>5.5577895599999998</v>
      </c>
      <c r="C1343">
        <v>0.10839662999999999</v>
      </c>
      <c r="D1343">
        <v>5.6995161599999999</v>
      </c>
      <c r="E1343">
        <v>1.20502511</v>
      </c>
      <c r="F1343">
        <v>3.24718887</v>
      </c>
      <c r="G1343">
        <v>1.2691192</v>
      </c>
      <c r="H1343">
        <v>2.5428270999999998</v>
      </c>
      <c r="I1343">
        <v>1.004355E-2</v>
      </c>
      <c r="J1343">
        <v>1</v>
      </c>
      <c r="K1343">
        <v>950063</v>
      </c>
      <c r="L1343">
        <f t="shared" si="179"/>
        <v>1.2489187961538462E-2</v>
      </c>
      <c r="M1343">
        <f t="shared" si="180"/>
        <v>4.8812276923076922E-3</v>
      </c>
      <c r="N1343">
        <f t="shared" si="181"/>
        <v>9.7801042307692296E-3</v>
      </c>
      <c r="O1343">
        <f t="shared" si="182"/>
        <v>7.3306659615384609E-3</v>
      </c>
      <c r="P1343">
        <f t="shared" si="178"/>
        <v>6.1339944814233718</v>
      </c>
      <c r="R1343">
        <f t="shared" si="184"/>
        <v>7.8140121779056069E-4</v>
      </c>
    </row>
    <row r="1344" spans="1:18" x14ac:dyDescent="0.2">
      <c r="A1344" t="s">
        <v>1355</v>
      </c>
      <c r="B1344">
        <v>5.5998350400000003</v>
      </c>
      <c r="C1344">
        <v>0.18735056999999999</v>
      </c>
      <c r="D1344">
        <v>5.7399491500000002</v>
      </c>
      <c r="E1344">
        <v>1.0864980500000001</v>
      </c>
      <c r="F1344">
        <v>3.2336464500000002</v>
      </c>
      <c r="G1344">
        <v>1.2757093799999999</v>
      </c>
      <c r="H1344">
        <v>2.58479474</v>
      </c>
      <c r="I1344">
        <v>1.022616E-2</v>
      </c>
      <c r="J1344">
        <v>1</v>
      </c>
      <c r="K1344">
        <v>950064</v>
      </c>
      <c r="L1344">
        <f t="shared" si="179"/>
        <v>1.2437101730769231E-2</v>
      </c>
      <c r="M1344">
        <f t="shared" si="180"/>
        <v>4.9065745384615379E-3</v>
      </c>
      <c r="N1344">
        <f t="shared" si="181"/>
        <v>9.94151823076923E-3</v>
      </c>
      <c r="O1344">
        <f t="shared" si="182"/>
        <v>7.4240463846153848E-3</v>
      </c>
      <c r="P1344">
        <f t="shared" si="178"/>
        <v>10.601873531229922</v>
      </c>
      <c r="Q1344">
        <f t="shared" ref="Q1344" si="187">ABS(0.5*(SUMPRODUCT(O1344:O1362,P1345:P1363)+O1363*P1344-(SUMPRODUCT(O1345:O1363,P1344:P1362)+O1344*P1363)))</f>
        <v>5.1666745357659138E-3</v>
      </c>
      <c r="R1344">
        <f t="shared" si="184"/>
        <v>1.791426008458541E-3</v>
      </c>
    </row>
    <row r="1345" spans="1:19" x14ac:dyDescent="0.2">
      <c r="A1345" t="s">
        <v>1356</v>
      </c>
      <c r="B1345">
        <v>5.6481094799999996</v>
      </c>
      <c r="C1345">
        <v>0.28201608</v>
      </c>
      <c r="D1345">
        <v>5.8023899700000001</v>
      </c>
      <c r="E1345">
        <v>0.84944392999999996</v>
      </c>
      <c r="F1345">
        <v>3.2249856000000001</v>
      </c>
      <c r="G1345">
        <v>1.2896370800000001</v>
      </c>
      <c r="H1345">
        <v>2.6410113399999999</v>
      </c>
      <c r="I1345">
        <v>1.022616E-2</v>
      </c>
      <c r="J1345">
        <v>1</v>
      </c>
      <c r="K1345">
        <v>950064</v>
      </c>
      <c r="L1345">
        <f t="shared" si="179"/>
        <v>1.2403790769230769E-2</v>
      </c>
      <c r="M1345">
        <f t="shared" si="180"/>
        <v>4.9601426153846155E-3</v>
      </c>
      <c r="N1345">
        <f t="shared" si="181"/>
        <v>1.0157735923076923E-2</v>
      </c>
      <c r="O1345">
        <f t="shared" si="182"/>
        <v>7.5589392692307685E-3</v>
      </c>
      <c r="P1345">
        <f t="shared" si="178"/>
        <v>15.958845569208677</v>
      </c>
      <c r="R1345">
        <f t="shared" si="184"/>
        <v>2.8972929600040685E-3</v>
      </c>
    </row>
    <row r="1346" spans="1:19" x14ac:dyDescent="0.2">
      <c r="A1346" t="s">
        <v>1357</v>
      </c>
      <c r="B1346">
        <v>5.7075441400000004</v>
      </c>
      <c r="C1346">
        <v>0.39001661999999998</v>
      </c>
      <c r="D1346">
        <v>5.8745551799999998</v>
      </c>
      <c r="E1346">
        <v>0.67165333999999999</v>
      </c>
      <c r="F1346">
        <v>3.22797753</v>
      </c>
      <c r="G1346">
        <v>1.30519534</v>
      </c>
      <c r="H1346">
        <v>2.7046863800000001</v>
      </c>
      <c r="I1346">
        <v>1.022616E-2</v>
      </c>
      <c r="J1346">
        <v>1</v>
      </c>
      <c r="K1346">
        <v>950064</v>
      </c>
      <c r="L1346">
        <f t="shared" si="179"/>
        <v>1.2415298192307692E-2</v>
      </c>
      <c r="M1346">
        <f t="shared" si="180"/>
        <v>5.0199820769230774E-3</v>
      </c>
      <c r="N1346">
        <f t="shared" si="181"/>
        <v>1.0402639923076924E-2</v>
      </c>
      <c r="O1346">
        <f t="shared" si="182"/>
        <v>7.7113110000000002E-3</v>
      </c>
      <c r="P1346">
        <f t="shared" si="178"/>
        <v>22.07042594168653</v>
      </c>
      <c r="R1346">
        <f t="shared" si="184"/>
        <v>3.7851793877835367E-3</v>
      </c>
      <c r="S1346">
        <f>ABS(SUMIFS($R:$R,$K:$K,K1346))</f>
        <v>5.2087160879524816E-3</v>
      </c>
    </row>
    <row r="1347" spans="1:19" x14ac:dyDescent="0.2">
      <c r="A1347" t="s">
        <v>1358</v>
      </c>
      <c r="B1347">
        <v>5.7685360399999999</v>
      </c>
      <c r="C1347">
        <v>0.52336691999999996</v>
      </c>
      <c r="D1347">
        <v>5.9431377200000002</v>
      </c>
      <c r="E1347">
        <v>0.61238981000000003</v>
      </c>
      <c r="F1347">
        <v>3.2345912700000001</v>
      </c>
      <c r="G1347">
        <v>1.3188512800000001</v>
      </c>
      <c r="H1347">
        <v>2.7671925599999998</v>
      </c>
      <c r="I1347">
        <v>1.022616E-2</v>
      </c>
      <c r="J1347">
        <v>1</v>
      </c>
      <c r="K1347">
        <v>950064</v>
      </c>
      <c r="L1347">
        <f t="shared" si="179"/>
        <v>1.2440735653846154E-2</v>
      </c>
      <c r="M1347">
        <f t="shared" si="180"/>
        <v>5.0725049230769233E-3</v>
      </c>
      <c r="N1347">
        <f t="shared" si="181"/>
        <v>1.0643048307692306E-2</v>
      </c>
      <c r="O1347">
        <f t="shared" si="182"/>
        <v>7.8577766153846151E-3</v>
      </c>
      <c r="P1347">
        <f t="shared" ref="P1347:P1410" si="188">+C1347*4/(PI()*0.15^2)</f>
        <v>29.616509286677523</v>
      </c>
      <c r="R1347">
        <f t="shared" si="184"/>
        <v>4.4085754555260228E-3</v>
      </c>
    </row>
    <row r="1348" spans="1:19" x14ac:dyDescent="0.2">
      <c r="A1348" t="s">
        <v>1359</v>
      </c>
      <c r="B1348">
        <v>5.8303065600000004</v>
      </c>
      <c r="C1348">
        <v>0.70187147999999999</v>
      </c>
      <c r="D1348">
        <v>6.0086494000000004</v>
      </c>
      <c r="E1348">
        <v>0.53337177000000002</v>
      </c>
      <c r="F1348">
        <v>3.2446693500000001</v>
      </c>
      <c r="G1348">
        <v>1.3302651999999999</v>
      </c>
      <c r="H1348">
        <v>2.82190634</v>
      </c>
      <c r="I1348">
        <v>9.8609400000000003E-3</v>
      </c>
      <c r="J1348">
        <v>1</v>
      </c>
      <c r="K1348">
        <v>950064</v>
      </c>
      <c r="L1348">
        <f t="shared" ref="L1348:L1411" si="189">+F1348/260</f>
        <v>1.2479497500000001E-2</v>
      </c>
      <c r="M1348">
        <f t="shared" ref="M1348:M1411" si="190">+G1348/260</f>
        <v>5.1164046153846154E-3</v>
      </c>
      <c r="N1348">
        <f t="shared" ref="N1348:N1411" si="191">+H1348/260</f>
        <v>1.0853485923076923E-2</v>
      </c>
      <c r="O1348">
        <f t="shared" ref="O1348:O1411" si="192">(+G1348+H1348)/520</f>
        <v>7.9849452692307681E-3</v>
      </c>
      <c r="P1348">
        <f t="shared" si="188"/>
        <v>39.717801051457549</v>
      </c>
      <c r="R1348">
        <f t="shared" ref="R1348:R1411" si="193">+(P1348+P1349)/2*(O1349-O1348)</f>
        <v>2.8887500424975617E-3</v>
      </c>
    </row>
    <row r="1349" spans="1:19" x14ac:dyDescent="0.2">
      <c r="A1349" t="s">
        <v>1360</v>
      </c>
      <c r="B1349">
        <v>5.8707947999999996</v>
      </c>
      <c r="C1349">
        <v>0.82677186000000003</v>
      </c>
      <c r="D1349">
        <v>6.0398698099999999</v>
      </c>
      <c r="E1349">
        <v>0.53337177000000002</v>
      </c>
      <c r="F1349">
        <v>3.2605738199999998</v>
      </c>
      <c r="G1349">
        <v>1.3361080400000001</v>
      </c>
      <c r="H1349">
        <v>2.8507938799999999</v>
      </c>
      <c r="I1349">
        <v>9.8609400000000003E-3</v>
      </c>
      <c r="J1349">
        <v>1</v>
      </c>
      <c r="K1349">
        <v>950064</v>
      </c>
      <c r="L1349">
        <f t="shared" si="189"/>
        <v>1.2540668538461537E-2</v>
      </c>
      <c r="M1349">
        <f t="shared" si="190"/>
        <v>5.1388770769230773E-3</v>
      </c>
      <c r="N1349">
        <f t="shared" si="191"/>
        <v>1.0964591846153846E-2</v>
      </c>
      <c r="O1349">
        <f t="shared" si="192"/>
        <v>8.0517344615384616E-3</v>
      </c>
      <c r="P1349">
        <f t="shared" si="188"/>
        <v>46.785716738944167</v>
      </c>
      <c r="R1349">
        <f t="shared" si="193"/>
        <v>9.0993062202965498E-4</v>
      </c>
    </row>
    <row r="1350" spans="1:19" x14ac:dyDescent="0.2">
      <c r="A1350" t="s">
        <v>1361</v>
      </c>
      <c r="B1350">
        <v>5.8809168600000001</v>
      </c>
      <c r="C1350">
        <v>0.85502628000000003</v>
      </c>
      <c r="D1350">
        <v>6.0542004900000004</v>
      </c>
      <c r="E1350">
        <v>0.53337177000000002</v>
      </c>
      <c r="F1350">
        <v>3.2783679299999999</v>
      </c>
      <c r="G1350">
        <v>1.3369233199999999</v>
      </c>
      <c r="H1350">
        <v>2.8599221199999998</v>
      </c>
      <c r="I1350">
        <v>9.8609400000000003E-3</v>
      </c>
      <c r="J1350">
        <v>1</v>
      </c>
      <c r="K1350">
        <v>950064</v>
      </c>
      <c r="L1350">
        <f t="shared" si="189"/>
        <v>1.2609107423076922E-2</v>
      </c>
      <c r="M1350">
        <f t="shared" si="190"/>
        <v>5.142012769230769E-3</v>
      </c>
      <c r="N1350">
        <f t="shared" si="191"/>
        <v>1.0999700461538461E-2</v>
      </c>
      <c r="O1350">
        <f t="shared" si="192"/>
        <v>8.0708566153846143E-3</v>
      </c>
      <c r="P1350">
        <f t="shared" si="188"/>
        <v>48.384589843724434</v>
      </c>
      <c r="R1350">
        <f t="shared" si="193"/>
        <v>3.2620332188914311E-4</v>
      </c>
    </row>
    <row r="1351" spans="1:19" x14ac:dyDescent="0.2">
      <c r="A1351" t="s">
        <v>1362</v>
      </c>
      <c r="B1351">
        <v>5.8816954800000003</v>
      </c>
      <c r="C1351">
        <v>0.85502628000000003</v>
      </c>
      <c r="D1351">
        <v>6.0542004900000004</v>
      </c>
      <c r="E1351">
        <v>0.53337177000000002</v>
      </c>
      <c r="F1351">
        <v>3.2928551700000002</v>
      </c>
      <c r="G1351">
        <v>1.3375347799999999</v>
      </c>
      <c r="H1351">
        <v>2.86281644</v>
      </c>
      <c r="I1351">
        <v>9.6783300000000006E-3</v>
      </c>
      <c r="J1351">
        <v>1</v>
      </c>
      <c r="K1351">
        <v>950064</v>
      </c>
      <c r="L1351">
        <f t="shared" si="189"/>
        <v>1.2664827576923077E-2</v>
      </c>
      <c r="M1351">
        <f t="shared" si="190"/>
        <v>5.1443645384615377E-3</v>
      </c>
      <c r="N1351">
        <f t="shared" si="191"/>
        <v>1.1010832461538462E-2</v>
      </c>
      <c r="O1351">
        <f t="shared" si="192"/>
        <v>8.0775984999999998E-3</v>
      </c>
      <c r="P1351">
        <f t="shared" si="188"/>
        <v>48.384589843724434</v>
      </c>
      <c r="R1351">
        <f t="shared" si="193"/>
        <v>-1.0332267792500533E-4</v>
      </c>
    </row>
    <row r="1352" spans="1:19" x14ac:dyDescent="0.2">
      <c r="A1352" t="s">
        <v>1363</v>
      </c>
      <c r="B1352">
        <v>5.8778023800000003</v>
      </c>
      <c r="C1352">
        <v>0.82241487000000002</v>
      </c>
      <c r="D1352">
        <v>6.0526650599999998</v>
      </c>
      <c r="E1352">
        <v>0.47410824000000001</v>
      </c>
      <c r="F1352">
        <v>3.3038780700000001</v>
      </c>
      <c r="G1352">
        <v>1.3377386</v>
      </c>
      <c r="H1352">
        <v>2.8614806000000002</v>
      </c>
      <c r="I1352">
        <v>9.8609400000000003E-3</v>
      </c>
      <c r="J1352">
        <v>1</v>
      </c>
      <c r="K1352">
        <v>950064</v>
      </c>
      <c r="L1352">
        <f t="shared" si="189"/>
        <v>1.2707223346153847E-2</v>
      </c>
      <c r="M1352">
        <f t="shared" si="190"/>
        <v>5.1451484615384615E-3</v>
      </c>
      <c r="N1352">
        <f t="shared" si="191"/>
        <v>1.1005694615384616E-2</v>
      </c>
      <c r="O1352">
        <f t="shared" si="192"/>
        <v>8.0754215384615385E-3</v>
      </c>
      <c r="P1352">
        <f t="shared" si="188"/>
        <v>46.539161540543468</v>
      </c>
      <c r="R1352">
        <f t="shared" si="193"/>
        <v>-1.048006998441E-3</v>
      </c>
    </row>
    <row r="1353" spans="1:19" x14ac:dyDescent="0.2">
      <c r="A1353" t="s">
        <v>1364</v>
      </c>
      <c r="B1353">
        <v>5.8635276799999998</v>
      </c>
      <c r="C1353">
        <v>0.70873704000000004</v>
      </c>
      <c r="D1353">
        <v>6.0337280900000003</v>
      </c>
      <c r="E1353">
        <v>0.47410824000000001</v>
      </c>
      <c r="F1353">
        <v>3.3186802499999999</v>
      </c>
      <c r="G1353">
        <v>1.3377386</v>
      </c>
      <c r="H1353">
        <v>2.8489014400000001</v>
      </c>
      <c r="I1353">
        <v>1.004355E-2</v>
      </c>
      <c r="J1353">
        <v>1</v>
      </c>
      <c r="K1353">
        <v>950064</v>
      </c>
      <c r="L1353">
        <f t="shared" si="189"/>
        <v>1.2764154807692307E-2</v>
      </c>
      <c r="M1353">
        <f t="shared" si="190"/>
        <v>5.1451484615384615E-3</v>
      </c>
      <c r="N1353">
        <f t="shared" si="191"/>
        <v>1.0957313230769232E-2</v>
      </c>
      <c r="O1353">
        <f t="shared" si="192"/>
        <v>8.0512308461538461E-3</v>
      </c>
      <c r="P1353">
        <f t="shared" si="188"/>
        <v>40.10631227317986</v>
      </c>
      <c r="R1353">
        <f t="shared" si="193"/>
        <v>-1.1365471633210424E-3</v>
      </c>
    </row>
    <row r="1354" spans="1:19" x14ac:dyDescent="0.2">
      <c r="A1354" t="s">
        <v>1365</v>
      </c>
      <c r="B1354">
        <v>5.8414667800000002</v>
      </c>
      <c r="C1354">
        <v>0.60958250999999997</v>
      </c>
      <c r="D1354">
        <v>6.0147911199999999</v>
      </c>
      <c r="E1354">
        <v>0.47410824000000001</v>
      </c>
      <c r="F1354">
        <v>3.3282859199999999</v>
      </c>
      <c r="G1354">
        <v>1.3375347799999999</v>
      </c>
      <c r="H1354">
        <v>2.8332609799999999</v>
      </c>
      <c r="I1354">
        <v>9.8609400000000003E-3</v>
      </c>
      <c r="J1354">
        <v>1</v>
      </c>
      <c r="K1354">
        <v>950064</v>
      </c>
      <c r="L1354">
        <f t="shared" si="189"/>
        <v>1.2801099692307692E-2</v>
      </c>
      <c r="M1354">
        <f t="shared" si="190"/>
        <v>5.1443645384615377E-3</v>
      </c>
      <c r="N1354">
        <f t="shared" si="191"/>
        <v>1.0897157615384616E-2</v>
      </c>
      <c r="O1354">
        <f t="shared" si="192"/>
        <v>8.0207610769230768E-3</v>
      </c>
      <c r="P1354">
        <f t="shared" si="188"/>
        <v>34.495313667151898</v>
      </c>
      <c r="R1354">
        <f t="shared" si="193"/>
        <v>-1.2899010939484727E-3</v>
      </c>
    </row>
    <row r="1355" spans="1:19" x14ac:dyDescent="0.2">
      <c r="A1355" t="s">
        <v>1366</v>
      </c>
      <c r="B1355">
        <v>5.8240775999999999</v>
      </c>
      <c r="C1355">
        <v>0.52019820000000005</v>
      </c>
      <c r="D1355">
        <v>5.9917596700000004</v>
      </c>
      <c r="E1355">
        <v>0.47410824000000001</v>
      </c>
      <c r="F1355">
        <v>3.3331674900000001</v>
      </c>
      <c r="G1355">
        <v>1.3369233199999999</v>
      </c>
      <c r="H1355">
        <v>2.8128894199999999</v>
      </c>
      <c r="I1355">
        <v>9.8609400000000003E-3</v>
      </c>
      <c r="J1355">
        <v>1</v>
      </c>
      <c r="K1355">
        <v>950064</v>
      </c>
      <c r="L1355">
        <f t="shared" si="189"/>
        <v>1.2819874961538462E-2</v>
      </c>
      <c r="M1355">
        <f t="shared" si="190"/>
        <v>5.142012769230769E-3</v>
      </c>
      <c r="N1355">
        <f t="shared" si="191"/>
        <v>1.0818805461538461E-2</v>
      </c>
      <c r="O1355">
        <f t="shared" si="192"/>
        <v>7.9804091153846141E-3</v>
      </c>
      <c r="P1355">
        <f t="shared" si="188"/>
        <v>29.437196415113387</v>
      </c>
      <c r="R1355">
        <f t="shared" si="193"/>
        <v>-1.922506876668153E-3</v>
      </c>
    </row>
    <row r="1356" spans="1:19" x14ac:dyDescent="0.2">
      <c r="A1356" t="s">
        <v>1367</v>
      </c>
      <c r="B1356">
        <v>5.7905969400000004</v>
      </c>
      <c r="C1356">
        <v>0.42143976</v>
      </c>
      <c r="D1356">
        <v>5.9477440100000001</v>
      </c>
      <c r="E1356">
        <v>0.47410824000000001</v>
      </c>
      <c r="F1356">
        <v>3.3374191799999999</v>
      </c>
      <c r="G1356">
        <v>1.33318662</v>
      </c>
      <c r="H1356">
        <v>2.7791038000000001</v>
      </c>
      <c r="I1356">
        <v>9.8609400000000003E-3</v>
      </c>
      <c r="J1356">
        <v>1</v>
      </c>
      <c r="K1356">
        <v>950064</v>
      </c>
      <c r="L1356">
        <f t="shared" si="189"/>
        <v>1.2836227615384615E-2</v>
      </c>
      <c r="M1356">
        <f t="shared" si="190"/>
        <v>5.1276408461538459E-3</v>
      </c>
      <c r="N1356">
        <f t="shared" si="191"/>
        <v>1.0688860769230769E-2</v>
      </c>
      <c r="O1356">
        <f t="shared" si="192"/>
        <v>7.9082508076923075E-3</v>
      </c>
      <c r="P1356">
        <f t="shared" si="188"/>
        <v>23.848611918030944</v>
      </c>
      <c r="R1356">
        <f t="shared" si="193"/>
        <v>-2.2107821358001399E-3</v>
      </c>
    </row>
    <row r="1357" spans="1:19" x14ac:dyDescent="0.2">
      <c r="A1357" t="s">
        <v>1368</v>
      </c>
      <c r="B1357">
        <v>5.7511468600000004</v>
      </c>
      <c r="C1357">
        <v>0.32756643000000002</v>
      </c>
      <c r="D1357">
        <v>5.9011693000000003</v>
      </c>
      <c r="E1357">
        <v>0.41484471000000001</v>
      </c>
      <c r="F1357">
        <v>3.3389938799999999</v>
      </c>
      <c r="G1357">
        <v>1.32530558</v>
      </c>
      <c r="H1357">
        <v>2.7327390199999999</v>
      </c>
      <c r="I1357">
        <v>9.8609400000000003E-3</v>
      </c>
      <c r="J1357">
        <v>1</v>
      </c>
      <c r="K1357">
        <v>950064</v>
      </c>
      <c r="L1357">
        <f t="shared" si="189"/>
        <v>1.2842284153846154E-2</v>
      </c>
      <c r="M1357">
        <f t="shared" si="190"/>
        <v>5.097329153846154E-3</v>
      </c>
      <c r="N1357">
        <f t="shared" si="191"/>
        <v>1.0510534692307692E-2</v>
      </c>
      <c r="O1357">
        <f t="shared" si="192"/>
        <v>7.8039319230769223E-3</v>
      </c>
      <c r="P1357">
        <f t="shared" si="188"/>
        <v>18.536468097943224</v>
      </c>
      <c r="R1357">
        <f t="shared" si="193"/>
        <v>-2.0084161539010831E-3</v>
      </c>
    </row>
    <row r="1358" spans="1:19" x14ac:dyDescent="0.2">
      <c r="A1358" t="s">
        <v>1369</v>
      </c>
      <c r="B1358">
        <v>5.7013151799999999</v>
      </c>
      <c r="C1358">
        <v>0.24491565000000001</v>
      </c>
      <c r="D1358">
        <v>5.8464056299999996</v>
      </c>
      <c r="E1358">
        <v>0.41484471000000001</v>
      </c>
      <c r="F1358">
        <v>3.3308054399999998</v>
      </c>
      <c r="G1358">
        <v>1.31348402</v>
      </c>
      <c r="H1358">
        <v>2.6800846599999999</v>
      </c>
      <c r="I1358">
        <v>9.8609400000000003E-3</v>
      </c>
      <c r="J1358">
        <v>1</v>
      </c>
      <c r="K1358">
        <v>950064</v>
      </c>
      <c r="L1358">
        <f t="shared" si="189"/>
        <v>1.2810790153846154E-2</v>
      </c>
      <c r="M1358">
        <f t="shared" si="190"/>
        <v>5.0518616153846152E-3</v>
      </c>
      <c r="N1358">
        <f t="shared" si="191"/>
        <v>1.0308017923076923E-2</v>
      </c>
      <c r="O1358">
        <f t="shared" si="192"/>
        <v>7.6799397692307696E-3</v>
      </c>
      <c r="P1358">
        <f t="shared" si="188"/>
        <v>13.85939069797851</v>
      </c>
      <c r="R1358">
        <f t="shared" si="193"/>
        <v>-1.5523023959561194E-3</v>
      </c>
    </row>
    <row r="1359" spans="1:19" x14ac:dyDescent="0.2">
      <c r="A1359" t="s">
        <v>1370</v>
      </c>
      <c r="B1359">
        <v>5.6449949999999998</v>
      </c>
      <c r="C1359">
        <v>0.16847028</v>
      </c>
      <c r="D1359">
        <v>5.7885711000000004</v>
      </c>
      <c r="E1359">
        <v>0.41484471000000001</v>
      </c>
      <c r="F1359">
        <v>3.3191526599999999</v>
      </c>
      <c r="G1359">
        <v>1.2993524999999999</v>
      </c>
      <c r="H1359">
        <v>2.6252038999999998</v>
      </c>
      <c r="I1359">
        <v>9.8609400000000003E-3</v>
      </c>
      <c r="J1359">
        <v>1</v>
      </c>
      <c r="K1359">
        <v>950064</v>
      </c>
      <c r="L1359">
        <f t="shared" si="189"/>
        <v>1.2765971769230769E-2</v>
      </c>
      <c r="M1359">
        <f t="shared" si="190"/>
        <v>4.9975096153846155E-3</v>
      </c>
      <c r="N1359">
        <f t="shared" si="191"/>
        <v>1.0096938076923077E-2</v>
      </c>
      <c r="O1359">
        <f t="shared" si="192"/>
        <v>7.5472238461538454E-3</v>
      </c>
      <c r="P1359">
        <f t="shared" si="188"/>
        <v>9.5334676714935718</v>
      </c>
      <c r="R1359">
        <f t="shared" si="193"/>
        <v>-1.0128269509871749E-3</v>
      </c>
    </row>
    <row r="1360" spans="1:19" x14ac:dyDescent="0.2">
      <c r="A1360" t="s">
        <v>1371</v>
      </c>
      <c r="B1360">
        <v>5.5951633200000002</v>
      </c>
      <c r="C1360">
        <v>0.10232325</v>
      </c>
      <c r="D1360">
        <v>5.7307365700000004</v>
      </c>
      <c r="E1360">
        <v>0.79018040000000001</v>
      </c>
      <c r="F1360">
        <v>3.3048228900000001</v>
      </c>
      <c r="G1360">
        <v>1.28426982</v>
      </c>
      <c r="H1360">
        <v>2.5715476599999998</v>
      </c>
      <c r="I1360">
        <v>1.004355E-2</v>
      </c>
      <c r="J1360">
        <v>1</v>
      </c>
      <c r="K1360">
        <v>950064</v>
      </c>
      <c r="L1360">
        <f t="shared" si="189"/>
        <v>1.2710857269230769E-2</v>
      </c>
      <c r="M1360">
        <f t="shared" si="190"/>
        <v>4.9394993076923074E-3</v>
      </c>
      <c r="N1360">
        <f t="shared" si="191"/>
        <v>9.8905679230769216E-3</v>
      </c>
      <c r="O1360">
        <f t="shared" si="192"/>
        <v>7.4150336153846154E-3</v>
      </c>
      <c r="P1360">
        <f t="shared" si="188"/>
        <v>5.7903114775920992</v>
      </c>
      <c r="R1360">
        <f t="shared" si="193"/>
        <v>-4.2135409946094808E-4</v>
      </c>
    </row>
    <row r="1361" spans="1:19" x14ac:dyDescent="0.2">
      <c r="A1361" t="s">
        <v>1372</v>
      </c>
      <c r="B1361">
        <v>5.5515606000000002</v>
      </c>
      <c r="C1361">
        <v>5.4396359999999998E-2</v>
      </c>
      <c r="D1361">
        <v>5.6903035800000001</v>
      </c>
      <c r="E1361">
        <v>1.0272345199999999</v>
      </c>
      <c r="F1361">
        <v>3.28561155</v>
      </c>
      <c r="G1361">
        <v>1.2732635400000001</v>
      </c>
      <c r="H1361">
        <v>2.53314226</v>
      </c>
      <c r="I1361">
        <v>9.8609400000000003E-3</v>
      </c>
      <c r="J1361">
        <v>1</v>
      </c>
      <c r="K1361">
        <v>950064</v>
      </c>
      <c r="L1361">
        <f t="shared" si="189"/>
        <v>1.26369675E-2</v>
      </c>
      <c r="M1361">
        <f t="shared" si="190"/>
        <v>4.897167461538462E-3</v>
      </c>
      <c r="N1361">
        <f t="shared" si="191"/>
        <v>9.7428548461538454E-3</v>
      </c>
      <c r="O1361">
        <f t="shared" si="192"/>
        <v>7.3200111538461541E-3</v>
      </c>
      <c r="P1361">
        <f t="shared" si="188"/>
        <v>3.0782042951844448</v>
      </c>
      <c r="R1361">
        <f t="shared" si="193"/>
        <v>-8.4065782290318599E-5</v>
      </c>
    </row>
    <row r="1362" spans="1:19" x14ac:dyDescent="0.2">
      <c r="A1362" t="s">
        <v>1373</v>
      </c>
      <c r="B1362">
        <v>5.5380645199999998</v>
      </c>
      <c r="C1362">
        <v>5.1227639999999998E-2</v>
      </c>
      <c r="D1362">
        <v>5.6775083300000002</v>
      </c>
      <c r="E1362">
        <v>1.1457615800000001</v>
      </c>
      <c r="F1362">
        <v>3.2634082800000002</v>
      </c>
      <c r="G1362">
        <v>1.2693230200000001</v>
      </c>
      <c r="H1362">
        <v>2.5224555400000002</v>
      </c>
      <c r="I1362">
        <v>9.8609400000000003E-3</v>
      </c>
      <c r="J1362">
        <v>1</v>
      </c>
      <c r="K1362">
        <v>950064</v>
      </c>
      <c r="L1362">
        <f t="shared" si="189"/>
        <v>1.2551570307692309E-2</v>
      </c>
      <c r="M1362">
        <f t="shared" si="190"/>
        <v>4.882011615384616E-3</v>
      </c>
      <c r="N1362">
        <f t="shared" si="191"/>
        <v>9.7017520769230783E-3</v>
      </c>
      <c r="O1362">
        <f t="shared" si="192"/>
        <v>7.2918818461538458E-3</v>
      </c>
      <c r="P1362">
        <f t="shared" si="188"/>
        <v>2.8988914236203027</v>
      </c>
      <c r="R1362">
        <f t="shared" si="193"/>
        <v>1.792630079304699E-4</v>
      </c>
    </row>
    <row r="1363" spans="1:19" x14ac:dyDescent="0.2">
      <c r="A1363" t="s">
        <v>1374</v>
      </c>
      <c r="B1363">
        <v>5.5554537000000002</v>
      </c>
      <c r="C1363">
        <v>0.10760445</v>
      </c>
      <c r="D1363">
        <v>5.7025870200000002</v>
      </c>
      <c r="E1363">
        <v>1.1457615800000001</v>
      </c>
      <c r="F1363">
        <v>3.24718887</v>
      </c>
      <c r="G1363">
        <v>1.2695268399999999</v>
      </c>
      <c r="H1363">
        <v>2.5429940800000002</v>
      </c>
      <c r="I1363">
        <v>9.8609400000000003E-3</v>
      </c>
      <c r="J1363">
        <v>1</v>
      </c>
      <c r="K1363">
        <v>950064</v>
      </c>
      <c r="L1363">
        <f t="shared" si="189"/>
        <v>1.2489187961538462E-2</v>
      </c>
      <c r="M1363">
        <f t="shared" si="190"/>
        <v>4.882795538461538E-3</v>
      </c>
      <c r="N1363">
        <f t="shared" si="191"/>
        <v>9.7807464615384618E-3</v>
      </c>
      <c r="O1363">
        <f t="shared" si="192"/>
        <v>7.3317709999999999E-3</v>
      </c>
      <c r="P1363">
        <f t="shared" si="188"/>
        <v>6.0891662635323369</v>
      </c>
      <c r="R1363">
        <f t="shared" si="193"/>
        <v>8.1212761053293849E-4</v>
      </c>
    </row>
    <row r="1364" spans="1:19" x14ac:dyDescent="0.2">
      <c r="A1364" t="s">
        <v>1375</v>
      </c>
      <c r="B1364">
        <v>5.5990564200000001</v>
      </c>
      <c r="C1364">
        <v>0.18893493</v>
      </c>
      <c r="D1364">
        <v>5.7476263000000003</v>
      </c>
      <c r="E1364">
        <v>1.0864980500000001</v>
      </c>
      <c r="F1364">
        <v>3.23663838</v>
      </c>
      <c r="G1364">
        <v>1.27638878</v>
      </c>
      <c r="H1364">
        <v>2.5864645400000001</v>
      </c>
      <c r="I1364">
        <v>9.8609400000000003E-3</v>
      </c>
      <c r="J1364">
        <v>1</v>
      </c>
      <c r="K1364">
        <v>950065</v>
      </c>
      <c r="L1364">
        <f t="shared" si="189"/>
        <v>1.2448609153846154E-2</v>
      </c>
      <c r="M1364">
        <f t="shared" si="190"/>
        <v>4.9091876153846154E-3</v>
      </c>
      <c r="N1364">
        <f t="shared" si="191"/>
        <v>9.9479405384615398E-3</v>
      </c>
      <c r="O1364">
        <f t="shared" si="192"/>
        <v>7.4285640769230776E-3</v>
      </c>
      <c r="P1364">
        <f t="shared" si="188"/>
        <v>10.691529967011993</v>
      </c>
      <c r="Q1364">
        <f t="shared" ref="Q1364" si="194">ABS(0.5*(SUMPRODUCT(O1364:O1382,P1365:P1383)+O1383*P1364-(SUMPRODUCT(O1365:O1383,P1364:P1382)+O1364*P1383)))</f>
        <v>5.2017004487201479E-3</v>
      </c>
      <c r="R1364">
        <f t="shared" si="193"/>
        <v>1.7869987977978904E-3</v>
      </c>
    </row>
    <row r="1365" spans="1:19" x14ac:dyDescent="0.2">
      <c r="A1365" t="s">
        <v>1376</v>
      </c>
      <c r="B1365">
        <v>5.6457736199999999</v>
      </c>
      <c r="C1365">
        <v>0.28360044000000001</v>
      </c>
      <c r="D1365">
        <v>5.8039253999999998</v>
      </c>
      <c r="E1365">
        <v>0.79018040000000001</v>
      </c>
      <c r="F1365">
        <v>3.22797753</v>
      </c>
      <c r="G1365">
        <v>1.2898409</v>
      </c>
      <c r="H1365">
        <v>2.6425141600000002</v>
      </c>
      <c r="I1365">
        <v>9.8609400000000003E-3</v>
      </c>
      <c r="J1365">
        <v>1</v>
      </c>
      <c r="K1365">
        <v>950065</v>
      </c>
      <c r="L1365">
        <f t="shared" si="189"/>
        <v>1.2415298192307692E-2</v>
      </c>
      <c r="M1365">
        <f t="shared" si="190"/>
        <v>4.9609265384615384E-3</v>
      </c>
      <c r="N1365">
        <f t="shared" si="191"/>
        <v>1.0163516000000001E-2</v>
      </c>
      <c r="O1365">
        <f t="shared" si="192"/>
        <v>7.5622212692307688E-3</v>
      </c>
      <c r="P1365">
        <f t="shared" si="188"/>
        <v>16.048502004990748</v>
      </c>
      <c r="R1365">
        <f t="shared" si="193"/>
        <v>2.915958886822786E-3</v>
      </c>
    </row>
    <row r="1366" spans="1:19" x14ac:dyDescent="0.2">
      <c r="A1366" t="s">
        <v>1377</v>
      </c>
      <c r="B1366">
        <v>5.7052082799999999</v>
      </c>
      <c r="C1366">
        <v>0.39371346000000002</v>
      </c>
      <c r="D1366">
        <v>5.8679016500000003</v>
      </c>
      <c r="E1366">
        <v>0.61238981000000003</v>
      </c>
      <c r="F1366">
        <v>3.22797753</v>
      </c>
      <c r="G1366">
        <v>1.3053991599999999</v>
      </c>
      <c r="H1366">
        <v>2.70607788</v>
      </c>
      <c r="I1366">
        <v>9.6783300000000006E-3</v>
      </c>
      <c r="J1366">
        <v>1</v>
      </c>
      <c r="K1366">
        <v>950065</v>
      </c>
      <c r="L1366">
        <f t="shared" si="189"/>
        <v>1.2415298192307692E-2</v>
      </c>
      <c r="M1366">
        <f t="shared" si="190"/>
        <v>5.0207659999999994E-3</v>
      </c>
      <c r="N1366">
        <f t="shared" si="191"/>
        <v>1.0407991846153847E-2</v>
      </c>
      <c r="O1366">
        <f t="shared" si="192"/>
        <v>7.7143789230769231E-3</v>
      </c>
      <c r="P1366">
        <f t="shared" si="188"/>
        <v>22.279624291844698</v>
      </c>
      <c r="R1366">
        <f t="shared" si="193"/>
        <v>3.8193077261646198E-3</v>
      </c>
    </row>
    <row r="1367" spans="1:19" x14ac:dyDescent="0.2">
      <c r="A1367" t="s">
        <v>1378</v>
      </c>
      <c r="B1367">
        <v>5.7685360399999999</v>
      </c>
      <c r="C1367">
        <v>0.52745984999999995</v>
      </c>
      <c r="D1367">
        <v>5.9416022899999996</v>
      </c>
      <c r="E1367">
        <v>0.53337177000000002</v>
      </c>
      <c r="F1367">
        <v>3.23663838</v>
      </c>
      <c r="G1367">
        <v>1.31925892</v>
      </c>
      <c r="H1367">
        <v>2.7684170799999999</v>
      </c>
      <c r="I1367">
        <v>9.4957199999999992E-3</v>
      </c>
      <c r="J1367">
        <v>1</v>
      </c>
      <c r="K1367">
        <v>950065</v>
      </c>
      <c r="L1367">
        <f t="shared" si="189"/>
        <v>1.2448609153846154E-2</v>
      </c>
      <c r="M1367">
        <f t="shared" si="190"/>
        <v>5.0740727692307691E-3</v>
      </c>
      <c r="N1367">
        <f t="shared" si="191"/>
        <v>1.0647758E-2</v>
      </c>
      <c r="O1367">
        <f t="shared" si="192"/>
        <v>7.8609153846153842E-3</v>
      </c>
      <c r="P1367">
        <f t="shared" si="188"/>
        <v>29.848121745781206</v>
      </c>
      <c r="R1367">
        <f t="shared" si="193"/>
        <v>4.4122402738344989E-3</v>
      </c>
      <c r="S1367">
        <f>ABS(SUMIFS($R:$R,$K:$K,K1367))</f>
        <v>5.1611960548316451E-3</v>
      </c>
    </row>
    <row r="1368" spans="1:19" x14ac:dyDescent="0.2">
      <c r="A1368" t="s">
        <v>1379</v>
      </c>
      <c r="B1368">
        <v>5.83264242</v>
      </c>
      <c r="C1368">
        <v>0.70675659000000002</v>
      </c>
      <c r="D1368">
        <v>6.0071139699999998</v>
      </c>
      <c r="E1368">
        <v>0.53337177000000002</v>
      </c>
      <c r="F1368">
        <v>3.24718887</v>
      </c>
      <c r="G1368">
        <v>1.33046902</v>
      </c>
      <c r="H1368">
        <v>2.82290822</v>
      </c>
      <c r="I1368">
        <v>9.3131099999999994E-3</v>
      </c>
      <c r="J1368">
        <v>1</v>
      </c>
      <c r="K1368">
        <v>950065</v>
      </c>
      <c r="L1368">
        <f t="shared" si="189"/>
        <v>1.2489187961538462E-2</v>
      </c>
      <c r="M1368">
        <f t="shared" si="190"/>
        <v>5.1171885384615383E-3</v>
      </c>
      <c r="N1368">
        <f t="shared" si="191"/>
        <v>1.0857339307692308E-2</v>
      </c>
      <c r="O1368">
        <f t="shared" si="192"/>
        <v>7.9872639230769236E-3</v>
      </c>
      <c r="P1368">
        <f t="shared" si="188"/>
        <v>39.994241728452266</v>
      </c>
      <c r="R1368">
        <f t="shared" si="193"/>
        <v>2.8677817930062824E-3</v>
      </c>
    </row>
    <row r="1369" spans="1:19" x14ac:dyDescent="0.2">
      <c r="A1369" t="s">
        <v>1380</v>
      </c>
      <c r="B1369">
        <v>5.8715734199999998</v>
      </c>
      <c r="C1369">
        <v>0.82716794999999999</v>
      </c>
      <c r="D1369">
        <v>6.0398698099999999</v>
      </c>
      <c r="E1369">
        <v>0.53337177000000002</v>
      </c>
      <c r="F1369">
        <v>3.2601014099999999</v>
      </c>
      <c r="G1369">
        <v>1.3361080400000001</v>
      </c>
      <c r="H1369">
        <v>2.85162878</v>
      </c>
      <c r="I1369">
        <v>9.4957199999999992E-3</v>
      </c>
      <c r="J1369">
        <v>1</v>
      </c>
      <c r="K1369">
        <v>950065</v>
      </c>
      <c r="L1369">
        <f t="shared" si="189"/>
        <v>1.2538851576923077E-2</v>
      </c>
      <c r="M1369">
        <f t="shared" si="190"/>
        <v>5.1388770769230773E-3</v>
      </c>
      <c r="N1369">
        <f t="shared" si="191"/>
        <v>1.0967803E-2</v>
      </c>
      <c r="O1369">
        <f t="shared" si="192"/>
        <v>8.0533400384615369E-3</v>
      </c>
      <c r="P1369">
        <f t="shared" si="188"/>
        <v>46.808130847889679</v>
      </c>
      <c r="R1369">
        <f t="shared" si="193"/>
        <v>8.6918308922680145E-4</v>
      </c>
    </row>
    <row r="1370" spans="1:19" x14ac:dyDescent="0.2">
      <c r="A1370" t="s">
        <v>1381</v>
      </c>
      <c r="B1370">
        <v>5.8809168600000001</v>
      </c>
      <c r="C1370">
        <v>0.85463018999999996</v>
      </c>
      <c r="D1370">
        <v>6.0490823899999997</v>
      </c>
      <c r="E1370">
        <v>0.53337177000000002</v>
      </c>
      <c r="F1370">
        <v>3.2769507</v>
      </c>
      <c r="G1370">
        <v>1.3369233199999999</v>
      </c>
      <c r="H1370">
        <v>2.8603117400000002</v>
      </c>
      <c r="I1370">
        <v>9.4957199999999992E-3</v>
      </c>
      <c r="J1370">
        <v>1</v>
      </c>
      <c r="K1370">
        <v>950065</v>
      </c>
      <c r="L1370">
        <f t="shared" si="189"/>
        <v>1.2603656538461539E-2</v>
      </c>
      <c r="M1370">
        <f t="shared" si="190"/>
        <v>5.142012769230769E-3</v>
      </c>
      <c r="N1370">
        <f t="shared" si="191"/>
        <v>1.1001199000000001E-2</v>
      </c>
      <c r="O1370">
        <f t="shared" si="192"/>
        <v>8.0716058846153852E-3</v>
      </c>
      <c r="P1370">
        <f t="shared" si="188"/>
        <v>48.362175734778916</v>
      </c>
      <c r="R1370">
        <f t="shared" si="193"/>
        <v>2.3985569753099762E-4</v>
      </c>
    </row>
    <row r="1371" spans="1:19" x14ac:dyDescent="0.2">
      <c r="A1371" t="s">
        <v>1382</v>
      </c>
      <c r="B1371">
        <v>5.8816954800000003</v>
      </c>
      <c r="C1371">
        <v>0.85502628000000003</v>
      </c>
      <c r="D1371">
        <v>6.0542004900000004</v>
      </c>
      <c r="E1371">
        <v>0.53337177000000002</v>
      </c>
      <c r="F1371">
        <v>3.2937999900000001</v>
      </c>
      <c r="G1371">
        <v>1.3373309600000001</v>
      </c>
      <c r="H1371">
        <v>2.8624824800000002</v>
      </c>
      <c r="I1371">
        <v>9.6783300000000006E-3</v>
      </c>
      <c r="J1371">
        <v>1</v>
      </c>
      <c r="K1371">
        <v>950065</v>
      </c>
      <c r="L1371">
        <f t="shared" si="189"/>
        <v>1.26684615E-2</v>
      </c>
      <c r="M1371">
        <f t="shared" si="190"/>
        <v>5.1435806153846157E-3</v>
      </c>
      <c r="N1371">
        <f t="shared" si="191"/>
        <v>1.1009548000000001E-2</v>
      </c>
      <c r="O1371">
        <f t="shared" si="192"/>
        <v>8.076564307692307E-3</v>
      </c>
      <c r="P1371">
        <f t="shared" si="188"/>
        <v>48.384589843724434</v>
      </c>
      <c r="R1371">
        <f t="shared" si="193"/>
        <v>-1.1481102817185716E-4</v>
      </c>
    </row>
    <row r="1372" spans="1:19" x14ac:dyDescent="0.2">
      <c r="A1372" t="s">
        <v>1383</v>
      </c>
      <c r="B1372">
        <v>5.88013824</v>
      </c>
      <c r="C1372">
        <v>0.81673757999999996</v>
      </c>
      <c r="D1372">
        <v>6.0511296300000001</v>
      </c>
      <c r="E1372">
        <v>0.53337177000000002</v>
      </c>
      <c r="F1372">
        <v>3.3052953</v>
      </c>
      <c r="G1372">
        <v>1.3377386</v>
      </c>
      <c r="H1372">
        <v>2.86081268</v>
      </c>
      <c r="I1372">
        <v>9.4957199999999992E-3</v>
      </c>
      <c r="J1372">
        <v>1</v>
      </c>
      <c r="K1372">
        <v>950065</v>
      </c>
      <c r="L1372">
        <f t="shared" si="189"/>
        <v>1.271267423076923E-2</v>
      </c>
      <c r="M1372">
        <f t="shared" si="190"/>
        <v>5.1451484615384615E-3</v>
      </c>
      <c r="N1372">
        <f t="shared" si="191"/>
        <v>1.1003125692307693E-2</v>
      </c>
      <c r="O1372">
        <f t="shared" si="192"/>
        <v>8.0741370769230776E-3</v>
      </c>
      <c r="P1372">
        <f t="shared" si="188"/>
        <v>46.217892645657713</v>
      </c>
      <c r="R1372">
        <f t="shared" si="193"/>
        <v>-1.013410142251124E-3</v>
      </c>
    </row>
    <row r="1373" spans="1:19" x14ac:dyDescent="0.2">
      <c r="A1373" t="s">
        <v>1384</v>
      </c>
      <c r="B1373">
        <v>5.8635276799999998</v>
      </c>
      <c r="C1373">
        <v>0.70424801999999997</v>
      </c>
      <c r="D1373">
        <v>6.0367989499999997</v>
      </c>
      <c r="E1373">
        <v>0.47410824000000001</v>
      </c>
      <c r="F1373">
        <v>3.31726302</v>
      </c>
      <c r="G1373">
        <v>1.3377386</v>
      </c>
      <c r="H1373">
        <v>2.8485674799999998</v>
      </c>
      <c r="I1373">
        <v>9.4957199999999992E-3</v>
      </c>
      <c r="J1373">
        <v>1</v>
      </c>
      <c r="K1373">
        <v>950065</v>
      </c>
      <c r="L1373">
        <f t="shared" si="189"/>
        <v>1.2758703923076924E-2</v>
      </c>
      <c r="M1373">
        <f t="shared" si="190"/>
        <v>5.1451484615384615E-3</v>
      </c>
      <c r="N1373">
        <f t="shared" si="191"/>
        <v>1.0956028769230769E-2</v>
      </c>
      <c r="O1373">
        <f t="shared" si="192"/>
        <v>8.0505886153846139E-3</v>
      </c>
      <c r="P1373">
        <f t="shared" si="188"/>
        <v>39.852285705130654</v>
      </c>
      <c r="R1373">
        <f t="shared" si="193"/>
        <v>-1.0205756685093199E-3</v>
      </c>
    </row>
    <row r="1374" spans="1:19" x14ac:dyDescent="0.2">
      <c r="A1374" t="s">
        <v>1385</v>
      </c>
      <c r="B1374">
        <v>5.8461385000000003</v>
      </c>
      <c r="C1374">
        <v>0.61209108000000001</v>
      </c>
      <c r="D1374">
        <v>6.0178619800000002</v>
      </c>
      <c r="E1374">
        <v>0.47410824000000001</v>
      </c>
      <c r="F1374">
        <v>3.3278135099999999</v>
      </c>
      <c r="G1374">
        <v>1.3377386</v>
      </c>
      <c r="H1374">
        <v>2.8343185200000001</v>
      </c>
      <c r="I1374">
        <v>9.4957199999999992E-3</v>
      </c>
      <c r="J1374">
        <v>1</v>
      </c>
      <c r="K1374">
        <v>950065</v>
      </c>
      <c r="L1374">
        <f t="shared" si="189"/>
        <v>1.279928273076923E-2</v>
      </c>
      <c r="M1374">
        <f t="shared" si="190"/>
        <v>5.1451484615384615E-3</v>
      </c>
      <c r="N1374">
        <f t="shared" si="191"/>
        <v>1.0901225076923078E-2</v>
      </c>
      <c r="O1374">
        <f t="shared" si="192"/>
        <v>8.0231867692307692E-3</v>
      </c>
      <c r="P1374">
        <f t="shared" si="188"/>
        <v>34.637269690473516</v>
      </c>
      <c r="R1374">
        <f t="shared" si="193"/>
        <v>-1.3750170952042725E-3</v>
      </c>
    </row>
    <row r="1375" spans="1:19" x14ac:dyDescent="0.2">
      <c r="A1375" t="s">
        <v>1386</v>
      </c>
      <c r="B1375">
        <v>5.82485622</v>
      </c>
      <c r="C1375">
        <v>0.52019820000000005</v>
      </c>
      <c r="D1375">
        <v>5.98971243</v>
      </c>
      <c r="E1375">
        <v>0.47410824000000001</v>
      </c>
      <c r="F1375">
        <v>3.3345847200000001</v>
      </c>
      <c r="G1375">
        <v>1.33651568</v>
      </c>
      <c r="H1375">
        <v>2.8132233800000002</v>
      </c>
      <c r="I1375">
        <v>9.4957199999999992E-3</v>
      </c>
      <c r="J1375">
        <v>1</v>
      </c>
      <c r="K1375">
        <v>950065</v>
      </c>
      <c r="L1375">
        <f t="shared" si="189"/>
        <v>1.2825325846153847E-2</v>
      </c>
      <c r="M1375">
        <f t="shared" si="190"/>
        <v>5.1404449230769231E-3</v>
      </c>
      <c r="N1375">
        <f t="shared" si="191"/>
        <v>1.0820089923076924E-2</v>
      </c>
      <c r="O1375">
        <f t="shared" si="192"/>
        <v>7.9802674230769234E-3</v>
      </c>
      <c r="P1375">
        <f t="shared" si="188"/>
        <v>29.437196415113387</v>
      </c>
      <c r="R1375">
        <f t="shared" si="193"/>
        <v>-1.9841675824678329E-3</v>
      </c>
    </row>
    <row r="1376" spans="1:19" x14ac:dyDescent="0.2">
      <c r="A1376" t="s">
        <v>1387</v>
      </c>
      <c r="B1376">
        <v>5.7913755599999996</v>
      </c>
      <c r="C1376">
        <v>0.41866713</v>
      </c>
      <c r="D1376">
        <v>5.9462085800000004</v>
      </c>
      <c r="E1376">
        <v>0.47410824000000001</v>
      </c>
      <c r="F1376">
        <v>3.33600195</v>
      </c>
      <c r="G1376">
        <v>1.33318662</v>
      </c>
      <c r="H1376">
        <v>2.7777123000000001</v>
      </c>
      <c r="I1376">
        <v>9.6783300000000006E-3</v>
      </c>
      <c r="J1376">
        <v>1</v>
      </c>
      <c r="K1376">
        <v>950065</v>
      </c>
      <c r="L1376">
        <f t="shared" si="189"/>
        <v>1.283077673076923E-2</v>
      </c>
      <c r="M1376">
        <f t="shared" si="190"/>
        <v>5.1276408461538459E-3</v>
      </c>
      <c r="N1376">
        <f t="shared" si="191"/>
        <v>1.0683508846153846E-2</v>
      </c>
      <c r="O1376">
        <f t="shared" si="192"/>
        <v>7.9055748461538469E-3</v>
      </c>
      <c r="P1376">
        <f t="shared" si="188"/>
        <v>23.691713155412319</v>
      </c>
      <c r="R1376">
        <f t="shared" si="193"/>
        <v>-2.1985072934360994E-3</v>
      </c>
    </row>
    <row r="1377" spans="1:19" x14ac:dyDescent="0.2">
      <c r="A1377" t="s">
        <v>1388</v>
      </c>
      <c r="B1377">
        <v>5.7480323799999997</v>
      </c>
      <c r="C1377">
        <v>0.32439771000000001</v>
      </c>
      <c r="D1377">
        <v>5.8960511999999996</v>
      </c>
      <c r="E1377">
        <v>0.47410824000000001</v>
      </c>
      <c r="F1377">
        <v>3.33647436</v>
      </c>
      <c r="G1377">
        <v>1.3255094000000001</v>
      </c>
      <c r="H1377">
        <v>2.7310135600000001</v>
      </c>
      <c r="I1377">
        <v>9.4957199999999992E-3</v>
      </c>
      <c r="J1377">
        <v>1</v>
      </c>
      <c r="K1377">
        <v>950065</v>
      </c>
      <c r="L1377">
        <f t="shared" si="189"/>
        <v>1.2832593692307692E-2</v>
      </c>
      <c r="M1377">
        <f t="shared" si="190"/>
        <v>5.0981130769230769E-3</v>
      </c>
      <c r="N1377">
        <f t="shared" si="191"/>
        <v>1.0503898307692308E-2</v>
      </c>
      <c r="O1377">
        <f t="shared" si="192"/>
        <v>7.8010056923076936E-3</v>
      </c>
      <c r="P1377">
        <f t="shared" si="188"/>
        <v>18.357155226379081</v>
      </c>
      <c r="R1377">
        <f t="shared" si="193"/>
        <v>-1.9896734872079363E-3</v>
      </c>
    </row>
    <row r="1378" spans="1:19" x14ac:dyDescent="0.2">
      <c r="A1378" t="s">
        <v>1389</v>
      </c>
      <c r="B1378">
        <v>5.6987197800000002</v>
      </c>
      <c r="C1378">
        <v>0.24095475</v>
      </c>
      <c r="D1378">
        <v>5.8417993399999997</v>
      </c>
      <c r="E1378">
        <v>0.47410824000000001</v>
      </c>
      <c r="F1378">
        <v>3.3317502600000002</v>
      </c>
      <c r="G1378">
        <v>1.31348402</v>
      </c>
      <c r="H1378">
        <v>2.6783592000000001</v>
      </c>
      <c r="I1378">
        <v>9.6783300000000006E-3</v>
      </c>
      <c r="J1378">
        <v>1</v>
      </c>
      <c r="K1378">
        <v>950065</v>
      </c>
      <c r="L1378">
        <f t="shared" si="189"/>
        <v>1.2814424076923077E-2</v>
      </c>
      <c r="M1378">
        <f t="shared" si="190"/>
        <v>5.0518616153846152E-3</v>
      </c>
      <c r="N1378">
        <f t="shared" si="191"/>
        <v>1.0301381538461539E-2</v>
      </c>
      <c r="O1378">
        <f t="shared" si="192"/>
        <v>7.6766215769230768E-3</v>
      </c>
      <c r="P1378">
        <f t="shared" si="188"/>
        <v>13.635249608523331</v>
      </c>
      <c r="R1378">
        <f t="shared" si="193"/>
        <v>-1.5294962924064506E-3</v>
      </c>
    </row>
    <row r="1379" spans="1:19" x14ac:dyDescent="0.2">
      <c r="A1379" t="s">
        <v>1390</v>
      </c>
      <c r="B1379">
        <v>5.6465522400000001</v>
      </c>
      <c r="C1379">
        <v>0.1663578</v>
      </c>
      <c r="D1379">
        <v>5.7855002400000002</v>
      </c>
      <c r="E1379">
        <v>0.47410824000000001</v>
      </c>
      <c r="F1379">
        <v>3.31726302</v>
      </c>
      <c r="G1379">
        <v>1.2993524999999999</v>
      </c>
      <c r="H1379">
        <v>2.62347844</v>
      </c>
      <c r="I1379">
        <v>9.6783300000000006E-3</v>
      </c>
      <c r="J1379">
        <v>1</v>
      </c>
      <c r="K1379">
        <v>950065</v>
      </c>
      <c r="L1379">
        <f t="shared" si="189"/>
        <v>1.2758703923076924E-2</v>
      </c>
      <c r="M1379">
        <f t="shared" si="190"/>
        <v>4.9975096153846155E-3</v>
      </c>
      <c r="N1379">
        <f t="shared" si="191"/>
        <v>1.0090301692307692E-2</v>
      </c>
      <c r="O1379">
        <f t="shared" si="192"/>
        <v>7.5439056538461535E-3</v>
      </c>
      <c r="P1379">
        <f t="shared" si="188"/>
        <v>9.413925757117477</v>
      </c>
      <c r="R1379">
        <f t="shared" si="193"/>
        <v>-1.0004762732154636E-3</v>
      </c>
    </row>
    <row r="1380" spans="1:19" x14ac:dyDescent="0.2">
      <c r="A1380" t="s">
        <v>1391</v>
      </c>
      <c r="B1380">
        <v>5.5936060799999998</v>
      </c>
      <c r="C1380">
        <v>0.1003428</v>
      </c>
      <c r="D1380">
        <v>5.732272</v>
      </c>
      <c r="E1380">
        <v>0.67165333999999999</v>
      </c>
      <c r="F1380">
        <v>3.3010436099999998</v>
      </c>
      <c r="G1380">
        <v>1.2840659999999999</v>
      </c>
      <c r="H1380">
        <v>2.5698221999999999</v>
      </c>
      <c r="I1380">
        <v>9.8609400000000003E-3</v>
      </c>
      <c r="J1380">
        <v>1</v>
      </c>
      <c r="K1380">
        <v>950065</v>
      </c>
      <c r="L1380">
        <f t="shared" si="189"/>
        <v>1.2696321576923075E-2</v>
      </c>
      <c r="M1380">
        <f t="shared" si="190"/>
        <v>4.9387153846153845E-3</v>
      </c>
      <c r="N1380">
        <f t="shared" si="191"/>
        <v>9.8839315384615378E-3</v>
      </c>
      <c r="O1380">
        <f t="shared" si="192"/>
        <v>7.411323461538462E-3</v>
      </c>
      <c r="P1380">
        <f t="shared" si="188"/>
        <v>5.6782409328645098</v>
      </c>
      <c r="R1380">
        <f t="shared" si="193"/>
        <v>-4.057018912586126E-4</v>
      </c>
    </row>
    <row r="1381" spans="1:19" x14ac:dyDescent="0.2">
      <c r="A1381" t="s">
        <v>1392</v>
      </c>
      <c r="B1381">
        <v>5.5523392200000004</v>
      </c>
      <c r="C1381">
        <v>5.320809E-2</v>
      </c>
      <c r="D1381">
        <v>5.6903035800000001</v>
      </c>
      <c r="E1381">
        <v>1.0864980500000001</v>
      </c>
      <c r="F1381">
        <v>3.2837219100000001</v>
      </c>
      <c r="G1381">
        <v>1.2728558999999999</v>
      </c>
      <c r="H1381">
        <v>2.5324743399999998</v>
      </c>
      <c r="I1381">
        <v>1.004355E-2</v>
      </c>
      <c r="J1381">
        <v>1</v>
      </c>
      <c r="K1381">
        <v>950065</v>
      </c>
      <c r="L1381">
        <f t="shared" si="189"/>
        <v>1.2629699653846154E-2</v>
      </c>
      <c r="M1381">
        <f t="shared" si="190"/>
        <v>4.8955996153846153E-3</v>
      </c>
      <c r="N1381">
        <f t="shared" si="191"/>
        <v>9.7402859230769218E-3</v>
      </c>
      <c r="O1381">
        <f t="shared" si="192"/>
        <v>7.3179427692307694E-3</v>
      </c>
      <c r="P1381">
        <f t="shared" si="188"/>
        <v>3.0109619683478916</v>
      </c>
      <c r="R1381">
        <f t="shared" si="193"/>
        <v>-8.1329243010758211E-5</v>
      </c>
    </row>
    <row r="1382" spans="1:19" x14ac:dyDescent="0.2">
      <c r="A1382" t="s">
        <v>1393</v>
      </c>
      <c r="B1382">
        <v>5.53884314</v>
      </c>
      <c r="C1382">
        <v>5.1227639999999998E-2</v>
      </c>
      <c r="D1382">
        <v>5.6790437599999999</v>
      </c>
      <c r="E1382">
        <v>1.20502511</v>
      </c>
      <c r="F1382">
        <v>3.2624634600000002</v>
      </c>
      <c r="G1382">
        <v>1.2691192</v>
      </c>
      <c r="H1382">
        <v>2.5218989399999998</v>
      </c>
      <c r="I1382">
        <v>1.004355E-2</v>
      </c>
      <c r="J1382">
        <v>1</v>
      </c>
      <c r="K1382">
        <v>950065</v>
      </c>
      <c r="L1382">
        <f t="shared" si="189"/>
        <v>1.2547936384615386E-2</v>
      </c>
      <c r="M1382">
        <f t="shared" si="190"/>
        <v>4.8812276923076922E-3</v>
      </c>
      <c r="N1382">
        <f t="shared" si="191"/>
        <v>9.6996113076923077E-3</v>
      </c>
      <c r="O1382">
        <f t="shared" si="192"/>
        <v>7.2904195E-3</v>
      </c>
      <c r="P1382">
        <f t="shared" si="188"/>
        <v>2.8988914236203027</v>
      </c>
      <c r="R1382">
        <f t="shared" si="193"/>
        <v>1.8163898192807257E-4</v>
      </c>
    </row>
    <row r="1383" spans="1:19" x14ac:dyDescent="0.2">
      <c r="A1383" t="s">
        <v>1394</v>
      </c>
      <c r="B1383">
        <v>5.5554537000000002</v>
      </c>
      <c r="C1383">
        <v>0.10800054000000001</v>
      </c>
      <c r="D1383">
        <v>5.6995161599999999</v>
      </c>
      <c r="E1383">
        <v>1.1457615800000001</v>
      </c>
      <c r="F1383">
        <v>3.2423072999999998</v>
      </c>
      <c r="G1383">
        <v>1.2693230200000001</v>
      </c>
      <c r="H1383">
        <v>2.5426601199999999</v>
      </c>
      <c r="I1383">
        <v>9.8609400000000003E-3</v>
      </c>
      <c r="J1383">
        <v>1</v>
      </c>
      <c r="K1383">
        <v>950065</v>
      </c>
      <c r="L1383">
        <f t="shared" si="189"/>
        <v>1.2470412692307692E-2</v>
      </c>
      <c r="M1383">
        <f t="shared" si="190"/>
        <v>4.882011615384616E-3</v>
      </c>
      <c r="N1383">
        <f t="shared" si="191"/>
        <v>9.7794619999999992E-3</v>
      </c>
      <c r="O1383">
        <f t="shared" si="192"/>
        <v>7.3307368076923072E-3</v>
      </c>
      <c r="P1383">
        <f t="shared" si="188"/>
        <v>6.1115803724778548</v>
      </c>
      <c r="R1383">
        <f t="shared" si="193"/>
        <v>7.8139680565942108E-4</v>
      </c>
    </row>
    <row r="1384" spans="1:19" x14ac:dyDescent="0.2">
      <c r="A1384" t="s">
        <v>1395</v>
      </c>
      <c r="B1384">
        <v>5.5943847</v>
      </c>
      <c r="C1384">
        <v>0.18695448000000001</v>
      </c>
      <c r="D1384">
        <v>5.7414845799999998</v>
      </c>
      <c r="E1384">
        <v>1.0272345199999999</v>
      </c>
      <c r="F1384">
        <v>3.2322292199999998</v>
      </c>
      <c r="G1384">
        <v>1.2757093799999999</v>
      </c>
      <c r="H1384">
        <v>2.5849617199999999</v>
      </c>
      <c r="I1384">
        <v>9.8609400000000003E-3</v>
      </c>
      <c r="J1384">
        <v>1</v>
      </c>
      <c r="K1384">
        <v>950066</v>
      </c>
      <c r="L1384">
        <f t="shared" si="189"/>
        <v>1.2431650846153846E-2</v>
      </c>
      <c r="M1384">
        <f t="shared" si="190"/>
        <v>4.9065745384615379E-3</v>
      </c>
      <c r="N1384">
        <f t="shared" si="191"/>
        <v>9.9421604615384605E-3</v>
      </c>
      <c r="O1384">
        <f t="shared" si="192"/>
        <v>7.4243675E-3</v>
      </c>
      <c r="P1384">
        <f t="shared" si="188"/>
        <v>10.579459422284403</v>
      </c>
      <c r="Q1384">
        <f t="shared" ref="Q1384" si="195">ABS(0.5*(SUMPRODUCT(O1384:O1402,P1385:P1403)+O1403*P1384-(SUMPRODUCT(O1385:O1403,P1384:P1402)+O1384*P1403)))</f>
        <v>5.1852623840418222E-3</v>
      </c>
      <c r="R1384">
        <f t="shared" si="193"/>
        <v>1.7938792663037991E-3</v>
      </c>
    </row>
    <row r="1385" spans="1:19" x14ac:dyDescent="0.2">
      <c r="A1385" t="s">
        <v>1396</v>
      </c>
      <c r="B1385">
        <v>5.6442163799999996</v>
      </c>
      <c r="C1385">
        <v>0.28082781000000001</v>
      </c>
      <c r="D1385">
        <v>5.8023899700000001</v>
      </c>
      <c r="E1385">
        <v>0.73091687000000005</v>
      </c>
      <c r="F1385">
        <v>3.2249856000000001</v>
      </c>
      <c r="G1385">
        <v>1.2896370800000001</v>
      </c>
      <c r="H1385">
        <v>2.6415122800000002</v>
      </c>
      <c r="I1385">
        <v>9.8609400000000003E-3</v>
      </c>
      <c r="J1385">
        <v>1</v>
      </c>
      <c r="K1385">
        <v>950066</v>
      </c>
      <c r="L1385">
        <f t="shared" si="189"/>
        <v>1.2403790769230769E-2</v>
      </c>
      <c r="M1385">
        <f t="shared" si="190"/>
        <v>4.9601426153846155E-3</v>
      </c>
      <c r="N1385">
        <f t="shared" si="191"/>
        <v>1.0159662615384616E-2</v>
      </c>
      <c r="O1385">
        <f t="shared" si="192"/>
        <v>7.5599026153846151E-3</v>
      </c>
      <c r="P1385">
        <f t="shared" si="188"/>
        <v>15.891603242372124</v>
      </c>
      <c r="R1385">
        <f t="shared" si="193"/>
        <v>2.872540025860269E-3</v>
      </c>
    </row>
    <row r="1386" spans="1:19" x14ac:dyDescent="0.2">
      <c r="A1386" t="s">
        <v>1397</v>
      </c>
      <c r="B1386">
        <v>5.7052082799999999</v>
      </c>
      <c r="C1386">
        <v>0.39001661999999998</v>
      </c>
      <c r="D1386">
        <v>5.8648307900000001</v>
      </c>
      <c r="E1386">
        <v>0.61238981000000003</v>
      </c>
      <c r="F1386">
        <v>3.2221511399999998</v>
      </c>
      <c r="G1386">
        <v>1.30499152</v>
      </c>
      <c r="H1386">
        <v>2.70485336</v>
      </c>
      <c r="I1386">
        <v>9.8609400000000003E-3</v>
      </c>
      <c r="J1386">
        <v>1</v>
      </c>
      <c r="K1386">
        <v>950066</v>
      </c>
      <c r="L1386">
        <f t="shared" si="189"/>
        <v>1.2392888999999999E-2</v>
      </c>
      <c r="M1386">
        <f t="shared" si="190"/>
        <v>5.0191981538461536E-3</v>
      </c>
      <c r="N1386">
        <f t="shared" si="191"/>
        <v>1.0403282153846154E-2</v>
      </c>
      <c r="O1386">
        <f t="shared" si="192"/>
        <v>7.711240153846154E-3</v>
      </c>
      <c r="P1386">
        <f t="shared" si="188"/>
        <v>22.07042594168653</v>
      </c>
      <c r="R1386">
        <f t="shared" si="193"/>
        <v>3.8070889120326314E-3</v>
      </c>
    </row>
    <row r="1387" spans="1:19" x14ac:dyDescent="0.2">
      <c r="A1387" t="s">
        <v>1398</v>
      </c>
      <c r="B1387">
        <v>5.7708719000000004</v>
      </c>
      <c r="C1387">
        <v>0.52376301000000003</v>
      </c>
      <c r="D1387">
        <v>5.9369959999999997</v>
      </c>
      <c r="E1387">
        <v>0.53337177000000002</v>
      </c>
      <c r="F1387">
        <v>3.2308119899999999</v>
      </c>
      <c r="G1387">
        <v>1.3190550999999999</v>
      </c>
      <c r="H1387">
        <v>2.7673595400000002</v>
      </c>
      <c r="I1387">
        <v>9.6783300000000006E-3</v>
      </c>
      <c r="J1387">
        <v>1</v>
      </c>
      <c r="K1387">
        <v>950066</v>
      </c>
      <c r="L1387">
        <f t="shared" si="189"/>
        <v>1.2426199961538461E-2</v>
      </c>
      <c r="M1387">
        <f t="shared" si="190"/>
        <v>5.0732888461538462E-3</v>
      </c>
      <c r="N1387">
        <f t="shared" si="191"/>
        <v>1.0643690538461538E-2</v>
      </c>
      <c r="O1387">
        <f t="shared" si="192"/>
        <v>7.8584896923076918E-3</v>
      </c>
      <c r="P1387">
        <f t="shared" si="188"/>
        <v>29.638923395623046</v>
      </c>
      <c r="R1387">
        <f t="shared" si="193"/>
        <v>4.4477158553378202E-3</v>
      </c>
    </row>
    <row r="1388" spans="1:19" x14ac:dyDescent="0.2">
      <c r="A1388" t="s">
        <v>1399</v>
      </c>
      <c r="B1388">
        <v>5.82874932</v>
      </c>
      <c r="C1388">
        <v>0.70305974999999998</v>
      </c>
      <c r="D1388">
        <v>6.0040431099999996</v>
      </c>
      <c r="E1388">
        <v>0.41484471000000001</v>
      </c>
      <c r="F1388">
        <v>3.2432521200000002</v>
      </c>
      <c r="G1388">
        <v>1.33046902</v>
      </c>
      <c r="H1388">
        <v>2.8225742600000001</v>
      </c>
      <c r="I1388">
        <v>9.8609400000000003E-3</v>
      </c>
      <c r="J1388">
        <v>1</v>
      </c>
      <c r="K1388">
        <v>950066</v>
      </c>
      <c r="L1388">
        <f t="shared" si="189"/>
        <v>1.2474046615384616E-2</v>
      </c>
      <c r="M1388">
        <f t="shared" si="190"/>
        <v>5.1171885384615383E-3</v>
      </c>
      <c r="N1388">
        <f t="shared" si="191"/>
        <v>1.0856054846153847E-2</v>
      </c>
      <c r="O1388">
        <f t="shared" si="192"/>
        <v>7.9866216923076931E-3</v>
      </c>
      <c r="P1388">
        <f t="shared" si="188"/>
        <v>39.785043378294098</v>
      </c>
      <c r="R1388">
        <f t="shared" si="193"/>
        <v>2.821272226423018E-3</v>
      </c>
      <c r="S1388">
        <f>ABS(SUMIFS($R:$R,$K:$K,K1388))</f>
        <v>5.1933610717252937E-3</v>
      </c>
    </row>
    <row r="1389" spans="1:19" x14ac:dyDescent="0.2">
      <c r="A1389" t="s">
        <v>1400</v>
      </c>
      <c r="B1389">
        <v>5.8692375600000002</v>
      </c>
      <c r="C1389">
        <v>0.82716794999999999</v>
      </c>
      <c r="D1389">
        <v>6.0414052399999996</v>
      </c>
      <c r="E1389">
        <v>0.41484471000000001</v>
      </c>
      <c r="F1389">
        <v>3.25679454</v>
      </c>
      <c r="G1389">
        <v>1.33563246</v>
      </c>
      <c r="H1389">
        <v>2.8512948200000001</v>
      </c>
      <c r="I1389">
        <v>9.6783300000000006E-3</v>
      </c>
      <c r="J1389">
        <v>1</v>
      </c>
      <c r="K1389">
        <v>950066</v>
      </c>
      <c r="L1389">
        <f t="shared" si="189"/>
        <v>1.2526132846153845E-2</v>
      </c>
      <c r="M1389">
        <f t="shared" si="190"/>
        <v>5.1370479230769235E-3</v>
      </c>
      <c r="N1389">
        <f t="shared" si="191"/>
        <v>1.0966518538461539E-2</v>
      </c>
      <c r="O1389">
        <f t="shared" si="192"/>
        <v>8.05178323076923E-3</v>
      </c>
      <c r="P1389">
        <f t="shared" si="188"/>
        <v>46.808130847889679</v>
      </c>
      <c r="R1389">
        <f t="shared" si="193"/>
        <v>9.7930597202665294E-4</v>
      </c>
    </row>
    <row r="1390" spans="1:19" x14ac:dyDescent="0.2">
      <c r="A1390" t="s">
        <v>1401</v>
      </c>
      <c r="B1390">
        <v>5.8816954800000003</v>
      </c>
      <c r="C1390">
        <v>0.85542236999999999</v>
      </c>
      <c r="D1390">
        <v>6.0490823899999997</v>
      </c>
      <c r="E1390">
        <v>0.41484471000000001</v>
      </c>
      <c r="F1390">
        <v>3.2720691300000002</v>
      </c>
      <c r="G1390">
        <v>1.3375347799999999</v>
      </c>
      <c r="H1390">
        <v>2.8600891000000002</v>
      </c>
      <c r="I1390">
        <v>9.6783300000000006E-3</v>
      </c>
      <c r="J1390">
        <v>1</v>
      </c>
      <c r="K1390">
        <v>950066</v>
      </c>
      <c r="L1390">
        <f t="shared" si="189"/>
        <v>1.2584881269230771E-2</v>
      </c>
      <c r="M1390">
        <f t="shared" si="190"/>
        <v>5.1443645384615377E-3</v>
      </c>
      <c r="N1390">
        <f t="shared" si="191"/>
        <v>1.1000342692307694E-2</v>
      </c>
      <c r="O1390">
        <f t="shared" si="192"/>
        <v>8.0723536153846157E-3</v>
      </c>
      <c r="P1390">
        <f t="shared" si="188"/>
        <v>48.407003952669953</v>
      </c>
      <c r="R1390">
        <f t="shared" si="193"/>
        <v>2.5737817404175752E-4</v>
      </c>
    </row>
    <row r="1391" spans="1:19" x14ac:dyDescent="0.2">
      <c r="A1391" t="s">
        <v>1402</v>
      </c>
      <c r="B1391">
        <v>5.8832527199999998</v>
      </c>
      <c r="C1391">
        <v>0.85581845999999995</v>
      </c>
      <c r="D1391">
        <v>6.0542004900000004</v>
      </c>
      <c r="E1391">
        <v>0.35558118</v>
      </c>
      <c r="F1391">
        <v>3.2908080599999998</v>
      </c>
      <c r="G1391">
        <v>1.3377386</v>
      </c>
      <c r="H1391">
        <v>2.8626494600000001</v>
      </c>
      <c r="I1391">
        <v>9.4957199999999992E-3</v>
      </c>
      <c r="J1391">
        <v>1</v>
      </c>
      <c r="K1391">
        <v>950066</v>
      </c>
      <c r="L1391">
        <f t="shared" si="189"/>
        <v>1.2656954076923077E-2</v>
      </c>
      <c r="M1391">
        <f t="shared" si="190"/>
        <v>5.1451484615384615E-3</v>
      </c>
      <c r="N1391">
        <f t="shared" si="191"/>
        <v>1.1010190230769231E-2</v>
      </c>
      <c r="O1391">
        <f t="shared" si="192"/>
        <v>8.077669346153846E-3</v>
      </c>
      <c r="P1391">
        <f t="shared" si="188"/>
        <v>48.429418061615465</v>
      </c>
      <c r="R1391">
        <f t="shared" si="193"/>
        <v>-1.3344607998658838E-4</v>
      </c>
    </row>
    <row r="1392" spans="1:19" x14ac:dyDescent="0.2">
      <c r="A1392" t="s">
        <v>1403</v>
      </c>
      <c r="B1392">
        <v>5.88013824</v>
      </c>
      <c r="C1392">
        <v>0.81713367000000003</v>
      </c>
      <c r="D1392">
        <v>6.04754696</v>
      </c>
      <c r="E1392">
        <v>0.35558118</v>
      </c>
      <c r="F1392">
        <v>3.3038780700000001</v>
      </c>
      <c r="G1392">
        <v>1.3379424200000001</v>
      </c>
      <c r="H1392">
        <v>2.8609796599999999</v>
      </c>
      <c r="I1392">
        <v>9.6783300000000006E-3</v>
      </c>
      <c r="J1392">
        <v>1</v>
      </c>
      <c r="K1392">
        <v>950066</v>
      </c>
      <c r="L1392">
        <f t="shared" si="189"/>
        <v>1.2707223346153847E-2</v>
      </c>
      <c r="M1392">
        <f t="shared" si="190"/>
        <v>5.1459323846153853E-3</v>
      </c>
      <c r="N1392">
        <f t="shared" si="191"/>
        <v>1.1003767923076923E-2</v>
      </c>
      <c r="O1392">
        <f t="shared" si="192"/>
        <v>8.0748501538461543E-3</v>
      </c>
      <c r="P1392">
        <f t="shared" si="188"/>
        <v>46.240306754603232</v>
      </c>
      <c r="R1392">
        <f t="shared" si="193"/>
        <v>-1.0134101422510494E-3</v>
      </c>
    </row>
    <row r="1393" spans="1:18" x14ac:dyDescent="0.2">
      <c r="A1393" t="s">
        <v>1404</v>
      </c>
      <c r="B1393">
        <v>5.8635276799999998</v>
      </c>
      <c r="C1393">
        <v>0.70385193000000001</v>
      </c>
      <c r="D1393">
        <v>6.0321926599999998</v>
      </c>
      <c r="E1393">
        <v>0.35558118</v>
      </c>
      <c r="F1393">
        <v>3.3130113300000001</v>
      </c>
      <c r="G1393">
        <v>1.3379424200000001</v>
      </c>
      <c r="H1393">
        <v>2.8487344600000002</v>
      </c>
      <c r="I1393">
        <v>9.8609400000000003E-3</v>
      </c>
      <c r="J1393">
        <v>1</v>
      </c>
      <c r="K1393">
        <v>950066</v>
      </c>
      <c r="L1393">
        <f t="shared" si="189"/>
        <v>1.274235126923077E-2</v>
      </c>
      <c r="M1393">
        <f t="shared" si="190"/>
        <v>5.1459323846153853E-3</v>
      </c>
      <c r="N1393">
        <f t="shared" si="191"/>
        <v>1.0956671000000001E-2</v>
      </c>
      <c r="O1393">
        <f t="shared" si="192"/>
        <v>8.0513016923076924E-3</v>
      </c>
      <c r="P1393">
        <f t="shared" si="188"/>
        <v>39.829871596185136</v>
      </c>
      <c r="R1393">
        <f t="shared" si="193"/>
        <v>-1.0337783105851214E-3</v>
      </c>
    </row>
    <row r="1394" spans="1:18" x14ac:dyDescent="0.2">
      <c r="A1394" t="s">
        <v>1405</v>
      </c>
      <c r="B1394">
        <v>5.8469171199999996</v>
      </c>
      <c r="C1394">
        <v>0.61407153000000003</v>
      </c>
      <c r="D1394">
        <v>6.0147911199999999</v>
      </c>
      <c r="E1394">
        <v>0.35558118</v>
      </c>
      <c r="F1394">
        <v>3.3235618200000001</v>
      </c>
      <c r="G1394">
        <v>1.3379424200000001</v>
      </c>
      <c r="H1394">
        <v>2.8343185200000001</v>
      </c>
      <c r="I1394">
        <v>1.004355E-2</v>
      </c>
      <c r="J1394">
        <v>1</v>
      </c>
      <c r="K1394">
        <v>950066</v>
      </c>
      <c r="L1394">
        <f t="shared" si="189"/>
        <v>1.2782930076923077E-2</v>
      </c>
      <c r="M1394">
        <f t="shared" si="190"/>
        <v>5.1459323846153853E-3</v>
      </c>
      <c r="N1394">
        <f t="shared" si="191"/>
        <v>1.0901225076923078E-2</v>
      </c>
      <c r="O1394">
        <f t="shared" si="192"/>
        <v>8.0235787307692315E-3</v>
      </c>
      <c r="P1394">
        <f t="shared" si="188"/>
        <v>34.749340235201103</v>
      </c>
      <c r="R1394">
        <f t="shared" si="193"/>
        <v>-1.3348574599096083E-3</v>
      </c>
    </row>
    <row r="1395" spans="1:18" x14ac:dyDescent="0.2">
      <c r="A1395" t="s">
        <v>1406</v>
      </c>
      <c r="B1395">
        <v>5.82485622</v>
      </c>
      <c r="C1395">
        <v>0.52099037999999998</v>
      </c>
      <c r="D1395">
        <v>5.9963659600000003</v>
      </c>
      <c r="E1395">
        <v>0.35558118</v>
      </c>
      <c r="F1395">
        <v>3.3322226700000002</v>
      </c>
      <c r="G1395">
        <v>1.3369233199999999</v>
      </c>
      <c r="H1395">
        <v>2.8137243199999999</v>
      </c>
      <c r="I1395">
        <v>9.8609400000000003E-3</v>
      </c>
      <c r="J1395">
        <v>1</v>
      </c>
      <c r="K1395">
        <v>950066</v>
      </c>
      <c r="L1395">
        <f t="shared" si="189"/>
        <v>1.2816241038461539E-2</v>
      </c>
      <c r="M1395">
        <f t="shared" si="190"/>
        <v>5.142012769230769E-3</v>
      </c>
      <c r="N1395">
        <f t="shared" si="191"/>
        <v>1.0822016615384615E-2</v>
      </c>
      <c r="O1395">
        <f t="shared" si="192"/>
        <v>7.9820146923076929E-3</v>
      </c>
      <c r="P1395">
        <f t="shared" si="188"/>
        <v>29.482024633004418</v>
      </c>
      <c r="R1395">
        <f t="shared" si="193"/>
        <v>-2.0264961534979071E-3</v>
      </c>
    </row>
    <row r="1396" spans="1:18" x14ac:dyDescent="0.2">
      <c r="A1396" t="s">
        <v>1407</v>
      </c>
      <c r="B1396">
        <v>5.7924137199999999</v>
      </c>
      <c r="C1396">
        <v>0.41906322000000001</v>
      </c>
      <c r="D1396">
        <v>5.9477440100000001</v>
      </c>
      <c r="E1396">
        <v>0.35558118</v>
      </c>
      <c r="F1396">
        <v>3.3331674900000001</v>
      </c>
      <c r="G1396">
        <v>1.3329827999999999</v>
      </c>
      <c r="H1396">
        <v>2.77804626</v>
      </c>
      <c r="I1396">
        <v>1.004355E-2</v>
      </c>
      <c r="J1396">
        <v>1</v>
      </c>
      <c r="K1396">
        <v>950066</v>
      </c>
      <c r="L1396">
        <f t="shared" si="189"/>
        <v>1.2819874961538462E-2</v>
      </c>
      <c r="M1396">
        <f t="shared" si="190"/>
        <v>5.126856923076923E-3</v>
      </c>
      <c r="N1396">
        <f t="shared" si="191"/>
        <v>1.0684793307692307E-2</v>
      </c>
      <c r="O1396">
        <f t="shared" si="192"/>
        <v>7.9058251153846151E-3</v>
      </c>
      <c r="P1396">
        <f t="shared" si="188"/>
        <v>23.714127264357838</v>
      </c>
      <c r="R1396">
        <f t="shared" si="193"/>
        <v>-2.1914340433343842E-3</v>
      </c>
    </row>
    <row r="1397" spans="1:18" x14ac:dyDescent="0.2">
      <c r="A1397" t="s">
        <v>1408</v>
      </c>
      <c r="B1397">
        <v>5.7480323799999997</v>
      </c>
      <c r="C1397">
        <v>0.32439771000000001</v>
      </c>
      <c r="D1397">
        <v>5.9011693000000003</v>
      </c>
      <c r="E1397">
        <v>0.35558118</v>
      </c>
      <c r="F1397">
        <v>3.3317502600000002</v>
      </c>
      <c r="G1397">
        <v>1.3255094000000001</v>
      </c>
      <c r="H1397">
        <v>2.7313475199999999</v>
      </c>
      <c r="I1397">
        <v>9.8609400000000003E-3</v>
      </c>
      <c r="J1397">
        <v>1</v>
      </c>
      <c r="K1397">
        <v>950066</v>
      </c>
      <c r="L1397">
        <f t="shared" si="189"/>
        <v>1.2814424076923077E-2</v>
      </c>
      <c r="M1397">
        <f t="shared" si="190"/>
        <v>5.0981130769230769E-3</v>
      </c>
      <c r="N1397">
        <f t="shared" si="191"/>
        <v>1.0505182769230769E-2</v>
      </c>
      <c r="O1397">
        <f t="shared" si="192"/>
        <v>7.8016479230769223E-3</v>
      </c>
      <c r="P1397">
        <f t="shared" si="188"/>
        <v>18.357155226379081</v>
      </c>
      <c r="R1397">
        <f t="shared" si="193"/>
        <v>-1.9999467405912344E-3</v>
      </c>
    </row>
    <row r="1398" spans="1:18" x14ac:dyDescent="0.2">
      <c r="A1398" t="s">
        <v>1409</v>
      </c>
      <c r="B1398">
        <v>5.6987197800000002</v>
      </c>
      <c r="C1398">
        <v>0.24095475</v>
      </c>
      <c r="D1398">
        <v>5.8433347700000002</v>
      </c>
      <c r="E1398">
        <v>0.35558118</v>
      </c>
      <c r="F1398">
        <v>3.32686869</v>
      </c>
      <c r="G1398">
        <v>1.31348402</v>
      </c>
      <c r="H1398">
        <v>2.6783592000000001</v>
      </c>
      <c r="I1398">
        <v>1.004355E-2</v>
      </c>
      <c r="J1398">
        <v>1</v>
      </c>
      <c r="K1398">
        <v>950066</v>
      </c>
      <c r="L1398">
        <f t="shared" si="189"/>
        <v>1.2795648807692307E-2</v>
      </c>
      <c r="M1398">
        <f t="shared" si="190"/>
        <v>5.0518616153846152E-3</v>
      </c>
      <c r="N1398">
        <f t="shared" si="191"/>
        <v>1.0301381538461539E-2</v>
      </c>
      <c r="O1398">
        <f t="shared" si="192"/>
        <v>7.6766215769230768E-3</v>
      </c>
      <c r="P1398">
        <f t="shared" si="188"/>
        <v>13.635249608523331</v>
      </c>
      <c r="R1398">
        <f t="shared" si="193"/>
        <v>-1.5318009136744729E-3</v>
      </c>
    </row>
    <row r="1399" spans="1:18" x14ac:dyDescent="0.2">
      <c r="A1399" t="s">
        <v>1410</v>
      </c>
      <c r="B1399">
        <v>5.6449949999999998</v>
      </c>
      <c r="C1399">
        <v>0.16675388999999999</v>
      </c>
      <c r="D1399">
        <v>5.7870356699999999</v>
      </c>
      <c r="E1399">
        <v>0.35558118</v>
      </c>
      <c r="F1399">
        <v>3.31584579</v>
      </c>
      <c r="G1399">
        <v>1.2991486800000001</v>
      </c>
      <c r="H1399">
        <v>2.6236454199999999</v>
      </c>
      <c r="I1399">
        <v>1.004355E-2</v>
      </c>
      <c r="J1399">
        <v>1</v>
      </c>
      <c r="K1399">
        <v>950066</v>
      </c>
      <c r="L1399">
        <f t="shared" si="189"/>
        <v>1.2753253038461539E-2</v>
      </c>
      <c r="M1399">
        <f t="shared" si="190"/>
        <v>4.9967256923076925E-3</v>
      </c>
      <c r="N1399">
        <f t="shared" si="191"/>
        <v>1.0090943923076922E-2</v>
      </c>
      <c r="O1399">
        <f t="shared" si="192"/>
        <v>7.5438348076923073E-3</v>
      </c>
      <c r="P1399">
        <f t="shared" si="188"/>
        <v>9.436339866062994</v>
      </c>
      <c r="R1399">
        <f t="shared" si="193"/>
        <v>-9.9714575530740306E-4</v>
      </c>
    </row>
    <row r="1400" spans="1:18" x14ac:dyDescent="0.2">
      <c r="A1400" t="s">
        <v>1411</v>
      </c>
      <c r="B1400">
        <v>5.5917893000000003</v>
      </c>
      <c r="C1400">
        <v>0.10073889</v>
      </c>
      <c r="D1400">
        <v>5.7338074299999997</v>
      </c>
      <c r="E1400">
        <v>0.73091687000000005</v>
      </c>
      <c r="F1400">
        <v>3.2989964999999999</v>
      </c>
      <c r="G1400">
        <v>1.28379424</v>
      </c>
      <c r="H1400">
        <v>2.5704901200000001</v>
      </c>
      <c r="I1400">
        <v>1.004355E-2</v>
      </c>
      <c r="J1400">
        <v>1</v>
      </c>
      <c r="K1400">
        <v>950066</v>
      </c>
      <c r="L1400">
        <f t="shared" si="189"/>
        <v>1.2688448076923077E-2</v>
      </c>
      <c r="M1400">
        <f t="shared" si="190"/>
        <v>4.9376701538461536E-3</v>
      </c>
      <c r="N1400">
        <f t="shared" si="191"/>
        <v>9.8865004615384614E-3</v>
      </c>
      <c r="O1400">
        <f t="shared" si="192"/>
        <v>7.4120853076923079E-3</v>
      </c>
      <c r="P1400">
        <f t="shared" si="188"/>
        <v>5.7006550418100277</v>
      </c>
      <c r="R1400">
        <f t="shared" si="193"/>
        <v>-4.1015071572957128E-4</v>
      </c>
    </row>
    <row r="1401" spans="1:18" x14ac:dyDescent="0.2">
      <c r="A1401" t="s">
        <v>1412</v>
      </c>
      <c r="B1401">
        <v>5.5515606000000002</v>
      </c>
      <c r="C1401">
        <v>5.4000270000000003E-2</v>
      </c>
      <c r="D1401">
        <v>5.6918390099999998</v>
      </c>
      <c r="E1401">
        <v>1.0864980500000001</v>
      </c>
      <c r="F1401">
        <v>3.2816747999999998</v>
      </c>
      <c r="G1401">
        <v>1.2732635400000001</v>
      </c>
      <c r="H1401">
        <v>2.5323073599999999</v>
      </c>
      <c r="I1401">
        <v>1.0408769999999999E-2</v>
      </c>
      <c r="J1401">
        <v>1</v>
      </c>
      <c r="K1401">
        <v>950066</v>
      </c>
      <c r="L1401">
        <f t="shared" si="189"/>
        <v>1.2621826153846154E-2</v>
      </c>
      <c r="M1401">
        <f t="shared" si="190"/>
        <v>4.897167461538462E-3</v>
      </c>
      <c r="N1401">
        <f t="shared" si="191"/>
        <v>9.7396436923076913E-3</v>
      </c>
      <c r="O1401">
        <f t="shared" si="192"/>
        <v>7.3184055769230771E-3</v>
      </c>
      <c r="P1401">
        <f t="shared" si="188"/>
        <v>3.0557901862389274</v>
      </c>
      <c r="R1401">
        <f t="shared" si="193"/>
        <v>-7.8570145079985394E-5</v>
      </c>
    </row>
    <row r="1402" spans="1:18" x14ac:dyDescent="0.2">
      <c r="A1402" t="s">
        <v>1413</v>
      </c>
      <c r="B1402">
        <v>5.5411789999999996</v>
      </c>
      <c r="C1402">
        <v>5.0831550000000003E-2</v>
      </c>
      <c r="D1402">
        <v>5.6775083300000002</v>
      </c>
      <c r="E1402">
        <v>1.20502511</v>
      </c>
      <c r="F1402">
        <v>3.2624634600000002</v>
      </c>
      <c r="G1402">
        <v>1.26973066</v>
      </c>
      <c r="H1402">
        <v>2.5220659200000002</v>
      </c>
      <c r="I1402">
        <v>1.004355E-2</v>
      </c>
      <c r="J1402">
        <v>1</v>
      </c>
      <c r="K1402">
        <v>950066</v>
      </c>
      <c r="L1402">
        <f t="shared" si="189"/>
        <v>1.2547936384615386E-2</v>
      </c>
      <c r="M1402">
        <f t="shared" si="190"/>
        <v>4.8835794615384618E-3</v>
      </c>
      <c r="N1402">
        <f t="shared" si="191"/>
        <v>9.7002535384615399E-3</v>
      </c>
      <c r="O1402">
        <f t="shared" si="192"/>
        <v>7.2919165000000005E-3</v>
      </c>
      <c r="P1402">
        <f t="shared" si="188"/>
        <v>2.8764773146747848</v>
      </c>
      <c r="R1402">
        <f t="shared" si="193"/>
        <v>1.7082792441470193E-4</v>
      </c>
    </row>
    <row r="1403" spans="1:18" x14ac:dyDescent="0.2">
      <c r="A1403" t="s">
        <v>1414</v>
      </c>
      <c r="B1403">
        <v>5.5562323200000003</v>
      </c>
      <c r="C1403">
        <v>0.10760445</v>
      </c>
      <c r="D1403">
        <v>5.6979807300000003</v>
      </c>
      <c r="E1403">
        <v>1.20502511</v>
      </c>
      <c r="F1403">
        <v>3.2423072999999998</v>
      </c>
      <c r="G1403">
        <v>1.2691192</v>
      </c>
      <c r="H1403">
        <v>2.5424931399999999</v>
      </c>
      <c r="I1403">
        <v>1.004355E-2</v>
      </c>
      <c r="J1403">
        <v>1</v>
      </c>
      <c r="K1403">
        <v>950066</v>
      </c>
      <c r="L1403">
        <f t="shared" si="189"/>
        <v>1.2470412692307692E-2</v>
      </c>
      <c r="M1403">
        <f t="shared" si="190"/>
        <v>4.8812276923076922E-3</v>
      </c>
      <c r="N1403">
        <f t="shared" si="191"/>
        <v>9.7788197692307687E-3</v>
      </c>
      <c r="O1403">
        <f t="shared" si="192"/>
        <v>7.3300237307692305E-3</v>
      </c>
      <c r="P1403">
        <f t="shared" si="188"/>
        <v>6.0891662635323369</v>
      </c>
      <c r="R1403">
        <f t="shared" si="193"/>
        <v>7.9438917523197167E-4</v>
      </c>
    </row>
    <row r="1404" spans="1:18" x14ac:dyDescent="0.2">
      <c r="A1404" t="s">
        <v>1415</v>
      </c>
      <c r="B1404">
        <v>5.5936060799999998</v>
      </c>
      <c r="C1404">
        <v>0.18735056999999999</v>
      </c>
      <c r="D1404">
        <v>5.7414845799999998</v>
      </c>
      <c r="E1404">
        <v>1.0864980500000001</v>
      </c>
      <c r="F1404">
        <v>3.2293947599999999</v>
      </c>
      <c r="G1404">
        <v>1.2759811400000001</v>
      </c>
      <c r="H1404">
        <v>2.5851286999999998</v>
      </c>
      <c r="I1404">
        <v>1.004355E-2</v>
      </c>
      <c r="J1404">
        <v>1</v>
      </c>
      <c r="K1404">
        <v>950067</v>
      </c>
      <c r="L1404">
        <f t="shared" si="189"/>
        <v>1.2420749076923077E-2</v>
      </c>
      <c r="M1404">
        <f t="shared" si="190"/>
        <v>4.9076197692307696E-3</v>
      </c>
      <c r="N1404">
        <f t="shared" si="191"/>
        <v>9.9428026923076909E-3</v>
      </c>
      <c r="O1404">
        <f t="shared" si="192"/>
        <v>7.4252112307692311E-3</v>
      </c>
      <c r="P1404">
        <f t="shared" si="188"/>
        <v>10.601873531229922</v>
      </c>
      <c r="Q1404">
        <f t="shared" ref="Q1404" si="196">ABS(0.5*(SUMPRODUCT(O1404:O1422,P1405:P1423)+O1423*P1404-(SUMPRODUCT(O1405:O1423,P1404:P1422)+O1404*P1423)))</f>
        <v>5.1640630389093722E-3</v>
      </c>
      <c r="R1404">
        <f t="shared" si="193"/>
        <v>1.8284243336892864E-3</v>
      </c>
    </row>
    <row r="1405" spans="1:18" x14ac:dyDescent="0.2">
      <c r="A1405" t="s">
        <v>1416</v>
      </c>
      <c r="B1405">
        <v>5.6473308600000003</v>
      </c>
      <c r="C1405">
        <v>0.28320434999999999</v>
      </c>
      <c r="D1405">
        <v>5.8008545399999996</v>
      </c>
      <c r="E1405">
        <v>0.96797098999999998</v>
      </c>
      <c r="F1405">
        <v>3.2254580100000001</v>
      </c>
      <c r="G1405">
        <v>1.2898409</v>
      </c>
      <c r="H1405">
        <v>2.6426811400000001</v>
      </c>
      <c r="I1405">
        <v>9.6783300000000006E-3</v>
      </c>
      <c r="J1405">
        <v>1</v>
      </c>
      <c r="K1405">
        <v>950067</v>
      </c>
      <c r="L1405">
        <f t="shared" si="189"/>
        <v>1.2405607730769231E-2</v>
      </c>
      <c r="M1405">
        <f t="shared" si="190"/>
        <v>4.9609265384615384E-3</v>
      </c>
      <c r="N1405">
        <f t="shared" si="191"/>
        <v>1.0164158230769231E-2</v>
      </c>
      <c r="O1405">
        <f t="shared" si="192"/>
        <v>7.5625423846153849E-3</v>
      </c>
      <c r="P1405">
        <f t="shared" si="188"/>
        <v>16.02608789604523</v>
      </c>
      <c r="R1405">
        <f t="shared" si="193"/>
        <v>2.8962929555391894E-3</v>
      </c>
    </row>
    <row r="1406" spans="1:18" x14ac:dyDescent="0.2">
      <c r="A1406" t="s">
        <v>1417</v>
      </c>
      <c r="B1406">
        <v>5.7098800000000001</v>
      </c>
      <c r="C1406">
        <v>0.39239316000000002</v>
      </c>
      <c r="D1406">
        <v>5.8663662199999997</v>
      </c>
      <c r="E1406">
        <v>0.84944392999999996</v>
      </c>
      <c r="F1406">
        <v>3.2245131900000001</v>
      </c>
      <c r="G1406">
        <v>1.3053991599999999</v>
      </c>
      <c r="H1406">
        <v>2.7059109000000001</v>
      </c>
      <c r="I1406">
        <v>9.6783300000000006E-3</v>
      </c>
      <c r="J1406">
        <v>1</v>
      </c>
      <c r="K1406">
        <v>950067</v>
      </c>
      <c r="L1406">
        <f t="shared" si="189"/>
        <v>1.2401973807692309E-2</v>
      </c>
      <c r="M1406">
        <f t="shared" si="190"/>
        <v>5.0207659999999994E-3</v>
      </c>
      <c r="N1406">
        <f t="shared" si="191"/>
        <v>1.0407349615384616E-2</v>
      </c>
      <c r="O1406">
        <f t="shared" si="192"/>
        <v>7.714057807692307E-3</v>
      </c>
      <c r="P1406">
        <f t="shared" si="188"/>
        <v>22.204910595359639</v>
      </c>
      <c r="R1406">
        <f t="shared" si="193"/>
        <v>3.8146673998572496E-3</v>
      </c>
    </row>
    <row r="1407" spans="1:18" x14ac:dyDescent="0.2">
      <c r="A1407" t="s">
        <v>1418</v>
      </c>
      <c r="B1407">
        <v>5.7724291399999998</v>
      </c>
      <c r="C1407">
        <v>0.52587549</v>
      </c>
      <c r="D1407">
        <v>5.9385314300000003</v>
      </c>
      <c r="E1407">
        <v>0.73091687000000005</v>
      </c>
      <c r="F1407">
        <v>3.2293947599999999</v>
      </c>
      <c r="G1407">
        <v>1.3194627400000001</v>
      </c>
      <c r="H1407">
        <v>2.7681944399999998</v>
      </c>
      <c r="I1407">
        <v>9.6783300000000006E-3</v>
      </c>
      <c r="J1407">
        <v>1</v>
      </c>
      <c r="K1407">
        <v>950067</v>
      </c>
      <c r="L1407">
        <f t="shared" si="189"/>
        <v>1.2420749076923077E-2</v>
      </c>
      <c r="M1407">
        <f t="shared" si="190"/>
        <v>5.0748566923076929E-3</v>
      </c>
      <c r="N1407">
        <f t="shared" si="191"/>
        <v>1.0646901692307692E-2</v>
      </c>
      <c r="O1407">
        <f t="shared" si="192"/>
        <v>7.8608791923076918E-3</v>
      </c>
      <c r="P1407">
        <f t="shared" si="188"/>
        <v>29.758465309999139</v>
      </c>
      <c r="R1407">
        <f t="shared" si="193"/>
        <v>4.4119378868148476E-3</v>
      </c>
    </row>
    <row r="1408" spans="1:18" x14ac:dyDescent="0.2">
      <c r="A1408" t="s">
        <v>1419</v>
      </c>
      <c r="B1408">
        <v>5.8295279400000002</v>
      </c>
      <c r="C1408">
        <v>0.70477614</v>
      </c>
      <c r="D1408">
        <v>6.0055785400000001</v>
      </c>
      <c r="E1408">
        <v>0.53337177000000002</v>
      </c>
      <c r="F1408">
        <v>3.2441969400000001</v>
      </c>
      <c r="G1408">
        <v>1.33046902</v>
      </c>
      <c r="H1408">
        <v>2.8230751999999999</v>
      </c>
      <c r="I1408">
        <v>9.8609400000000003E-3</v>
      </c>
      <c r="J1408">
        <v>1</v>
      </c>
      <c r="K1408">
        <v>950067</v>
      </c>
      <c r="L1408">
        <f t="shared" si="189"/>
        <v>1.2477680538461539E-2</v>
      </c>
      <c r="M1408">
        <f t="shared" si="190"/>
        <v>5.1171885384615383E-3</v>
      </c>
      <c r="N1408">
        <f t="shared" si="191"/>
        <v>1.0857981538461538E-2</v>
      </c>
      <c r="O1408">
        <f t="shared" si="192"/>
        <v>7.9875850384615379E-3</v>
      </c>
      <c r="P1408">
        <f t="shared" si="188"/>
        <v>39.88217118372468</v>
      </c>
      <c r="R1408">
        <f t="shared" si="193"/>
        <v>2.7790829773275171E-3</v>
      </c>
    </row>
    <row r="1409" spans="1:19" x14ac:dyDescent="0.2">
      <c r="A1409" t="s">
        <v>1420</v>
      </c>
      <c r="B1409">
        <v>5.8674207799999998</v>
      </c>
      <c r="C1409">
        <v>0.82518749999999996</v>
      </c>
      <c r="D1409">
        <v>6.0429406700000001</v>
      </c>
      <c r="E1409">
        <v>0.53337177000000002</v>
      </c>
      <c r="F1409">
        <v>3.2596289999999999</v>
      </c>
      <c r="G1409">
        <v>1.33563246</v>
      </c>
      <c r="H1409">
        <v>2.8512948200000001</v>
      </c>
      <c r="I1409">
        <v>9.8609400000000003E-3</v>
      </c>
      <c r="J1409">
        <v>1</v>
      </c>
      <c r="K1409">
        <v>950067</v>
      </c>
      <c r="L1409">
        <f t="shared" si="189"/>
        <v>1.2537034615384616E-2</v>
      </c>
      <c r="M1409">
        <f t="shared" si="190"/>
        <v>5.1370479230769235E-3</v>
      </c>
      <c r="N1409">
        <f t="shared" si="191"/>
        <v>1.0966518538461539E-2</v>
      </c>
      <c r="O1409">
        <f t="shared" si="192"/>
        <v>8.05178323076923E-3</v>
      </c>
      <c r="P1409">
        <f t="shared" si="188"/>
        <v>46.696060303162092</v>
      </c>
      <c r="R1409">
        <f t="shared" si="193"/>
        <v>9.1241428116549525E-4</v>
      </c>
      <c r="S1409">
        <f>ABS(SUMIFS($R:$R,$K:$K,K1409))</f>
        <v>5.1553626280913291E-3</v>
      </c>
    </row>
    <row r="1410" spans="1:19" x14ac:dyDescent="0.2">
      <c r="A1410" t="s">
        <v>1421</v>
      </c>
      <c r="B1410">
        <v>5.8816954800000003</v>
      </c>
      <c r="C1410">
        <v>0.85304583</v>
      </c>
      <c r="D1410">
        <v>6.0526650599999998</v>
      </c>
      <c r="E1410">
        <v>0.53337177000000002</v>
      </c>
      <c r="F1410">
        <v>3.2736438300000001</v>
      </c>
      <c r="G1410">
        <v>1.3373309600000001</v>
      </c>
      <c r="H1410">
        <v>2.8595881599999999</v>
      </c>
      <c r="I1410">
        <v>9.8609400000000003E-3</v>
      </c>
      <c r="J1410">
        <v>1</v>
      </c>
      <c r="K1410">
        <v>950067</v>
      </c>
      <c r="L1410">
        <f t="shared" si="189"/>
        <v>1.2590937807692309E-2</v>
      </c>
      <c r="M1410">
        <f t="shared" si="190"/>
        <v>5.1435806153846157E-3</v>
      </c>
      <c r="N1410">
        <f t="shared" si="191"/>
        <v>1.0998416E-2</v>
      </c>
      <c r="O1410">
        <f t="shared" si="192"/>
        <v>8.0709983076923085E-3</v>
      </c>
      <c r="P1410">
        <f t="shared" si="188"/>
        <v>48.272519298996841</v>
      </c>
      <c r="R1410">
        <f t="shared" si="193"/>
        <v>2.4480643439061698E-4</v>
      </c>
    </row>
    <row r="1411" spans="1:19" x14ac:dyDescent="0.2">
      <c r="A1411" t="s">
        <v>1422</v>
      </c>
      <c r="B1411">
        <v>5.8816954800000003</v>
      </c>
      <c r="C1411">
        <v>0.85502628000000003</v>
      </c>
      <c r="D1411">
        <v>6.0511296300000001</v>
      </c>
      <c r="E1411">
        <v>0.47410824000000001</v>
      </c>
      <c r="F1411">
        <v>3.2889184199999999</v>
      </c>
      <c r="G1411">
        <v>1.3377386</v>
      </c>
      <c r="H1411">
        <v>2.86181456</v>
      </c>
      <c r="I1411">
        <v>9.8609400000000003E-3</v>
      </c>
      <c r="J1411">
        <v>1</v>
      </c>
      <c r="K1411">
        <v>950067</v>
      </c>
      <c r="L1411">
        <f t="shared" si="189"/>
        <v>1.264968623076923E-2</v>
      </c>
      <c r="M1411">
        <f t="shared" si="190"/>
        <v>5.1451484615384615E-3</v>
      </c>
      <c r="N1411">
        <f t="shared" si="191"/>
        <v>1.1006979076923077E-2</v>
      </c>
      <c r="O1411">
        <f t="shared" si="192"/>
        <v>8.076063769230769E-3</v>
      </c>
      <c r="P1411">
        <f t="shared" ref="P1411:P1474" si="197">+C1411*4/(PI()*0.15^2)</f>
        <v>48.384589843724434</v>
      </c>
      <c r="R1411">
        <f t="shared" si="193"/>
        <v>-8.782542377394071E-5</v>
      </c>
    </row>
    <row r="1412" spans="1:19" x14ac:dyDescent="0.2">
      <c r="A1412" t="s">
        <v>1423</v>
      </c>
      <c r="B1412">
        <v>5.8785809999999996</v>
      </c>
      <c r="C1412">
        <v>0.81752975999999999</v>
      </c>
      <c r="D1412">
        <v>6.0490823899999997</v>
      </c>
      <c r="E1412">
        <v>0.41484471000000001</v>
      </c>
      <c r="F1412">
        <v>3.3052953</v>
      </c>
      <c r="G1412">
        <v>1.3379424200000001</v>
      </c>
      <c r="H1412">
        <v>2.8606457000000001</v>
      </c>
      <c r="I1412">
        <v>9.8609400000000003E-3</v>
      </c>
      <c r="J1412">
        <v>1</v>
      </c>
      <c r="K1412">
        <v>950067</v>
      </c>
      <c r="L1412">
        <f t="shared" ref="L1412:L1475" si="198">+F1412/260</f>
        <v>1.271267423076923E-2</v>
      </c>
      <c r="M1412">
        <f t="shared" ref="M1412:M1475" si="199">+G1412/260</f>
        <v>5.1459323846153853E-3</v>
      </c>
      <c r="N1412">
        <f t="shared" ref="N1412:N1475" si="200">+H1412/260</f>
        <v>1.1002483461538462E-2</v>
      </c>
      <c r="O1412">
        <f t="shared" ref="O1412:O1475" si="201">(+G1412+H1412)/520</f>
        <v>8.0742079230769238E-3</v>
      </c>
      <c r="P1412">
        <f t="shared" si="197"/>
        <v>46.262720863548743</v>
      </c>
      <c r="R1412">
        <f t="shared" ref="R1412:R1475" si="202">+(P1412+P1413)/2*(O1413-O1412)</f>
        <v>-9.7406172643347199E-4</v>
      </c>
    </row>
    <row r="1413" spans="1:19" x14ac:dyDescent="0.2">
      <c r="A1413" t="s">
        <v>1424</v>
      </c>
      <c r="B1413">
        <v>5.8643063</v>
      </c>
      <c r="C1413">
        <v>0.70675659000000002</v>
      </c>
      <c r="D1413">
        <v>6.0321926599999998</v>
      </c>
      <c r="E1413">
        <v>0.41484471000000001</v>
      </c>
      <c r="F1413">
        <v>3.31537338</v>
      </c>
      <c r="G1413">
        <v>1.3379424200000001</v>
      </c>
      <c r="H1413">
        <v>2.8489014400000001</v>
      </c>
      <c r="I1413">
        <v>9.8609400000000003E-3</v>
      </c>
      <c r="J1413">
        <v>1</v>
      </c>
      <c r="K1413">
        <v>950067</v>
      </c>
      <c r="L1413">
        <f t="shared" si="198"/>
        <v>1.2751436076923077E-2</v>
      </c>
      <c r="M1413">
        <f t="shared" si="199"/>
        <v>5.1459323846153853E-3</v>
      </c>
      <c r="N1413">
        <f t="shared" si="200"/>
        <v>1.0957313230769232E-2</v>
      </c>
      <c r="O1413">
        <f t="shared" si="201"/>
        <v>8.0516228076923067E-3</v>
      </c>
      <c r="P1413">
        <f t="shared" si="197"/>
        <v>39.994241728452266</v>
      </c>
      <c r="R1413">
        <f t="shared" si="202"/>
        <v>-1.0231347850301557E-3</v>
      </c>
    </row>
    <row r="1414" spans="1:19" x14ac:dyDescent="0.2">
      <c r="A1414" t="s">
        <v>1425</v>
      </c>
      <c r="B1414">
        <v>5.84847436</v>
      </c>
      <c r="C1414">
        <v>0.61288326000000004</v>
      </c>
      <c r="D1414">
        <v>6.0193974099999998</v>
      </c>
      <c r="E1414">
        <v>0.41484471000000001</v>
      </c>
      <c r="F1414">
        <v>3.3240342300000001</v>
      </c>
      <c r="G1414">
        <v>1.3379424200000001</v>
      </c>
      <c r="H1414">
        <v>2.8346524799999999</v>
      </c>
      <c r="I1414">
        <v>9.6783300000000006E-3</v>
      </c>
      <c r="J1414">
        <v>1</v>
      </c>
      <c r="K1414">
        <v>950067</v>
      </c>
      <c r="L1414">
        <f t="shared" si="198"/>
        <v>1.2784747038461539E-2</v>
      </c>
      <c r="M1414">
        <f t="shared" si="199"/>
        <v>5.1459323846153853E-3</v>
      </c>
      <c r="N1414">
        <f t="shared" si="200"/>
        <v>1.0902509538461539E-2</v>
      </c>
      <c r="O1414">
        <f t="shared" si="201"/>
        <v>8.024220961538462E-3</v>
      </c>
      <c r="P1414">
        <f t="shared" si="197"/>
        <v>34.682097908364554</v>
      </c>
      <c r="R1414">
        <f t="shared" si="202"/>
        <v>-1.3275682136608248E-3</v>
      </c>
    </row>
    <row r="1415" spans="1:19" x14ac:dyDescent="0.2">
      <c r="A1415" t="s">
        <v>1426</v>
      </c>
      <c r="B1415">
        <v>5.8240775999999999</v>
      </c>
      <c r="C1415">
        <v>0.52178256000000001</v>
      </c>
      <c r="D1415">
        <v>5.9932951000000001</v>
      </c>
      <c r="E1415">
        <v>0.41484471000000001</v>
      </c>
      <c r="F1415">
        <v>3.3331674900000001</v>
      </c>
      <c r="G1415">
        <v>1.3375347799999999</v>
      </c>
      <c r="H1415">
        <v>2.81355734</v>
      </c>
      <c r="I1415">
        <v>9.6783300000000006E-3</v>
      </c>
      <c r="J1415">
        <v>1</v>
      </c>
      <c r="K1415">
        <v>950067</v>
      </c>
      <c r="L1415">
        <f t="shared" si="198"/>
        <v>1.2819874961538462E-2</v>
      </c>
      <c r="M1415">
        <f t="shared" si="199"/>
        <v>5.1443645384615377E-3</v>
      </c>
      <c r="N1415">
        <f t="shared" si="200"/>
        <v>1.0821374384615385E-2</v>
      </c>
      <c r="O1415">
        <f t="shared" si="201"/>
        <v>7.9828694615384603E-3</v>
      </c>
      <c r="P1415">
        <f t="shared" si="197"/>
        <v>29.526852850895455</v>
      </c>
      <c r="R1415">
        <f t="shared" si="202"/>
        <v>-2.0109901778158448E-3</v>
      </c>
    </row>
    <row r="1416" spans="1:19" x14ac:dyDescent="0.2">
      <c r="A1416" t="s">
        <v>1427</v>
      </c>
      <c r="B1416">
        <v>5.7898183200000002</v>
      </c>
      <c r="C1416">
        <v>0.41945930999999997</v>
      </c>
      <c r="D1416">
        <v>5.9523503</v>
      </c>
      <c r="E1416">
        <v>0.41484471000000001</v>
      </c>
      <c r="F1416">
        <v>3.3374191799999999</v>
      </c>
      <c r="G1416">
        <v>1.3333904400000001</v>
      </c>
      <c r="H1416">
        <v>2.77843588</v>
      </c>
      <c r="I1416">
        <v>9.6783300000000006E-3</v>
      </c>
      <c r="J1416">
        <v>1</v>
      </c>
      <c r="K1416">
        <v>950067</v>
      </c>
      <c r="L1416">
        <f t="shared" si="198"/>
        <v>1.2836227615384615E-2</v>
      </c>
      <c r="M1416">
        <f t="shared" si="199"/>
        <v>5.1284247692307697E-3</v>
      </c>
      <c r="N1416">
        <f t="shared" si="200"/>
        <v>1.0686291846153845E-2</v>
      </c>
      <c r="O1416">
        <f t="shared" si="201"/>
        <v>7.9073583076923089E-3</v>
      </c>
      <c r="P1416">
        <f t="shared" si="197"/>
        <v>23.736541373303353</v>
      </c>
      <c r="R1416">
        <f t="shared" si="202"/>
        <v>-2.2302251852074312E-3</v>
      </c>
    </row>
    <row r="1417" spans="1:19" x14ac:dyDescent="0.2">
      <c r="A1417" t="s">
        <v>1428</v>
      </c>
      <c r="B1417">
        <v>5.7464751400000003</v>
      </c>
      <c r="C1417">
        <v>0.32518988999999998</v>
      </c>
      <c r="D1417">
        <v>5.9011693000000003</v>
      </c>
      <c r="E1417">
        <v>0.41484471000000001</v>
      </c>
      <c r="F1417">
        <v>3.3341123100000001</v>
      </c>
      <c r="G1417">
        <v>1.3251017599999999</v>
      </c>
      <c r="H1417">
        <v>2.7316814800000002</v>
      </c>
      <c r="I1417">
        <v>9.6783300000000006E-3</v>
      </c>
      <c r="J1417">
        <v>1</v>
      </c>
      <c r="K1417">
        <v>950067</v>
      </c>
      <c r="L1417">
        <f t="shared" si="198"/>
        <v>1.2823508884615385E-2</v>
      </c>
      <c r="M1417">
        <f t="shared" si="199"/>
        <v>5.0965452307692302E-3</v>
      </c>
      <c r="N1417">
        <f t="shared" si="200"/>
        <v>1.0506467230769232E-2</v>
      </c>
      <c r="O1417">
        <f t="shared" si="201"/>
        <v>7.8015062307692298E-3</v>
      </c>
      <c r="P1417">
        <f t="shared" si="197"/>
        <v>18.401983444270115</v>
      </c>
      <c r="R1417">
        <f t="shared" si="202"/>
        <v>-2.0375589990419911E-3</v>
      </c>
    </row>
    <row r="1418" spans="1:19" x14ac:dyDescent="0.2">
      <c r="A1418" t="s">
        <v>1429</v>
      </c>
      <c r="B1418">
        <v>5.6963839199999997</v>
      </c>
      <c r="C1418">
        <v>0.24253911</v>
      </c>
      <c r="D1418">
        <v>5.84026391</v>
      </c>
      <c r="E1418">
        <v>0.41484471000000001</v>
      </c>
      <c r="F1418">
        <v>3.3282859199999999</v>
      </c>
      <c r="G1418">
        <v>1.31246492</v>
      </c>
      <c r="H1418">
        <v>2.6783592000000001</v>
      </c>
      <c r="I1418">
        <v>9.6783300000000006E-3</v>
      </c>
      <c r="J1418">
        <v>1</v>
      </c>
      <c r="K1418">
        <v>950067</v>
      </c>
      <c r="L1418">
        <f t="shared" si="198"/>
        <v>1.2801099692307692E-2</v>
      </c>
      <c r="M1418">
        <f t="shared" si="199"/>
        <v>5.0479419999999997E-3</v>
      </c>
      <c r="N1418">
        <f t="shared" si="200"/>
        <v>1.0301381538461539E-2</v>
      </c>
      <c r="O1418">
        <f t="shared" si="201"/>
        <v>7.6746617692307695E-3</v>
      </c>
      <c r="P1418">
        <f t="shared" si="197"/>
        <v>13.724906044305403</v>
      </c>
      <c r="R1418">
        <f t="shared" si="202"/>
        <v>-1.5309109446682099E-3</v>
      </c>
    </row>
    <row r="1419" spans="1:19" x14ac:dyDescent="0.2">
      <c r="A1419" t="s">
        <v>1430</v>
      </c>
      <c r="B1419">
        <v>5.6465522400000001</v>
      </c>
      <c r="C1419">
        <v>0.1663578</v>
      </c>
      <c r="D1419">
        <v>5.78242938</v>
      </c>
      <c r="E1419">
        <v>0.47410824000000001</v>
      </c>
      <c r="F1419">
        <v>3.3191526599999999</v>
      </c>
      <c r="G1419">
        <v>1.29853722</v>
      </c>
      <c r="H1419">
        <v>2.62347844</v>
      </c>
      <c r="I1419">
        <v>1.004355E-2</v>
      </c>
      <c r="J1419">
        <v>1</v>
      </c>
      <c r="K1419">
        <v>950067</v>
      </c>
      <c r="L1419">
        <f t="shared" si="198"/>
        <v>1.2765971769230769E-2</v>
      </c>
      <c r="M1419">
        <f t="shared" si="199"/>
        <v>4.9943739230769229E-3</v>
      </c>
      <c r="N1419">
        <f t="shared" si="200"/>
        <v>1.0090301692307692E-2</v>
      </c>
      <c r="O1419">
        <f t="shared" si="201"/>
        <v>7.5423378076923077E-3</v>
      </c>
      <c r="P1419">
        <f t="shared" si="197"/>
        <v>9.413925757117477</v>
      </c>
      <c r="R1419">
        <f t="shared" si="202"/>
        <v>-9.9513574853569791E-4</v>
      </c>
    </row>
    <row r="1420" spans="1:19" x14ac:dyDescent="0.2">
      <c r="A1420" t="s">
        <v>1431</v>
      </c>
      <c r="B1420">
        <v>5.5951633200000002</v>
      </c>
      <c r="C1420">
        <v>9.9946709999999994E-2</v>
      </c>
      <c r="D1420">
        <v>5.7292011399999998</v>
      </c>
      <c r="E1420">
        <v>0.79018040000000001</v>
      </c>
      <c r="F1420">
        <v>3.3019884300000002</v>
      </c>
      <c r="G1420">
        <v>1.28318278</v>
      </c>
      <c r="H1420">
        <v>2.5701561599999998</v>
      </c>
      <c r="I1420">
        <v>1.004355E-2</v>
      </c>
      <c r="J1420">
        <v>1</v>
      </c>
      <c r="K1420">
        <v>950067</v>
      </c>
      <c r="L1420">
        <f t="shared" si="198"/>
        <v>1.26999555E-2</v>
      </c>
      <c r="M1420">
        <f t="shared" si="199"/>
        <v>4.9353183846153848E-3</v>
      </c>
      <c r="N1420">
        <f t="shared" si="200"/>
        <v>9.8852159999999988E-3</v>
      </c>
      <c r="O1420">
        <f t="shared" si="201"/>
        <v>7.4102671923076914E-3</v>
      </c>
      <c r="P1420">
        <f t="shared" si="197"/>
        <v>5.6558268239189919</v>
      </c>
      <c r="R1420">
        <f t="shared" si="202"/>
        <v>-4.0451865576354257E-4</v>
      </c>
    </row>
    <row r="1421" spans="1:19" x14ac:dyDescent="0.2">
      <c r="A1421" t="s">
        <v>1432</v>
      </c>
      <c r="B1421">
        <v>5.55078198</v>
      </c>
      <c r="C1421">
        <v>5.3604180000000001E-2</v>
      </c>
      <c r="D1421">
        <v>5.6903035800000001</v>
      </c>
      <c r="E1421">
        <v>1.0272345199999999</v>
      </c>
      <c r="F1421">
        <v>3.2823046800000002</v>
      </c>
      <c r="G1421">
        <v>1.27244826</v>
      </c>
      <c r="H1421">
        <v>2.5324743399999998</v>
      </c>
      <c r="I1421">
        <v>1.004355E-2</v>
      </c>
      <c r="J1421">
        <v>1</v>
      </c>
      <c r="K1421">
        <v>950067</v>
      </c>
      <c r="L1421">
        <f t="shared" si="198"/>
        <v>1.262424876923077E-2</v>
      </c>
      <c r="M1421">
        <f t="shared" si="199"/>
        <v>4.8940317692307694E-3</v>
      </c>
      <c r="N1421">
        <f t="shared" si="200"/>
        <v>9.7402859230769218E-3</v>
      </c>
      <c r="O1421">
        <f t="shared" si="201"/>
        <v>7.3171588461538456E-3</v>
      </c>
      <c r="P1421">
        <f t="shared" si="197"/>
        <v>3.0333760772934095</v>
      </c>
      <c r="R1421">
        <f t="shared" si="202"/>
        <v>-7.9961680205648875E-5</v>
      </c>
    </row>
    <row r="1422" spans="1:19" x14ac:dyDescent="0.2">
      <c r="A1422" t="s">
        <v>1433</v>
      </c>
      <c r="B1422">
        <v>5.5380645199999998</v>
      </c>
      <c r="C1422">
        <v>5.0831550000000003E-2</v>
      </c>
      <c r="D1422">
        <v>5.6790437599999999</v>
      </c>
      <c r="E1422">
        <v>1.1457615800000001</v>
      </c>
      <c r="F1422">
        <v>3.2649829800000001</v>
      </c>
      <c r="G1422">
        <v>1.2691192</v>
      </c>
      <c r="H1422">
        <v>2.5217319599999999</v>
      </c>
      <c r="I1422">
        <v>1.004355E-2</v>
      </c>
      <c r="J1422">
        <v>1</v>
      </c>
      <c r="K1422">
        <v>950067</v>
      </c>
      <c r="L1422">
        <f t="shared" si="198"/>
        <v>1.2557626846153847E-2</v>
      </c>
      <c r="M1422">
        <f t="shared" si="199"/>
        <v>4.8812276923076922E-3</v>
      </c>
      <c r="N1422">
        <f t="shared" si="200"/>
        <v>9.6989690769230773E-3</v>
      </c>
      <c r="O1422">
        <f t="shared" si="201"/>
        <v>7.2900983846153847E-3</v>
      </c>
      <c r="P1422">
        <f t="shared" si="197"/>
        <v>2.8764773146747848</v>
      </c>
      <c r="R1422">
        <f t="shared" si="202"/>
        <v>1.6668930144130101E-4</v>
      </c>
    </row>
    <row r="1423" spans="1:19" x14ac:dyDescent="0.2">
      <c r="A1423" t="s">
        <v>1434</v>
      </c>
      <c r="B1423">
        <v>5.55467508</v>
      </c>
      <c r="C1423">
        <v>0.10641618</v>
      </c>
      <c r="D1423">
        <v>5.7010515899999996</v>
      </c>
      <c r="E1423">
        <v>1.1457615800000001</v>
      </c>
      <c r="F1423">
        <v>3.24671646</v>
      </c>
      <c r="G1423">
        <v>1.26850774</v>
      </c>
      <c r="H1423">
        <v>2.5418252200000002</v>
      </c>
      <c r="I1423">
        <v>1.004355E-2</v>
      </c>
      <c r="J1423">
        <v>1</v>
      </c>
      <c r="K1423">
        <v>950067</v>
      </c>
      <c r="L1423">
        <f t="shared" si="198"/>
        <v>1.2487371000000001E-2</v>
      </c>
      <c r="M1423">
        <f t="shared" si="199"/>
        <v>4.8788759230769235E-3</v>
      </c>
      <c r="N1423">
        <f t="shared" si="200"/>
        <v>9.7762508461538469E-3</v>
      </c>
      <c r="O1423">
        <f t="shared" si="201"/>
        <v>7.3275633846153852E-3</v>
      </c>
      <c r="P1423">
        <f t="shared" si="197"/>
        <v>6.0219239366957833</v>
      </c>
      <c r="R1423">
        <f t="shared" si="202"/>
        <v>8.0293859800258278E-4</v>
      </c>
    </row>
    <row r="1424" spans="1:19" x14ac:dyDescent="0.2">
      <c r="A1424" t="s">
        <v>1435</v>
      </c>
      <c r="B1424">
        <v>5.5943847</v>
      </c>
      <c r="C1424">
        <v>0.18814275</v>
      </c>
      <c r="D1424">
        <v>5.7460908699999997</v>
      </c>
      <c r="E1424">
        <v>1.1457615800000001</v>
      </c>
      <c r="F1424">
        <v>3.2317568099999998</v>
      </c>
      <c r="G1424">
        <v>1.27530174</v>
      </c>
      <c r="H1424">
        <v>2.5851286999999998</v>
      </c>
      <c r="I1424">
        <v>9.8609400000000003E-3</v>
      </c>
      <c r="J1424">
        <v>1</v>
      </c>
      <c r="K1424">
        <v>950068</v>
      </c>
      <c r="L1424">
        <f t="shared" si="198"/>
        <v>1.2429833884615384E-2</v>
      </c>
      <c r="M1424">
        <f t="shared" si="199"/>
        <v>4.905006692307692E-3</v>
      </c>
      <c r="N1424">
        <f t="shared" si="200"/>
        <v>9.9428026923076909E-3</v>
      </c>
      <c r="O1424">
        <f t="shared" si="201"/>
        <v>7.4239046923076923E-3</v>
      </c>
      <c r="P1424">
        <f t="shared" si="197"/>
        <v>10.646701749120957</v>
      </c>
      <c r="Q1424">
        <f t="shared" ref="Q1424" si="203">ABS(0.5*(SUMPRODUCT(O1424:O1442,P1425:P1443)+O1443*P1424-(SUMPRODUCT(O1425:O1443,P1424:P1442)+O1424*P1443)))</f>
        <v>5.2165909105561514E-3</v>
      </c>
      <c r="R1424">
        <f t="shared" si="202"/>
        <v>1.8394171265221555E-3</v>
      </c>
    </row>
    <row r="1425" spans="1:19" x14ac:dyDescent="0.2">
      <c r="A1425" t="s">
        <v>1436</v>
      </c>
      <c r="B1425">
        <v>5.6457736199999999</v>
      </c>
      <c r="C1425">
        <v>0.28320434999999999</v>
      </c>
      <c r="D1425">
        <v>5.80699626</v>
      </c>
      <c r="E1425">
        <v>0.96797098999999998</v>
      </c>
      <c r="F1425">
        <v>3.2259304200000001</v>
      </c>
      <c r="G1425">
        <v>1.2896370800000001</v>
      </c>
      <c r="H1425">
        <v>2.6425141600000002</v>
      </c>
      <c r="I1425">
        <v>9.8609400000000003E-3</v>
      </c>
      <c r="J1425">
        <v>1</v>
      </c>
      <c r="K1425">
        <v>950068</v>
      </c>
      <c r="L1425">
        <f t="shared" si="198"/>
        <v>1.2407424692307692E-2</v>
      </c>
      <c r="M1425">
        <f t="shared" si="199"/>
        <v>4.9601426153846155E-3</v>
      </c>
      <c r="N1425">
        <f t="shared" si="200"/>
        <v>1.0163516000000001E-2</v>
      </c>
      <c r="O1425">
        <f t="shared" si="201"/>
        <v>7.5618293076923082E-3</v>
      </c>
      <c r="P1425">
        <f t="shared" si="197"/>
        <v>16.02608789604523</v>
      </c>
      <c r="R1425">
        <f t="shared" si="202"/>
        <v>2.9125484085925505E-3</v>
      </c>
    </row>
    <row r="1426" spans="1:19" x14ac:dyDescent="0.2">
      <c r="A1426" t="s">
        <v>1437</v>
      </c>
      <c r="B1426">
        <v>5.7083227599999997</v>
      </c>
      <c r="C1426">
        <v>0.39331737</v>
      </c>
      <c r="D1426">
        <v>5.8679016500000003</v>
      </c>
      <c r="E1426">
        <v>0.67165333999999999</v>
      </c>
      <c r="F1426">
        <v>3.22797753</v>
      </c>
      <c r="G1426">
        <v>1.30519534</v>
      </c>
      <c r="H1426">
        <v>2.70607788</v>
      </c>
      <c r="I1426">
        <v>9.6783300000000006E-3</v>
      </c>
      <c r="J1426">
        <v>1</v>
      </c>
      <c r="K1426">
        <v>950068</v>
      </c>
      <c r="L1426">
        <f t="shared" si="198"/>
        <v>1.2415298192307692E-2</v>
      </c>
      <c r="M1426">
        <f t="shared" si="199"/>
        <v>5.0199820769230774E-3</v>
      </c>
      <c r="N1426">
        <f t="shared" si="200"/>
        <v>1.0407991846153847E-2</v>
      </c>
      <c r="O1426">
        <f t="shared" si="201"/>
        <v>7.7139869615384608E-3</v>
      </c>
      <c r="P1426">
        <f t="shared" si="197"/>
        <v>22.257210182899179</v>
      </c>
      <c r="R1426">
        <f t="shared" si="202"/>
        <v>3.8150807414575796E-3</v>
      </c>
    </row>
    <row r="1427" spans="1:19" x14ac:dyDescent="0.2">
      <c r="A1427" t="s">
        <v>1438</v>
      </c>
      <c r="B1427">
        <v>5.77320776</v>
      </c>
      <c r="C1427">
        <v>0.52706375999999999</v>
      </c>
      <c r="D1427">
        <v>5.9385314300000003</v>
      </c>
      <c r="E1427">
        <v>0.61238981000000003</v>
      </c>
      <c r="F1427">
        <v>3.2317568099999998</v>
      </c>
      <c r="G1427">
        <v>1.31925892</v>
      </c>
      <c r="H1427">
        <v>2.7681944399999998</v>
      </c>
      <c r="I1427">
        <v>9.6783300000000006E-3</v>
      </c>
      <c r="J1427">
        <v>1</v>
      </c>
      <c r="K1427">
        <v>950068</v>
      </c>
      <c r="L1427">
        <f t="shared" si="198"/>
        <v>1.2429833884615384E-2</v>
      </c>
      <c r="M1427">
        <f t="shared" si="199"/>
        <v>5.0740727692307691E-3</v>
      </c>
      <c r="N1427">
        <f t="shared" si="200"/>
        <v>1.0646901692307692E-2</v>
      </c>
      <c r="O1427">
        <f t="shared" si="201"/>
        <v>7.8604872307692294E-3</v>
      </c>
      <c r="P1427">
        <f t="shared" si="197"/>
        <v>29.825707636835691</v>
      </c>
      <c r="R1427">
        <f t="shared" si="202"/>
        <v>4.4257711188109474E-3</v>
      </c>
    </row>
    <row r="1428" spans="1:19" x14ac:dyDescent="0.2">
      <c r="A1428" t="s">
        <v>1439</v>
      </c>
      <c r="B1428">
        <v>5.8318637999999998</v>
      </c>
      <c r="C1428">
        <v>0.70675659000000002</v>
      </c>
      <c r="D1428">
        <v>6.0071139699999998</v>
      </c>
      <c r="E1428">
        <v>0.61238981000000003</v>
      </c>
      <c r="F1428">
        <v>3.2432521200000002</v>
      </c>
      <c r="G1428">
        <v>1.33046902</v>
      </c>
      <c r="H1428">
        <v>2.82290822</v>
      </c>
      <c r="I1428">
        <v>9.4957199999999992E-3</v>
      </c>
      <c r="J1428">
        <v>1</v>
      </c>
      <c r="K1428">
        <v>950068</v>
      </c>
      <c r="L1428">
        <f t="shared" si="198"/>
        <v>1.2474046615384616E-2</v>
      </c>
      <c r="M1428">
        <f t="shared" si="199"/>
        <v>5.1171885384615383E-3</v>
      </c>
      <c r="N1428">
        <f t="shared" si="200"/>
        <v>1.0857339307692308E-2</v>
      </c>
      <c r="O1428">
        <f t="shared" si="201"/>
        <v>7.9872639230769236E-3</v>
      </c>
      <c r="P1428">
        <f t="shared" si="197"/>
        <v>39.994241728452266</v>
      </c>
      <c r="R1428">
        <f t="shared" si="202"/>
        <v>2.7817655392659312E-3</v>
      </c>
    </row>
    <row r="1429" spans="1:19" x14ac:dyDescent="0.2">
      <c r="A1429" t="s">
        <v>1440</v>
      </c>
      <c r="B1429">
        <v>5.8700161800000004</v>
      </c>
      <c r="C1429">
        <v>0.82637576999999995</v>
      </c>
      <c r="D1429">
        <v>6.0398698099999999</v>
      </c>
      <c r="E1429">
        <v>0.61238981000000003</v>
      </c>
      <c r="F1429">
        <v>3.2610462299999998</v>
      </c>
      <c r="G1429">
        <v>1.3354286399999999</v>
      </c>
      <c r="H1429">
        <v>2.8512948200000001</v>
      </c>
      <c r="I1429">
        <v>9.4957199999999992E-3</v>
      </c>
      <c r="J1429">
        <v>1</v>
      </c>
      <c r="K1429">
        <v>950068</v>
      </c>
      <c r="L1429">
        <f t="shared" si="198"/>
        <v>1.2542485499999999E-2</v>
      </c>
      <c r="M1429">
        <f t="shared" si="199"/>
        <v>5.1362639999999998E-3</v>
      </c>
      <c r="N1429">
        <f t="shared" si="200"/>
        <v>1.0966518538461539E-2</v>
      </c>
      <c r="O1429">
        <f t="shared" si="201"/>
        <v>8.0513912692307676E-3</v>
      </c>
      <c r="P1429">
        <f t="shared" si="197"/>
        <v>46.763302629998641</v>
      </c>
      <c r="R1429">
        <f t="shared" si="202"/>
        <v>9.0296093071497684E-4</v>
      </c>
    </row>
    <row r="1430" spans="1:19" x14ac:dyDescent="0.2">
      <c r="A1430" t="s">
        <v>1441</v>
      </c>
      <c r="B1430">
        <v>5.8809168600000001</v>
      </c>
      <c r="C1430">
        <v>0.85304583</v>
      </c>
      <c r="D1430">
        <v>6.0542004900000004</v>
      </c>
      <c r="E1430">
        <v>0.61238981000000003</v>
      </c>
      <c r="F1430">
        <v>3.2750610600000001</v>
      </c>
      <c r="G1430">
        <v>1.33651568</v>
      </c>
      <c r="H1430">
        <v>2.8600891000000002</v>
      </c>
      <c r="I1430">
        <v>9.6783300000000006E-3</v>
      </c>
      <c r="J1430">
        <v>1</v>
      </c>
      <c r="K1430">
        <v>950068</v>
      </c>
      <c r="L1430">
        <f t="shared" si="198"/>
        <v>1.2596388692307692E-2</v>
      </c>
      <c r="M1430">
        <f t="shared" si="199"/>
        <v>5.1404449230769231E-3</v>
      </c>
      <c r="N1430">
        <f t="shared" si="200"/>
        <v>1.1000342692307694E-2</v>
      </c>
      <c r="O1430">
        <f t="shared" si="201"/>
        <v>8.0703938076923092E-3</v>
      </c>
      <c r="P1430">
        <f t="shared" si="197"/>
        <v>48.272519298996841</v>
      </c>
      <c r="R1430">
        <f t="shared" si="202"/>
        <v>2.858508024108753E-4</v>
      </c>
      <c r="S1430">
        <f>ABS(SUMIFS($R:$R,$K:$K,K1430))</f>
        <v>5.2350615590485514E-3</v>
      </c>
    </row>
    <row r="1431" spans="1:19" x14ac:dyDescent="0.2">
      <c r="A1431" t="s">
        <v>1442</v>
      </c>
      <c r="B1431">
        <v>5.88013824</v>
      </c>
      <c r="C1431">
        <v>0.85344191999999997</v>
      </c>
      <c r="D1431">
        <v>6.0526650599999998</v>
      </c>
      <c r="E1431">
        <v>0.53337177000000002</v>
      </c>
      <c r="F1431">
        <v>3.2893908299999999</v>
      </c>
      <c r="G1431">
        <v>1.3375347799999999</v>
      </c>
      <c r="H1431">
        <v>2.8621485199999999</v>
      </c>
      <c r="I1431">
        <v>9.6783300000000006E-3</v>
      </c>
      <c r="J1431">
        <v>1</v>
      </c>
      <c r="K1431">
        <v>950068</v>
      </c>
      <c r="L1431">
        <f t="shared" si="198"/>
        <v>1.2651503192307692E-2</v>
      </c>
      <c r="M1431">
        <f t="shared" si="199"/>
        <v>5.1443645384615377E-3</v>
      </c>
      <c r="N1431">
        <f t="shared" si="200"/>
        <v>1.1008263538461538E-2</v>
      </c>
      <c r="O1431">
        <f t="shared" si="201"/>
        <v>8.0763140384615389E-3</v>
      </c>
      <c r="P1431">
        <f t="shared" si="197"/>
        <v>48.294933407942359</v>
      </c>
      <c r="R1431">
        <f t="shared" si="202"/>
        <v>-1.213692998963199E-4</v>
      </c>
    </row>
    <row r="1432" spans="1:19" x14ac:dyDescent="0.2">
      <c r="A1432" t="s">
        <v>1443</v>
      </c>
      <c r="B1432">
        <v>5.8793596199999998</v>
      </c>
      <c r="C1432">
        <v>0.81634149</v>
      </c>
      <c r="D1432">
        <v>6.04754696</v>
      </c>
      <c r="E1432">
        <v>0.53337177000000002</v>
      </c>
      <c r="F1432">
        <v>3.30624012</v>
      </c>
      <c r="G1432">
        <v>1.3375347799999999</v>
      </c>
      <c r="H1432">
        <v>2.86081268</v>
      </c>
      <c r="I1432">
        <v>9.6783300000000006E-3</v>
      </c>
      <c r="J1432">
        <v>1</v>
      </c>
      <c r="K1432">
        <v>950068</v>
      </c>
      <c r="L1432">
        <f t="shared" si="198"/>
        <v>1.2716308153846154E-2</v>
      </c>
      <c r="M1432">
        <f t="shared" si="199"/>
        <v>5.1443645384615377E-3</v>
      </c>
      <c r="N1432">
        <f t="shared" si="200"/>
        <v>1.1003125692307693E-2</v>
      </c>
      <c r="O1432">
        <f t="shared" si="201"/>
        <v>8.0737451153846153E-3</v>
      </c>
      <c r="P1432">
        <f t="shared" si="197"/>
        <v>46.195478536712194</v>
      </c>
      <c r="R1432">
        <f t="shared" si="202"/>
        <v>-9.9688806403260433E-4</v>
      </c>
    </row>
    <row r="1433" spans="1:19" x14ac:dyDescent="0.2">
      <c r="A1433" t="s">
        <v>1444</v>
      </c>
      <c r="B1433">
        <v>5.8650849200000001</v>
      </c>
      <c r="C1433">
        <v>0.70517222999999996</v>
      </c>
      <c r="D1433">
        <v>6.03526352</v>
      </c>
      <c r="E1433">
        <v>0.53337177000000002</v>
      </c>
      <c r="F1433">
        <v>3.3186802499999999</v>
      </c>
      <c r="G1433">
        <v>1.3377386</v>
      </c>
      <c r="H1433">
        <v>2.8485674799999998</v>
      </c>
      <c r="I1433">
        <v>9.6783300000000006E-3</v>
      </c>
      <c r="J1433">
        <v>1</v>
      </c>
      <c r="K1433">
        <v>950068</v>
      </c>
      <c r="L1433">
        <f t="shared" si="198"/>
        <v>1.2764154807692307E-2</v>
      </c>
      <c r="M1433">
        <f t="shared" si="199"/>
        <v>5.1451484615384615E-3</v>
      </c>
      <c r="N1433">
        <f t="shared" si="200"/>
        <v>1.0956028769230769E-2</v>
      </c>
      <c r="O1433">
        <f t="shared" si="201"/>
        <v>8.0505886153846139E-3</v>
      </c>
      <c r="P1433">
        <f t="shared" si="197"/>
        <v>39.904585292670191</v>
      </c>
      <c r="R1433">
        <f t="shared" si="202"/>
        <v>-1.043238244749136E-3</v>
      </c>
    </row>
    <row r="1434" spans="1:19" x14ac:dyDescent="0.2">
      <c r="A1434" t="s">
        <v>1445</v>
      </c>
      <c r="B1434">
        <v>5.8476957399999998</v>
      </c>
      <c r="C1434">
        <v>0.60958250999999997</v>
      </c>
      <c r="D1434">
        <v>6.0147911199999999</v>
      </c>
      <c r="E1434">
        <v>0.53337177000000002</v>
      </c>
      <c r="F1434">
        <v>3.32497905</v>
      </c>
      <c r="G1434">
        <v>1.3377386</v>
      </c>
      <c r="H1434">
        <v>2.8339845600000002</v>
      </c>
      <c r="I1434">
        <v>9.6783300000000006E-3</v>
      </c>
      <c r="J1434">
        <v>1</v>
      </c>
      <c r="K1434">
        <v>950068</v>
      </c>
      <c r="L1434">
        <f t="shared" si="198"/>
        <v>1.2788380961538462E-2</v>
      </c>
      <c r="M1434">
        <f t="shared" si="199"/>
        <v>5.1451484615384615E-3</v>
      </c>
      <c r="N1434">
        <f t="shared" si="200"/>
        <v>1.0899940615384617E-2</v>
      </c>
      <c r="O1434">
        <f t="shared" si="201"/>
        <v>8.0225445384615388E-3</v>
      </c>
      <c r="P1434">
        <f t="shared" si="197"/>
        <v>34.495313667151898</v>
      </c>
      <c r="R1434">
        <f t="shared" si="202"/>
        <v>-1.3161171114962449E-3</v>
      </c>
    </row>
    <row r="1435" spans="1:19" x14ac:dyDescent="0.2">
      <c r="A1435" t="s">
        <v>1446</v>
      </c>
      <c r="B1435">
        <v>5.82485622</v>
      </c>
      <c r="C1435">
        <v>0.52019820000000005</v>
      </c>
      <c r="D1435">
        <v>5.9932951000000001</v>
      </c>
      <c r="E1435">
        <v>0.47410824000000001</v>
      </c>
      <c r="F1435">
        <v>3.3322226700000002</v>
      </c>
      <c r="G1435">
        <v>1.3369233199999999</v>
      </c>
      <c r="H1435">
        <v>2.8133903600000001</v>
      </c>
      <c r="I1435">
        <v>9.6783300000000006E-3</v>
      </c>
      <c r="J1435">
        <v>1</v>
      </c>
      <c r="K1435">
        <v>950068</v>
      </c>
      <c r="L1435">
        <f t="shared" si="198"/>
        <v>1.2816241038461539E-2</v>
      </c>
      <c r="M1435">
        <f t="shared" si="199"/>
        <v>5.142012769230769E-3</v>
      </c>
      <c r="N1435">
        <f t="shared" si="200"/>
        <v>1.0820732153846154E-2</v>
      </c>
      <c r="O1435">
        <f t="shared" si="201"/>
        <v>7.9813724615384607E-3</v>
      </c>
      <c r="P1435">
        <f t="shared" si="197"/>
        <v>29.437196415113387</v>
      </c>
      <c r="R1435">
        <f t="shared" si="202"/>
        <v>-1.9732338966460291E-3</v>
      </c>
    </row>
    <row r="1436" spans="1:19" x14ac:dyDescent="0.2">
      <c r="A1436" t="s">
        <v>1447</v>
      </c>
      <c r="B1436">
        <v>5.7924137199999999</v>
      </c>
      <c r="C1436">
        <v>0.42025149000000001</v>
      </c>
      <c r="D1436">
        <v>5.9523503</v>
      </c>
      <c r="E1436">
        <v>0.47410824000000001</v>
      </c>
      <c r="F1436">
        <v>3.3374191799999999</v>
      </c>
      <c r="G1436">
        <v>1.3329827999999999</v>
      </c>
      <c r="H1436">
        <v>2.7787698399999998</v>
      </c>
      <c r="I1436">
        <v>9.6783300000000006E-3</v>
      </c>
      <c r="J1436">
        <v>1</v>
      </c>
      <c r="K1436">
        <v>950068</v>
      </c>
      <c r="L1436">
        <f t="shared" si="198"/>
        <v>1.2836227615384615E-2</v>
      </c>
      <c r="M1436">
        <f t="shared" si="199"/>
        <v>5.126856923076923E-3</v>
      </c>
      <c r="N1436">
        <f t="shared" si="200"/>
        <v>1.0687576307692306E-2</v>
      </c>
      <c r="O1436">
        <f t="shared" si="201"/>
        <v>7.9072166153846147E-3</v>
      </c>
      <c r="P1436">
        <f t="shared" si="197"/>
        <v>23.781369591194391</v>
      </c>
      <c r="R1436">
        <f t="shared" si="202"/>
        <v>-2.1954871870860288E-3</v>
      </c>
    </row>
    <row r="1437" spans="1:19" x14ac:dyDescent="0.2">
      <c r="A1437" t="s">
        <v>1448</v>
      </c>
      <c r="B1437">
        <v>5.7472537600000004</v>
      </c>
      <c r="C1437">
        <v>0.32637815999999997</v>
      </c>
      <c r="D1437">
        <v>5.8991220599999998</v>
      </c>
      <c r="E1437">
        <v>0.47410824000000001</v>
      </c>
      <c r="F1437">
        <v>3.33505713</v>
      </c>
      <c r="G1437">
        <v>1.32530558</v>
      </c>
      <c r="H1437">
        <v>2.7324050600000001</v>
      </c>
      <c r="I1437">
        <v>9.8609400000000003E-3</v>
      </c>
      <c r="J1437">
        <v>1</v>
      </c>
      <c r="K1437">
        <v>950068</v>
      </c>
      <c r="L1437">
        <f t="shared" si="198"/>
        <v>1.2827142807692309E-2</v>
      </c>
      <c r="M1437">
        <f t="shared" si="199"/>
        <v>5.097329153846154E-3</v>
      </c>
      <c r="N1437">
        <f t="shared" si="200"/>
        <v>1.0509250230769231E-2</v>
      </c>
      <c r="O1437">
        <f t="shared" si="201"/>
        <v>7.8032896923076918E-3</v>
      </c>
      <c r="P1437">
        <f t="shared" si="197"/>
        <v>18.469225771106668</v>
      </c>
      <c r="R1437">
        <f t="shared" si="202"/>
        <v>-1.9972994593222947E-3</v>
      </c>
    </row>
    <row r="1438" spans="1:19" x14ac:dyDescent="0.2">
      <c r="A1438" t="s">
        <v>1449</v>
      </c>
      <c r="B1438">
        <v>5.6994984000000004</v>
      </c>
      <c r="C1438">
        <v>0.24293519999999999</v>
      </c>
      <c r="D1438">
        <v>5.8433347700000002</v>
      </c>
      <c r="E1438">
        <v>0.47410824000000001</v>
      </c>
      <c r="F1438">
        <v>3.3278135099999999</v>
      </c>
      <c r="G1438">
        <v>1.31348402</v>
      </c>
      <c r="H1438">
        <v>2.6797507</v>
      </c>
      <c r="I1438">
        <v>9.8609400000000003E-3</v>
      </c>
      <c r="J1438">
        <v>1</v>
      </c>
      <c r="K1438">
        <v>950068</v>
      </c>
      <c r="L1438">
        <f t="shared" si="198"/>
        <v>1.279928273076923E-2</v>
      </c>
      <c r="M1438">
        <f t="shared" si="199"/>
        <v>5.0518616153846152E-3</v>
      </c>
      <c r="N1438">
        <f t="shared" si="200"/>
        <v>1.0306733461538462E-2</v>
      </c>
      <c r="O1438">
        <f t="shared" si="201"/>
        <v>7.6792975384615391E-3</v>
      </c>
      <c r="P1438">
        <f t="shared" si="197"/>
        <v>13.74732015325092</v>
      </c>
      <c r="R1438">
        <f t="shared" si="202"/>
        <v>-1.5407298050106684E-3</v>
      </c>
    </row>
    <row r="1439" spans="1:19" x14ac:dyDescent="0.2">
      <c r="A1439" t="s">
        <v>1450</v>
      </c>
      <c r="B1439">
        <v>5.6465522400000001</v>
      </c>
      <c r="C1439">
        <v>0.16714998</v>
      </c>
      <c r="D1439">
        <v>5.7885711000000004</v>
      </c>
      <c r="E1439">
        <v>0.47410824000000001</v>
      </c>
      <c r="F1439">
        <v>3.3186802499999999</v>
      </c>
      <c r="G1439">
        <v>1.2991486800000001</v>
      </c>
      <c r="H1439">
        <v>2.6250369199999999</v>
      </c>
      <c r="I1439">
        <v>1.004355E-2</v>
      </c>
      <c r="J1439">
        <v>1</v>
      </c>
      <c r="K1439">
        <v>950068</v>
      </c>
      <c r="L1439">
        <f t="shared" si="198"/>
        <v>1.2764154807692307E-2</v>
      </c>
      <c r="M1439">
        <f t="shared" si="199"/>
        <v>4.9967256923076925E-3</v>
      </c>
      <c r="N1439">
        <f t="shared" si="200"/>
        <v>1.0096295846153847E-2</v>
      </c>
      <c r="O1439">
        <f t="shared" si="201"/>
        <v>7.5465107692307687E-3</v>
      </c>
      <c r="P1439">
        <f t="shared" si="197"/>
        <v>9.4587539750085128</v>
      </c>
      <c r="R1439">
        <f t="shared" si="202"/>
        <v>-1.0064072774801866E-3</v>
      </c>
    </row>
    <row r="1440" spans="1:19" x14ac:dyDescent="0.2">
      <c r="A1440" t="s">
        <v>1451</v>
      </c>
      <c r="B1440">
        <v>5.5959419400000003</v>
      </c>
      <c r="C1440">
        <v>0.10192716</v>
      </c>
      <c r="D1440">
        <v>5.7292011399999998</v>
      </c>
      <c r="E1440">
        <v>0.79018040000000001</v>
      </c>
      <c r="F1440">
        <v>3.3038780700000001</v>
      </c>
      <c r="G1440">
        <v>1.2840659999999999</v>
      </c>
      <c r="H1440">
        <v>2.5713806799999999</v>
      </c>
      <c r="I1440">
        <v>9.8609400000000003E-3</v>
      </c>
      <c r="J1440">
        <v>1</v>
      </c>
      <c r="K1440">
        <v>950068</v>
      </c>
      <c r="L1440">
        <f t="shared" si="198"/>
        <v>1.2707223346153847E-2</v>
      </c>
      <c r="M1440">
        <f t="shared" si="199"/>
        <v>4.9387153846153845E-3</v>
      </c>
      <c r="N1440">
        <f t="shared" si="200"/>
        <v>9.8899256923076911E-3</v>
      </c>
      <c r="O1440">
        <f t="shared" si="201"/>
        <v>7.4143205384615387E-3</v>
      </c>
      <c r="P1440">
        <f t="shared" si="197"/>
        <v>5.7678973686465813</v>
      </c>
      <c r="R1440">
        <f t="shared" si="202"/>
        <v>-4.1782155571759653E-4</v>
      </c>
    </row>
    <row r="1441" spans="1:19" x14ac:dyDescent="0.2">
      <c r="A1441" t="s">
        <v>1452</v>
      </c>
      <c r="B1441">
        <v>5.5538964599999998</v>
      </c>
      <c r="C1441">
        <v>5.5188540000000001E-2</v>
      </c>
      <c r="D1441">
        <v>5.6903035800000001</v>
      </c>
      <c r="E1441">
        <v>1.0272345199999999</v>
      </c>
      <c r="F1441">
        <v>3.2816747999999998</v>
      </c>
      <c r="G1441">
        <v>1.2732635400000001</v>
      </c>
      <c r="H1441">
        <v>2.5333092399999999</v>
      </c>
      <c r="I1441">
        <v>9.8609400000000003E-3</v>
      </c>
      <c r="J1441">
        <v>1</v>
      </c>
      <c r="K1441">
        <v>950068</v>
      </c>
      <c r="L1441">
        <f t="shared" si="198"/>
        <v>1.2621826153846154E-2</v>
      </c>
      <c r="M1441">
        <f t="shared" si="199"/>
        <v>4.897167461538462E-3</v>
      </c>
      <c r="N1441">
        <f t="shared" si="200"/>
        <v>9.7434970769230758E-3</v>
      </c>
      <c r="O1441">
        <f t="shared" si="201"/>
        <v>7.3203322692307685E-3</v>
      </c>
      <c r="P1441">
        <f t="shared" si="197"/>
        <v>3.1230325130754806</v>
      </c>
      <c r="R1441">
        <f t="shared" si="202"/>
        <v>-8.2335913086765597E-5</v>
      </c>
    </row>
    <row r="1442" spans="1:19" x14ac:dyDescent="0.2">
      <c r="A1442" t="s">
        <v>1453</v>
      </c>
      <c r="B1442">
        <v>5.5404003800000003</v>
      </c>
      <c r="C1442">
        <v>5.1227639999999998E-2</v>
      </c>
      <c r="D1442">
        <v>5.6821146200000001</v>
      </c>
      <c r="E1442">
        <v>1.1457615800000001</v>
      </c>
      <c r="F1442">
        <v>3.2634082800000002</v>
      </c>
      <c r="G1442">
        <v>1.26973066</v>
      </c>
      <c r="H1442">
        <v>2.5226225200000001</v>
      </c>
      <c r="I1442">
        <v>9.6783300000000006E-3</v>
      </c>
      <c r="J1442">
        <v>1</v>
      </c>
      <c r="K1442">
        <v>950068</v>
      </c>
      <c r="L1442">
        <f t="shared" si="198"/>
        <v>1.2551570307692309E-2</v>
      </c>
      <c r="M1442">
        <f t="shared" si="199"/>
        <v>4.8835794615384618E-3</v>
      </c>
      <c r="N1442">
        <f t="shared" si="200"/>
        <v>9.7023943076923087E-3</v>
      </c>
      <c r="O1442">
        <f t="shared" si="201"/>
        <v>7.2929868846153849E-3</v>
      </c>
      <c r="P1442">
        <f t="shared" si="197"/>
        <v>2.8988914236203027</v>
      </c>
      <c r="R1442">
        <f t="shared" si="202"/>
        <v>1.7135812412724254E-4</v>
      </c>
    </row>
    <row r="1443" spans="1:19" x14ac:dyDescent="0.2">
      <c r="A1443" t="s">
        <v>1454</v>
      </c>
      <c r="B1443">
        <v>5.5601254200000003</v>
      </c>
      <c r="C1443">
        <v>0.10681227</v>
      </c>
      <c r="D1443">
        <v>5.7025870200000002</v>
      </c>
      <c r="E1443">
        <v>1.1457615800000001</v>
      </c>
      <c r="F1443">
        <v>3.24718887</v>
      </c>
      <c r="G1443">
        <v>1.2691192</v>
      </c>
      <c r="H1443">
        <v>2.5431610600000001</v>
      </c>
      <c r="I1443">
        <v>9.8609400000000003E-3</v>
      </c>
      <c r="J1443">
        <v>1</v>
      </c>
      <c r="K1443">
        <v>950068</v>
      </c>
      <c r="L1443">
        <f t="shared" si="198"/>
        <v>1.2489187961538462E-2</v>
      </c>
      <c r="M1443">
        <f t="shared" si="199"/>
        <v>4.8812276923076922E-3</v>
      </c>
      <c r="N1443">
        <f t="shared" si="200"/>
        <v>9.7813886923076923E-3</v>
      </c>
      <c r="O1443">
        <f t="shared" si="201"/>
        <v>7.3313081923076923E-3</v>
      </c>
      <c r="P1443">
        <f t="shared" si="197"/>
        <v>6.0443380456413012</v>
      </c>
      <c r="R1443">
        <f t="shared" si="202"/>
        <v>7.9123658167016316E-4</v>
      </c>
    </row>
    <row r="1444" spans="1:19" x14ac:dyDescent="0.2">
      <c r="A1444" t="s">
        <v>1455</v>
      </c>
      <c r="B1444">
        <v>5.5974991799999998</v>
      </c>
      <c r="C1444">
        <v>0.18774666000000001</v>
      </c>
      <c r="D1444">
        <v>5.7399491500000002</v>
      </c>
      <c r="E1444">
        <v>1.0272345199999999</v>
      </c>
      <c r="F1444">
        <v>3.2327016300000002</v>
      </c>
      <c r="G1444">
        <v>1.2761849599999999</v>
      </c>
      <c r="H1444">
        <v>2.5854626600000001</v>
      </c>
      <c r="I1444">
        <v>9.6783300000000006E-3</v>
      </c>
      <c r="J1444">
        <v>1</v>
      </c>
      <c r="K1444">
        <v>950069</v>
      </c>
      <c r="L1444">
        <f t="shared" si="198"/>
        <v>1.2433467807692309E-2</v>
      </c>
      <c r="M1444">
        <f t="shared" si="199"/>
        <v>4.9084036923076916E-3</v>
      </c>
      <c r="N1444">
        <f t="shared" si="200"/>
        <v>9.9440871538461536E-3</v>
      </c>
      <c r="O1444">
        <f t="shared" si="201"/>
        <v>7.4262454230769239E-3</v>
      </c>
      <c r="P1444">
        <f t="shared" si="197"/>
        <v>10.62428764017544</v>
      </c>
      <c r="Q1444">
        <f t="shared" ref="Q1444" si="204">ABS(0.5*(SUMPRODUCT(O1444:O1462,P1445:P1463)+O1463*P1444-(SUMPRODUCT(O1445:O1463,P1444:P1462)+O1444*P1463)))</f>
        <v>5.1431875529377447E-3</v>
      </c>
      <c r="R1444">
        <f t="shared" si="202"/>
        <v>1.7982199339345976E-3</v>
      </c>
    </row>
    <row r="1445" spans="1:19" x14ac:dyDescent="0.2">
      <c r="A1445" t="s">
        <v>1456</v>
      </c>
      <c r="B1445">
        <v>5.6473308600000003</v>
      </c>
      <c r="C1445">
        <v>0.28161998999999999</v>
      </c>
      <c r="D1445">
        <v>5.8023899700000001</v>
      </c>
      <c r="E1445">
        <v>0.84944392999999996</v>
      </c>
      <c r="F1445">
        <v>3.2245131900000001</v>
      </c>
      <c r="G1445">
        <v>1.29004472</v>
      </c>
      <c r="H1445">
        <v>2.6420132199999999</v>
      </c>
      <c r="I1445">
        <v>9.6783300000000006E-3</v>
      </c>
      <c r="J1445">
        <v>1</v>
      </c>
      <c r="K1445">
        <v>950069</v>
      </c>
      <c r="L1445">
        <f t="shared" si="198"/>
        <v>1.2401973807692309E-2</v>
      </c>
      <c r="M1445">
        <f t="shared" si="199"/>
        <v>4.9617104615384613E-3</v>
      </c>
      <c r="N1445">
        <f t="shared" si="200"/>
        <v>1.0161589307692308E-2</v>
      </c>
      <c r="O1445">
        <f t="shared" si="201"/>
        <v>7.5616498846153846E-3</v>
      </c>
      <c r="P1445">
        <f t="shared" si="197"/>
        <v>15.936431460263158</v>
      </c>
      <c r="R1445">
        <f t="shared" si="202"/>
        <v>2.9082294069279757E-3</v>
      </c>
    </row>
    <row r="1446" spans="1:19" x14ac:dyDescent="0.2">
      <c r="A1446" t="s">
        <v>1457</v>
      </c>
      <c r="B1446">
        <v>5.7083227599999997</v>
      </c>
      <c r="C1446">
        <v>0.39278924999999998</v>
      </c>
      <c r="D1446">
        <v>5.8663662199999997</v>
      </c>
      <c r="E1446">
        <v>0.61238981000000003</v>
      </c>
      <c r="F1446">
        <v>3.22844994</v>
      </c>
      <c r="G1446">
        <v>1.3053991599999999</v>
      </c>
      <c r="H1446">
        <v>2.7059109000000001</v>
      </c>
      <c r="I1446">
        <v>9.8609400000000003E-3</v>
      </c>
      <c r="J1446">
        <v>1</v>
      </c>
      <c r="K1446">
        <v>950069</v>
      </c>
      <c r="L1446">
        <f t="shared" si="198"/>
        <v>1.2417115153846154E-2</v>
      </c>
      <c r="M1446">
        <f t="shared" si="199"/>
        <v>5.0207659999999994E-3</v>
      </c>
      <c r="N1446">
        <f t="shared" si="200"/>
        <v>1.0407349615384616E-2</v>
      </c>
      <c r="O1446">
        <f t="shared" si="201"/>
        <v>7.714057807692307E-3</v>
      </c>
      <c r="P1446">
        <f t="shared" si="197"/>
        <v>22.227324704305154</v>
      </c>
      <c r="R1446">
        <f t="shared" si="202"/>
        <v>3.8659562120905116E-3</v>
      </c>
    </row>
    <row r="1447" spans="1:19" x14ac:dyDescent="0.2">
      <c r="A1447" t="s">
        <v>1458</v>
      </c>
      <c r="B1447">
        <v>5.7685360399999999</v>
      </c>
      <c r="C1447">
        <v>0.52864812000000005</v>
      </c>
      <c r="D1447">
        <v>5.9446731499999999</v>
      </c>
      <c r="E1447">
        <v>0.53337177000000002</v>
      </c>
      <c r="F1447">
        <v>3.2336464500000002</v>
      </c>
      <c r="G1447">
        <v>1.3196665599999999</v>
      </c>
      <c r="H1447">
        <v>2.7687510400000002</v>
      </c>
      <c r="I1447">
        <v>9.8609400000000003E-3</v>
      </c>
      <c r="J1447">
        <v>1</v>
      </c>
      <c r="K1447">
        <v>950069</v>
      </c>
      <c r="L1447">
        <f t="shared" si="198"/>
        <v>1.2437101730769231E-2</v>
      </c>
      <c r="M1447">
        <f t="shared" si="199"/>
        <v>5.075640615384615E-3</v>
      </c>
      <c r="N1447">
        <f t="shared" si="200"/>
        <v>1.0649042461538463E-2</v>
      </c>
      <c r="O1447">
        <f t="shared" si="201"/>
        <v>7.8623415384615376E-3</v>
      </c>
      <c r="P1447">
        <f t="shared" si="197"/>
        <v>29.915364072617766</v>
      </c>
      <c r="R1447">
        <f t="shared" si="202"/>
        <v>4.4605193955253941E-3</v>
      </c>
    </row>
    <row r="1448" spans="1:19" x14ac:dyDescent="0.2">
      <c r="A1448" t="s">
        <v>1459</v>
      </c>
      <c r="B1448">
        <v>5.8303065600000004</v>
      </c>
      <c r="C1448">
        <v>0.71032139999999999</v>
      </c>
      <c r="D1448">
        <v>6.0086494000000004</v>
      </c>
      <c r="E1448">
        <v>0.53337177000000002</v>
      </c>
      <c r="F1448">
        <v>3.2441969400000001</v>
      </c>
      <c r="G1448">
        <v>1.3306728400000001</v>
      </c>
      <c r="H1448">
        <v>2.8239101</v>
      </c>
      <c r="I1448">
        <v>9.8609400000000003E-3</v>
      </c>
      <c r="J1448">
        <v>1</v>
      </c>
      <c r="K1448">
        <v>950069</v>
      </c>
      <c r="L1448">
        <f t="shared" si="198"/>
        <v>1.2477680538461539E-2</v>
      </c>
      <c r="M1448">
        <f t="shared" si="199"/>
        <v>5.1179724615384621E-3</v>
      </c>
      <c r="N1448">
        <f t="shared" si="200"/>
        <v>1.0861192692307692E-2</v>
      </c>
      <c r="O1448">
        <f t="shared" si="201"/>
        <v>7.9895825769230773E-3</v>
      </c>
      <c r="P1448">
        <f t="shared" si="197"/>
        <v>40.195968708961928</v>
      </c>
      <c r="R1448">
        <f t="shared" si="202"/>
        <v>2.6536762903671988E-3</v>
      </c>
    </row>
    <row r="1449" spans="1:19" x14ac:dyDescent="0.2">
      <c r="A1449" t="s">
        <v>1460</v>
      </c>
      <c r="B1449">
        <v>5.8681994</v>
      </c>
      <c r="C1449">
        <v>0.82479141</v>
      </c>
      <c r="D1449">
        <v>6.0383343800000002</v>
      </c>
      <c r="E1449">
        <v>0.41484471000000001</v>
      </c>
      <c r="F1449">
        <v>3.2605738199999998</v>
      </c>
      <c r="G1449">
        <v>1.3352248200000001</v>
      </c>
      <c r="H1449">
        <v>2.8511278400000002</v>
      </c>
      <c r="I1449">
        <v>9.8609400000000003E-3</v>
      </c>
      <c r="J1449">
        <v>1</v>
      </c>
      <c r="K1449">
        <v>950069</v>
      </c>
      <c r="L1449">
        <f t="shared" si="198"/>
        <v>1.2540668538461537E-2</v>
      </c>
      <c r="M1449">
        <f t="shared" si="199"/>
        <v>5.1354800769230768E-3</v>
      </c>
      <c r="N1449">
        <f t="shared" si="200"/>
        <v>1.0965876307692309E-2</v>
      </c>
      <c r="O1449">
        <f t="shared" si="201"/>
        <v>8.0506781923076944E-3</v>
      </c>
      <c r="P1449">
        <f t="shared" si="197"/>
        <v>46.673646194216573</v>
      </c>
      <c r="R1449">
        <f t="shared" si="202"/>
        <v>9.0790593286709865E-4</v>
      </c>
    </row>
    <row r="1450" spans="1:19" x14ac:dyDescent="0.2">
      <c r="A1450" t="s">
        <v>1461</v>
      </c>
      <c r="B1450">
        <v>5.8793596199999998</v>
      </c>
      <c r="C1450">
        <v>0.85132943999999999</v>
      </c>
      <c r="D1450">
        <v>6.0490823899999997</v>
      </c>
      <c r="E1450">
        <v>0.41484471000000001</v>
      </c>
      <c r="F1450">
        <v>3.27742311</v>
      </c>
      <c r="G1450">
        <v>1.3367195000000001</v>
      </c>
      <c r="H1450">
        <v>2.8595881599999999</v>
      </c>
      <c r="I1450">
        <v>9.6783300000000006E-3</v>
      </c>
      <c r="J1450">
        <v>1</v>
      </c>
      <c r="K1450">
        <v>950069</v>
      </c>
      <c r="L1450">
        <f t="shared" si="198"/>
        <v>1.26054735E-2</v>
      </c>
      <c r="M1450">
        <f t="shared" si="199"/>
        <v>5.1412288461538461E-3</v>
      </c>
      <c r="N1450">
        <f t="shared" si="200"/>
        <v>1.0998416E-2</v>
      </c>
      <c r="O1450">
        <f t="shared" si="201"/>
        <v>8.0698224230769233E-3</v>
      </c>
      <c r="P1450">
        <f t="shared" si="197"/>
        <v>48.175391493566266</v>
      </c>
      <c r="R1450">
        <f t="shared" si="202"/>
        <v>2.6297465491448443E-4</v>
      </c>
    </row>
    <row r="1451" spans="1:19" x14ac:dyDescent="0.2">
      <c r="A1451" t="s">
        <v>1462</v>
      </c>
      <c r="B1451">
        <v>5.8809168600000001</v>
      </c>
      <c r="C1451">
        <v>0.85172552999999995</v>
      </c>
      <c r="D1451">
        <v>6.0511296300000001</v>
      </c>
      <c r="E1451">
        <v>0.35558118</v>
      </c>
      <c r="F1451">
        <v>3.2908080599999998</v>
      </c>
      <c r="G1451">
        <v>1.3373309600000001</v>
      </c>
      <c r="H1451">
        <v>2.86181456</v>
      </c>
      <c r="I1451">
        <v>1.004355E-2</v>
      </c>
      <c r="J1451">
        <v>1</v>
      </c>
      <c r="K1451">
        <v>950069</v>
      </c>
      <c r="L1451">
        <f t="shared" si="198"/>
        <v>1.2656954076923077E-2</v>
      </c>
      <c r="M1451">
        <f t="shared" si="199"/>
        <v>5.1435806153846157E-3</v>
      </c>
      <c r="N1451">
        <f t="shared" si="200"/>
        <v>1.1006979076923077E-2</v>
      </c>
      <c r="O1451">
        <f t="shared" si="201"/>
        <v>8.0752798461538461E-3</v>
      </c>
      <c r="P1451">
        <f t="shared" si="197"/>
        <v>48.197805602511785</v>
      </c>
      <c r="R1451">
        <f t="shared" si="202"/>
        <v>-7.5813826929769737E-5</v>
      </c>
      <c r="S1451">
        <f>ABS(SUMIFS($R:$R,$K:$K,K1451))</f>
        <v>5.1178589625500912E-3</v>
      </c>
    </row>
    <row r="1452" spans="1:19" x14ac:dyDescent="0.2">
      <c r="A1452" t="s">
        <v>1463</v>
      </c>
      <c r="B1452">
        <v>5.88013824</v>
      </c>
      <c r="C1452">
        <v>0.81713367000000003</v>
      </c>
      <c r="D1452">
        <v>6.0444760999999998</v>
      </c>
      <c r="E1452">
        <v>0.35558118</v>
      </c>
      <c r="F1452">
        <v>3.3052953</v>
      </c>
      <c r="G1452">
        <v>1.3373309600000001</v>
      </c>
      <c r="H1452">
        <v>2.8609796599999999</v>
      </c>
      <c r="I1452">
        <v>1.022616E-2</v>
      </c>
      <c r="J1452">
        <v>1</v>
      </c>
      <c r="K1452">
        <v>950069</v>
      </c>
      <c r="L1452">
        <f t="shared" si="198"/>
        <v>1.271267423076923E-2</v>
      </c>
      <c r="M1452">
        <f t="shared" si="199"/>
        <v>5.1435806153846157E-3</v>
      </c>
      <c r="N1452">
        <f t="shared" si="200"/>
        <v>1.1003767923076923E-2</v>
      </c>
      <c r="O1452">
        <f t="shared" si="201"/>
        <v>8.0736742692307691E-3</v>
      </c>
      <c r="P1452">
        <f t="shared" si="197"/>
        <v>46.240306754603232</v>
      </c>
      <c r="R1452">
        <f t="shared" si="202"/>
        <v>-1.0678521473360823E-3</v>
      </c>
    </row>
    <row r="1453" spans="1:19" x14ac:dyDescent="0.2">
      <c r="A1453" t="s">
        <v>1464</v>
      </c>
      <c r="B1453">
        <v>5.8627490599999996</v>
      </c>
      <c r="C1453">
        <v>0.70266366000000002</v>
      </c>
      <c r="D1453">
        <v>6.0291218000000004</v>
      </c>
      <c r="E1453">
        <v>0.35558118</v>
      </c>
      <c r="F1453">
        <v>3.3191526599999999</v>
      </c>
      <c r="G1453">
        <v>1.3373309600000001</v>
      </c>
      <c r="H1453">
        <v>2.84806654</v>
      </c>
      <c r="I1453">
        <v>1.004355E-2</v>
      </c>
      <c r="J1453">
        <v>1</v>
      </c>
      <c r="K1453">
        <v>950069</v>
      </c>
      <c r="L1453">
        <f t="shared" si="198"/>
        <v>1.2765971769230769E-2</v>
      </c>
      <c r="M1453">
        <f t="shared" si="199"/>
        <v>5.1435806153846157E-3</v>
      </c>
      <c r="N1453">
        <f t="shared" si="200"/>
        <v>1.0954102076923078E-2</v>
      </c>
      <c r="O1453">
        <f t="shared" si="201"/>
        <v>8.0488413461538479E-3</v>
      </c>
      <c r="P1453">
        <f t="shared" si="197"/>
        <v>39.762629269348587</v>
      </c>
      <c r="R1453">
        <f t="shared" si="202"/>
        <v>-1.0081403668441144E-3</v>
      </c>
    </row>
    <row r="1454" spans="1:19" x14ac:dyDescent="0.2">
      <c r="A1454" t="s">
        <v>1465</v>
      </c>
      <c r="B1454">
        <v>5.8461385000000003</v>
      </c>
      <c r="C1454">
        <v>0.61129889999999998</v>
      </c>
      <c r="D1454">
        <v>6.0214446500000003</v>
      </c>
      <c r="E1454">
        <v>0.35558118</v>
      </c>
      <c r="F1454">
        <v>3.32686869</v>
      </c>
      <c r="G1454">
        <v>1.3375347799999999</v>
      </c>
      <c r="H1454">
        <v>2.8337619200000002</v>
      </c>
      <c r="I1454">
        <v>1.004355E-2</v>
      </c>
      <c r="J1454">
        <v>1</v>
      </c>
      <c r="K1454">
        <v>950069</v>
      </c>
      <c r="L1454">
        <f t="shared" si="198"/>
        <v>1.2795648807692307E-2</v>
      </c>
      <c r="M1454">
        <f t="shared" si="199"/>
        <v>5.1443645384615377E-3</v>
      </c>
      <c r="N1454">
        <f t="shared" si="200"/>
        <v>1.0899084307692309E-2</v>
      </c>
      <c r="O1454">
        <f t="shared" si="201"/>
        <v>8.0217244230769234E-3</v>
      </c>
      <c r="P1454">
        <f t="shared" si="197"/>
        <v>34.592441472582479</v>
      </c>
      <c r="R1454">
        <f t="shared" si="202"/>
        <v>-1.3035086697474657E-3</v>
      </c>
    </row>
    <row r="1455" spans="1:19" x14ac:dyDescent="0.2">
      <c r="A1455" t="s">
        <v>1466</v>
      </c>
      <c r="B1455">
        <v>5.82485622</v>
      </c>
      <c r="C1455">
        <v>0.52138647000000005</v>
      </c>
      <c r="D1455">
        <v>5.9932951000000001</v>
      </c>
      <c r="E1455">
        <v>0.35558118</v>
      </c>
      <c r="F1455">
        <v>3.3312778500000002</v>
      </c>
      <c r="G1455">
        <v>1.3369233199999999</v>
      </c>
      <c r="H1455">
        <v>2.8132233800000002</v>
      </c>
      <c r="I1455">
        <v>9.8609400000000003E-3</v>
      </c>
      <c r="J1455">
        <v>1</v>
      </c>
      <c r="K1455">
        <v>950069</v>
      </c>
      <c r="L1455">
        <f t="shared" si="198"/>
        <v>1.2812607115384617E-2</v>
      </c>
      <c r="M1455">
        <f t="shared" si="199"/>
        <v>5.142012769230769E-3</v>
      </c>
      <c r="N1455">
        <f t="shared" si="200"/>
        <v>1.0820089923076924E-2</v>
      </c>
      <c r="O1455">
        <f t="shared" si="201"/>
        <v>7.9810513461538463E-3</v>
      </c>
      <c r="P1455">
        <f t="shared" si="197"/>
        <v>29.50443874194994</v>
      </c>
      <c r="R1455">
        <f t="shared" si="202"/>
        <v>-1.9642224433705606E-3</v>
      </c>
    </row>
    <row r="1456" spans="1:19" x14ac:dyDescent="0.2">
      <c r="A1456" t="s">
        <v>1467</v>
      </c>
      <c r="B1456">
        <v>5.7913755599999996</v>
      </c>
      <c r="C1456">
        <v>0.42064758000000002</v>
      </c>
      <c r="D1456">
        <v>5.9492794399999998</v>
      </c>
      <c r="E1456">
        <v>0.35558118</v>
      </c>
      <c r="F1456">
        <v>3.33694677</v>
      </c>
      <c r="G1456">
        <v>1.3333904400000001</v>
      </c>
      <c r="H1456">
        <v>2.77843588</v>
      </c>
      <c r="I1456">
        <v>9.8609400000000003E-3</v>
      </c>
      <c r="J1456">
        <v>1</v>
      </c>
      <c r="K1456">
        <v>950069</v>
      </c>
      <c r="L1456">
        <f t="shared" si="198"/>
        <v>1.2834410653846154E-2</v>
      </c>
      <c r="M1456">
        <f t="shared" si="199"/>
        <v>5.1284247692307697E-3</v>
      </c>
      <c r="N1456">
        <f t="shared" si="200"/>
        <v>1.0686291846153845E-2</v>
      </c>
      <c r="O1456">
        <f t="shared" si="201"/>
        <v>7.9073583076923089E-3</v>
      </c>
      <c r="P1456">
        <f t="shared" si="197"/>
        <v>23.80378370013991</v>
      </c>
      <c r="R1456">
        <f t="shared" si="202"/>
        <v>-2.2261265964188155E-3</v>
      </c>
    </row>
    <row r="1457" spans="1:19" x14ac:dyDescent="0.2">
      <c r="A1457" t="s">
        <v>1468</v>
      </c>
      <c r="B1457">
        <v>5.7480323799999997</v>
      </c>
      <c r="C1457">
        <v>0.32717034</v>
      </c>
      <c r="D1457">
        <v>5.9011693000000003</v>
      </c>
      <c r="E1457">
        <v>0.35558118</v>
      </c>
      <c r="F1457">
        <v>3.33647436</v>
      </c>
      <c r="G1457">
        <v>1.3251017599999999</v>
      </c>
      <c r="H1457">
        <v>2.7320154400000001</v>
      </c>
      <c r="I1457">
        <v>9.6783300000000006E-3</v>
      </c>
      <c r="J1457">
        <v>1</v>
      </c>
      <c r="K1457">
        <v>950069</v>
      </c>
      <c r="L1457">
        <f t="shared" si="198"/>
        <v>1.2832593692307692E-2</v>
      </c>
      <c r="M1457">
        <f t="shared" si="199"/>
        <v>5.0965452307692302E-3</v>
      </c>
      <c r="N1457">
        <f t="shared" si="200"/>
        <v>1.0507751692307693E-2</v>
      </c>
      <c r="O1457">
        <f t="shared" si="201"/>
        <v>7.802148461538462E-3</v>
      </c>
      <c r="P1457">
        <f t="shared" si="197"/>
        <v>18.514053988997706</v>
      </c>
      <c r="R1457">
        <f t="shared" si="202"/>
        <v>-1.9951412181342036E-3</v>
      </c>
    </row>
    <row r="1458" spans="1:19" x14ac:dyDescent="0.2">
      <c r="A1458" t="s">
        <v>1469</v>
      </c>
      <c r="B1458">
        <v>5.6956053000000004</v>
      </c>
      <c r="C1458">
        <v>0.24333129000000001</v>
      </c>
      <c r="D1458">
        <v>5.8479410600000001</v>
      </c>
      <c r="E1458">
        <v>0.35558118</v>
      </c>
      <c r="F1458">
        <v>3.3278135099999999</v>
      </c>
      <c r="G1458">
        <v>1.31348402</v>
      </c>
      <c r="H1458">
        <v>2.6793610800000001</v>
      </c>
      <c r="I1458">
        <v>9.8609400000000003E-3</v>
      </c>
      <c r="J1458">
        <v>1</v>
      </c>
      <c r="K1458">
        <v>950069</v>
      </c>
      <c r="L1458">
        <f t="shared" si="198"/>
        <v>1.279928273076923E-2</v>
      </c>
      <c r="M1458">
        <f t="shared" si="199"/>
        <v>5.0518616153846152E-3</v>
      </c>
      <c r="N1458">
        <f t="shared" si="200"/>
        <v>1.0305234923076924E-2</v>
      </c>
      <c r="O1458">
        <f t="shared" si="201"/>
        <v>7.6785482692307699E-3</v>
      </c>
      <c r="P1458">
        <f t="shared" si="197"/>
        <v>13.769734262196438</v>
      </c>
      <c r="R1458">
        <f t="shared" si="202"/>
        <v>-1.5512498861537066E-3</v>
      </c>
    </row>
    <row r="1459" spans="1:19" x14ac:dyDescent="0.2">
      <c r="A1459" t="s">
        <v>1470</v>
      </c>
      <c r="B1459">
        <v>5.6434377600000003</v>
      </c>
      <c r="C1459">
        <v>0.1676781</v>
      </c>
      <c r="D1459">
        <v>5.7901065300000001</v>
      </c>
      <c r="E1459">
        <v>0.41484471000000001</v>
      </c>
      <c r="F1459">
        <v>3.31726302</v>
      </c>
      <c r="G1459">
        <v>1.29894486</v>
      </c>
      <c r="H1459">
        <v>2.6245359800000001</v>
      </c>
      <c r="I1459">
        <v>9.8609400000000003E-3</v>
      </c>
      <c r="J1459">
        <v>1</v>
      </c>
      <c r="K1459">
        <v>950069</v>
      </c>
      <c r="L1459">
        <f t="shared" si="198"/>
        <v>1.2758703923076924E-2</v>
      </c>
      <c r="M1459">
        <f t="shared" si="199"/>
        <v>4.9959417692307688E-3</v>
      </c>
      <c r="N1459">
        <f t="shared" si="200"/>
        <v>1.0094369153846153E-2</v>
      </c>
      <c r="O1459">
        <f t="shared" si="201"/>
        <v>7.5451554615384615E-3</v>
      </c>
      <c r="P1459">
        <f t="shared" si="197"/>
        <v>9.488639453602536</v>
      </c>
      <c r="R1459">
        <f t="shared" si="202"/>
        <v>-1.00381970423653E-3</v>
      </c>
    </row>
    <row r="1460" spans="1:19" x14ac:dyDescent="0.2">
      <c r="A1460" t="s">
        <v>1471</v>
      </c>
      <c r="B1460">
        <v>5.5951633200000002</v>
      </c>
      <c r="C1460">
        <v>0.10153107</v>
      </c>
      <c r="D1460">
        <v>5.732272</v>
      </c>
      <c r="E1460">
        <v>0.73091687000000005</v>
      </c>
      <c r="F1460">
        <v>3.3038780700000001</v>
      </c>
      <c r="G1460">
        <v>1.28379424</v>
      </c>
      <c r="H1460">
        <v>2.5711580399999998</v>
      </c>
      <c r="I1460">
        <v>9.8609400000000003E-3</v>
      </c>
      <c r="J1460">
        <v>1</v>
      </c>
      <c r="K1460">
        <v>950069</v>
      </c>
      <c r="L1460">
        <f t="shared" si="198"/>
        <v>1.2707223346153847E-2</v>
      </c>
      <c r="M1460">
        <f t="shared" si="199"/>
        <v>4.9376701538461536E-3</v>
      </c>
      <c r="N1460">
        <f t="shared" si="200"/>
        <v>9.8890693846153833E-3</v>
      </c>
      <c r="O1460">
        <f t="shared" si="201"/>
        <v>7.4133697692307689E-3</v>
      </c>
      <c r="P1460">
        <f t="shared" si="197"/>
        <v>5.7454832597010634</v>
      </c>
      <c r="R1460">
        <f t="shared" si="202"/>
        <v>-4.2262205439694018E-4</v>
      </c>
    </row>
    <row r="1461" spans="1:19" x14ac:dyDescent="0.2">
      <c r="A1461" t="s">
        <v>1472</v>
      </c>
      <c r="B1461">
        <v>5.5531178399999996</v>
      </c>
      <c r="C1461">
        <v>5.3604180000000001E-2</v>
      </c>
      <c r="D1461">
        <v>5.6903035800000001</v>
      </c>
      <c r="E1461">
        <v>1.1457615800000001</v>
      </c>
      <c r="F1461">
        <v>3.2837219100000001</v>
      </c>
      <c r="G1461">
        <v>1.2722444399999999</v>
      </c>
      <c r="H1461">
        <v>2.5326413200000002</v>
      </c>
      <c r="I1461">
        <v>9.4957199999999992E-3</v>
      </c>
      <c r="J1461">
        <v>1</v>
      </c>
      <c r="K1461">
        <v>950069</v>
      </c>
      <c r="L1461">
        <f t="shared" si="198"/>
        <v>1.2629699653846154E-2</v>
      </c>
      <c r="M1461">
        <f t="shared" si="199"/>
        <v>4.8932478461538456E-3</v>
      </c>
      <c r="N1461">
        <f t="shared" si="200"/>
        <v>9.740928153846154E-3</v>
      </c>
      <c r="O1461">
        <f t="shared" si="201"/>
        <v>7.3170880000000002E-3</v>
      </c>
      <c r="P1461">
        <f t="shared" si="197"/>
        <v>3.0333760772934095</v>
      </c>
      <c r="R1461">
        <f t="shared" si="202"/>
        <v>-7.9102337924059438E-5</v>
      </c>
    </row>
    <row r="1462" spans="1:19" x14ac:dyDescent="0.2">
      <c r="A1462" t="s">
        <v>1473</v>
      </c>
      <c r="B1462">
        <v>5.5411789999999996</v>
      </c>
      <c r="C1462">
        <v>5.1227639999999998E-2</v>
      </c>
      <c r="D1462">
        <v>5.6805791899999996</v>
      </c>
      <c r="E1462">
        <v>1.1457615800000001</v>
      </c>
      <c r="F1462">
        <v>3.2605738199999998</v>
      </c>
      <c r="G1462">
        <v>1.2691192</v>
      </c>
      <c r="H1462">
        <v>2.5218989399999998</v>
      </c>
      <c r="I1462">
        <v>9.6783300000000006E-3</v>
      </c>
      <c r="J1462">
        <v>1</v>
      </c>
      <c r="K1462">
        <v>950069</v>
      </c>
      <c r="L1462">
        <f t="shared" si="198"/>
        <v>1.2540668538461537E-2</v>
      </c>
      <c r="M1462">
        <f t="shared" si="199"/>
        <v>4.8812276923076922E-3</v>
      </c>
      <c r="N1462">
        <f t="shared" si="200"/>
        <v>9.6996113076923077E-3</v>
      </c>
      <c r="O1462">
        <f t="shared" si="201"/>
        <v>7.2904195E-3</v>
      </c>
      <c r="P1462">
        <f t="shared" si="197"/>
        <v>2.8988914236203027</v>
      </c>
      <c r="R1462">
        <f t="shared" si="202"/>
        <v>1.7215355559446191E-4</v>
      </c>
    </row>
    <row r="1463" spans="1:19" x14ac:dyDescent="0.2">
      <c r="A1463" t="s">
        <v>1474</v>
      </c>
      <c r="B1463">
        <v>5.5554537000000002</v>
      </c>
      <c r="C1463">
        <v>0.10681227</v>
      </c>
      <c r="D1463">
        <v>5.7056578800000004</v>
      </c>
      <c r="E1463">
        <v>1.1457615800000001</v>
      </c>
      <c r="F1463">
        <v>3.2457716400000001</v>
      </c>
      <c r="G1463">
        <v>1.2687115600000001</v>
      </c>
      <c r="H1463">
        <v>2.54232616</v>
      </c>
      <c r="I1463">
        <v>9.8609400000000003E-3</v>
      </c>
      <c r="J1463">
        <v>1</v>
      </c>
      <c r="K1463">
        <v>950069</v>
      </c>
      <c r="L1463">
        <f t="shared" si="198"/>
        <v>1.2483737076923077E-2</v>
      </c>
      <c r="M1463">
        <f t="shared" si="199"/>
        <v>4.8796598461538464E-3</v>
      </c>
      <c r="N1463">
        <f t="shared" si="200"/>
        <v>9.7781775384615383E-3</v>
      </c>
      <c r="O1463">
        <f t="shared" si="201"/>
        <v>7.3289186923076923E-3</v>
      </c>
      <c r="P1463">
        <f t="shared" si="197"/>
        <v>6.0443380456413012</v>
      </c>
      <c r="R1463">
        <f t="shared" si="202"/>
        <v>7.8582283182061763E-4</v>
      </c>
    </row>
    <row r="1464" spans="1:19" x14ac:dyDescent="0.2">
      <c r="A1464" t="s">
        <v>1475</v>
      </c>
      <c r="B1464">
        <v>5.5951633200000002</v>
      </c>
      <c r="C1464">
        <v>0.18735056999999999</v>
      </c>
      <c r="D1464">
        <v>5.7430200100000004</v>
      </c>
      <c r="E1464">
        <v>1.0272345199999999</v>
      </c>
      <c r="F1464">
        <v>3.2336464500000002</v>
      </c>
      <c r="G1464">
        <v>1.27550556</v>
      </c>
      <c r="H1464">
        <v>2.5846277600000001</v>
      </c>
      <c r="I1464">
        <v>9.8609400000000003E-3</v>
      </c>
      <c r="J1464">
        <v>1</v>
      </c>
      <c r="K1464">
        <v>950070</v>
      </c>
      <c r="L1464">
        <f t="shared" si="198"/>
        <v>1.2437101730769231E-2</v>
      </c>
      <c r="M1464">
        <f t="shared" si="199"/>
        <v>4.9057906153846158E-3</v>
      </c>
      <c r="N1464">
        <f t="shared" si="200"/>
        <v>9.9408759999999995E-3</v>
      </c>
      <c r="O1464">
        <f t="shared" si="201"/>
        <v>7.4233333076923081E-3</v>
      </c>
      <c r="P1464">
        <f t="shared" si="197"/>
        <v>10.601873531229922</v>
      </c>
      <c r="Q1464">
        <f t="shared" ref="Q1464" si="205">ABS(0.5*(SUMPRODUCT(O1464:O1482,P1465:P1483)+O1483*P1464-(SUMPRODUCT(O1465:O1483,P1464:P1482)+O1464*P1483)))</f>
        <v>5.1867198575972218E-3</v>
      </c>
      <c r="R1464">
        <f t="shared" si="202"/>
        <v>1.792659834896391E-3</v>
      </c>
    </row>
    <row r="1465" spans="1:19" x14ac:dyDescent="0.2">
      <c r="A1465" t="s">
        <v>1476</v>
      </c>
      <c r="B1465">
        <v>5.6488880999999997</v>
      </c>
      <c r="C1465">
        <v>0.28122390000000003</v>
      </c>
      <c r="D1465">
        <v>5.7993191099999999</v>
      </c>
      <c r="E1465">
        <v>0.67165333999999999</v>
      </c>
      <c r="F1465">
        <v>3.2240407800000002</v>
      </c>
      <c r="G1465">
        <v>1.28943326</v>
      </c>
      <c r="H1465">
        <v>2.6410113399999999</v>
      </c>
      <c r="I1465">
        <v>9.6783300000000006E-3</v>
      </c>
      <c r="J1465">
        <v>1</v>
      </c>
      <c r="K1465">
        <v>950070</v>
      </c>
      <c r="L1465">
        <f t="shared" si="198"/>
        <v>1.2400156846153847E-2</v>
      </c>
      <c r="M1465">
        <f t="shared" si="199"/>
        <v>4.9593586923076926E-3</v>
      </c>
      <c r="N1465">
        <f t="shared" si="200"/>
        <v>1.0157735923076923E-2</v>
      </c>
      <c r="O1465">
        <f t="shared" si="201"/>
        <v>7.5585473076923079E-3</v>
      </c>
      <c r="P1465">
        <f t="shared" si="197"/>
        <v>15.914017351317643</v>
      </c>
      <c r="R1465">
        <f t="shared" si="202"/>
        <v>2.8820344152511979E-3</v>
      </c>
    </row>
    <row r="1466" spans="1:19" x14ac:dyDescent="0.2">
      <c r="A1466" t="s">
        <v>1477</v>
      </c>
      <c r="B1466">
        <v>5.7075441400000004</v>
      </c>
      <c r="C1466">
        <v>0.39041271</v>
      </c>
      <c r="D1466">
        <v>5.8730197500000001</v>
      </c>
      <c r="E1466">
        <v>0.61238981000000003</v>
      </c>
      <c r="F1466">
        <v>3.2254580100000001</v>
      </c>
      <c r="G1466">
        <v>1.3047877000000001</v>
      </c>
      <c r="H1466">
        <v>2.7045194000000001</v>
      </c>
      <c r="I1466">
        <v>9.6783300000000006E-3</v>
      </c>
      <c r="J1466">
        <v>1</v>
      </c>
      <c r="K1466">
        <v>950070</v>
      </c>
      <c r="L1466">
        <f t="shared" si="198"/>
        <v>1.2405607730769231E-2</v>
      </c>
      <c r="M1466">
        <f t="shared" si="199"/>
        <v>5.0184142307692315E-3</v>
      </c>
      <c r="N1466">
        <f t="shared" si="200"/>
        <v>1.0401997692307693E-2</v>
      </c>
      <c r="O1466">
        <f t="shared" si="201"/>
        <v>7.7102059615384612E-3</v>
      </c>
      <c r="P1466">
        <f t="shared" si="197"/>
        <v>22.092840050632049</v>
      </c>
      <c r="R1466">
        <f t="shared" si="202"/>
        <v>3.8054386784340043E-3</v>
      </c>
    </row>
    <row r="1467" spans="1:19" x14ac:dyDescent="0.2">
      <c r="A1467" t="s">
        <v>1478</v>
      </c>
      <c r="B1467">
        <v>5.7700932800000002</v>
      </c>
      <c r="C1467">
        <v>0.52297083</v>
      </c>
      <c r="D1467">
        <v>5.9400668599999999</v>
      </c>
      <c r="E1467">
        <v>0.53337177000000002</v>
      </c>
      <c r="F1467">
        <v>3.2331740400000002</v>
      </c>
      <c r="G1467">
        <v>1.3188512800000001</v>
      </c>
      <c r="H1467">
        <v>2.7670255799999999</v>
      </c>
      <c r="I1467">
        <v>9.6783300000000006E-3</v>
      </c>
      <c r="J1467">
        <v>1</v>
      </c>
      <c r="K1467">
        <v>950070</v>
      </c>
      <c r="L1467">
        <f t="shared" si="198"/>
        <v>1.2435284769230771E-2</v>
      </c>
      <c r="M1467">
        <f t="shared" si="199"/>
        <v>5.0725049230769233E-3</v>
      </c>
      <c r="N1467">
        <f t="shared" si="200"/>
        <v>1.0642406076923076E-2</v>
      </c>
      <c r="O1467">
        <f t="shared" si="201"/>
        <v>7.857455499999999E-3</v>
      </c>
      <c r="P1467">
        <f t="shared" si="197"/>
        <v>29.594095177732008</v>
      </c>
      <c r="R1467">
        <f t="shared" si="202"/>
        <v>4.4564031967185107E-3</v>
      </c>
    </row>
    <row r="1468" spans="1:19" x14ac:dyDescent="0.2">
      <c r="A1468" t="s">
        <v>1479</v>
      </c>
      <c r="B1468">
        <v>5.8303065600000004</v>
      </c>
      <c r="C1468">
        <v>0.70385193000000001</v>
      </c>
      <c r="D1468">
        <v>6.0025076799999999</v>
      </c>
      <c r="E1468">
        <v>0.47410824000000001</v>
      </c>
      <c r="F1468">
        <v>3.2437245300000002</v>
      </c>
      <c r="G1468">
        <v>1.3300613800000001</v>
      </c>
      <c r="H1468">
        <v>2.8225742600000001</v>
      </c>
      <c r="I1468">
        <v>9.8609400000000003E-3</v>
      </c>
      <c r="J1468">
        <v>1</v>
      </c>
      <c r="K1468">
        <v>950070</v>
      </c>
      <c r="L1468">
        <f t="shared" si="198"/>
        <v>1.2475863576923077E-2</v>
      </c>
      <c r="M1468">
        <f t="shared" si="199"/>
        <v>5.1156206923076925E-3</v>
      </c>
      <c r="N1468">
        <f t="shared" si="200"/>
        <v>1.0856054846153847E-2</v>
      </c>
      <c r="O1468">
        <f t="shared" si="201"/>
        <v>7.9858377692307685E-3</v>
      </c>
      <c r="P1468">
        <f t="shared" si="197"/>
        <v>39.829871596185136</v>
      </c>
      <c r="R1468">
        <f t="shared" si="202"/>
        <v>2.8676313141618344E-3</v>
      </c>
    </row>
    <row r="1469" spans="1:19" x14ac:dyDescent="0.2">
      <c r="A1469" t="s">
        <v>1480</v>
      </c>
      <c r="B1469">
        <v>5.8707947999999996</v>
      </c>
      <c r="C1469">
        <v>0.82558359000000003</v>
      </c>
      <c r="D1469">
        <v>6.0383343800000002</v>
      </c>
      <c r="E1469">
        <v>0.47410824000000001</v>
      </c>
      <c r="F1469">
        <v>3.2586841799999999</v>
      </c>
      <c r="G1469">
        <v>1.33563246</v>
      </c>
      <c r="H1469">
        <v>2.8514618</v>
      </c>
      <c r="I1469">
        <v>9.6783300000000006E-3</v>
      </c>
      <c r="J1469">
        <v>1</v>
      </c>
      <c r="K1469">
        <v>950070</v>
      </c>
      <c r="L1469">
        <f t="shared" si="198"/>
        <v>1.2533400692307692E-2</v>
      </c>
      <c r="M1469">
        <f t="shared" si="199"/>
        <v>5.1370479230769235E-3</v>
      </c>
      <c r="N1469">
        <f t="shared" si="200"/>
        <v>1.0967160769230769E-2</v>
      </c>
      <c r="O1469">
        <f t="shared" si="201"/>
        <v>8.0521043461538461E-3</v>
      </c>
      <c r="P1469">
        <f t="shared" si="197"/>
        <v>46.718474412107611</v>
      </c>
      <c r="R1469">
        <f t="shared" si="202"/>
        <v>9.2689092308998627E-4</v>
      </c>
    </row>
    <row r="1470" spans="1:19" x14ac:dyDescent="0.2">
      <c r="A1470" t="s">
        <v>1481</v>
      </c>
      <c r="B1470">
        <v>5.8793596199999998</v>
      </c>
      <c r="C1470">
        <v>0.8542341</v>
      </c>
      <c r="D1470">
        <v>6.04754696</v>
      </c>
      <c r="E1470">
        <v>0.47410824000000001</v>
      </c>
      <c r="F1470">
        <v>3.2769507</v>
      </c>
      <c r="G1470">
        <v>1.3369233199999999</v>
      </c>
      <c r="H1470">
        <v>2.8603117400000002</v>
      </c>
      <c r="I1470">
        <v>9.6783300000000006E-3</v>
      </c>
      <c r="J1470">
        <v>1</v>
      </c>
      <c r="K1470">
        <v>950070</v>
      </c>
      <c r="L1470">
        <f t="shared" si="198"/>
        <v>1.2603656538461539E-2</v>
      </c>
      <c r="M1470">
        <f t="shared" si="199"/>
        <v>5.142012769230769E-3</v>
      </c>
      <c r="N1470">
        <f t="shared" si="200"/>
        <v>1.1001199000000001E-2</v>
      </c>
      <c r="O1470">
        <f t="shared" si="201"/>
        <v>8.0716058846153852E-3</v>
      </c>
      <c r="P1470">
        <f t="shared" si="197"/>
        <v>48.339761625833397</v>
      </c>
      <c r="R1470">
        <f t="shared" si="202"/>
        <v>2.676194499629318E-4</v>
      </c>
    </row>
    <row r="1471" spans="1:19" x14ac:dyDescent="0.2">
      <c r="A1471" t="s">
        <v>1482</v>
      </c>
      <c r="B1471">
        <v>5.8809168600000001</v>
      </c>
      <c r="C1471">
        <v>0.85621455000000002</v>
      </c>
      <c r="D1471">
        <v>6.0490823899999997</v>
      </c>
      <c r="E1471">
        <v>0.47410824000000001</v>
      </c>
      <c r="F1471">
        <v>3.2903356499999998</v>
      </c>
      <c r="G1471">
        <v>1.33712714</v>
      </c>
      <c r="H1471">
        <v>2.8629834199999999</v>
      </c>
      <c r="I1471">
        <v>9.8609400000000003E-3</v>
      </c>
      <c r="J1471">
        <v>1</v>
      </c>
      <c r="K1471">
        <v>950070</v>
      </c>
      <c r="L1471">
        <f t="shared" si="198"/>
        <v>1.2655137115384615E-2</v>
      </c>
      <c r="M1471">
        <f t="shared" si="199"/>
        <v>5.1427966923076919E-3</v>
      </c>
      <c r="N1471">
        <f t="shared" si="200"/>
        <v>1.1011474692307692E-2</v>
      </c>
      <c r="O1471">
        <f t="shared" si="201"/>
        <v>8.0771356923076913E-3</v>
      </c>
      <c r="P1471">
        <f t="shared" si="197"/>
        <v>48.451832170560991</v>
      </c>
      <c r="R1471">
        <f t="shared" si="202"/>
        <v>-8.8123536595402629E-5</v>
      </c>
    </row>
    <row r="1472" spans="1:19" x14ac:dyDescent="0.2">
      <c r="A1472" t="s">
        <v>1483</v>
      </c>
      <c r="B1472">
        <v>5.8793596199999998</v>
      </c>
      <c r="C1472">
        <v>0.82201877999999995</v>
      </c>
      <c r="D1472">
        <v>6.0490823899999997</v>
      </c>
      <c r="E1472">
        <v>0.41484471000000001</v>
      </c>
      <c r="F1472">
        <v>3.3029332500000002</v>
      </c>
      <c r="G1472">
        <v>1.3373309600000001</v>
      </c>
      <c r="H1472">
        <v>2.86181456</v>
      </c>
      <c r="I1472">
        <v>9.6783300000000006E-3</v>
      </c>
      <c r="J1472">
        <v>1</v>
      </c>
      <c r="K1472">
        <v>950070</v>
      </c>
      <c r="L1472">
        <f t="shared" si="198"/>
        <v>1.2703589423076924E-2</v>
      </c>
      <c r="M1472">
        <f t="shared" si="199"/>
        <v>5.1435806153846157E-3</v>
      </c>
      <c r="N1472">
        <f t="shared" si="200"/>
        <v>1.1006979076923077E-2</v>
      </c>
      <c r="O1472">
        <f t="shared" si="201"/>
        <v>8.0752798461538461E-3</v>
      </c>
      <c r="P1472">
        <f t="shared" si="197"/>
        <v>46.516747431597949</v>
      </c>
      <c r="R1472">
        <f t="shared" si="202"/>
        <v>-1.0583015241067942E-3</v>
      </c>
      <c r="S1472">
        <f>ABS(SUMIFS($R:$R,$K:$K,K1472))</f>
        <v>5.2375619406900397E-3</v>
      </c>
    </row>
    <row r="1473" spans="1:18" x14ac:dyDescent="0.2">
      <c r="A1473" t="s">
        <v>1484</v>
      </c>
      <c r="B1473">
        <v>5.8635276799999998</v>
      </c>
      <c r="C1473">
        <v>0.70834094999999997</v>
      </c>
      <c r="D1473">
        <v>6.0367989499999997</v>
      </c>
      <c r="E1473">
        <v>0.41484471000000001</v>
      </c>
      <c r="F1473">
        <v>3.31584579</v>
      </c>
      <c r="G1473">
        <v>1.3375347799999999</v>
      </c>
      <c r="H1473">
        <v>2.8489014400000001</v>
      </c>
      <c r="I1473">
        <v>9.4957199999999992E-3</v>
      </c>
      <c r="J1473">
        <v>1</v>
      </c>
      <c r="K1473">
        <v>950070</v>
      </c>
      <c r="L1473">
        <f t="shared" si="198"/>
        <v>1.2753253038461539E-2</v>
      </c>
      <c r="M1473">
        <f t="shared" si="199"/>
        <v>5.1443645384615377E-3</v>
      </c>
      <c r="N1473">
        <f t="shared" si="200"/>
        <v>1.0957313230769232E-2</v>
      </c>
      <c r="O1473">
        <f t="shared" si="201"/>
        <v>8.0508388846153855E-3</v>
      </c>
      <c r="P1473">
        <f t="shared" si="197"/>
        <v>40.083898164234334</v>
      </c>
      <c r="R1473">
        <f t="shared" si="202"/>
        <v>-1.1332231794131606E-3</v>
      </c>
    </row>
    <row r="1474" spans="1:18" x14ac:dyDescent="0.2">
      <c r="A1474" t="s">
        <v>1485</v>
      </c>
      <c r="B1474">
        <v>5.8453598800000002</v>
      </c>
      <c r="C1474">
        <v>0.60918642000000001</v>
      </c>
      <c r="D1474">
        <v>6.0178619800000002</v>
      </c>
      <c r="E1474">
        <v>0.41484471000000001</v>
      </c>
      <c r="F1474">
        <v>3.3273410999999999</v>
      </c>
      <c r="G1474">
        <v>1.3375347799999999</v>
      </c>
      <c r="H1474">
        <v>2.833094</v>
      </c>
      <c r="I1474">
        <v>9.6783300000000006E-3</v>
      </c>
      <c r="J1474">
        <v>1</v>
      </c>
      <c r="K1474">
        <v>950070</v>
      </c>
      <c r="L1474">
        <f t="shared" si="198"/>
        <v>1.2797465769230769E-2</v>
      </c>
      <c r="M1474">
        <f t="shared" si="199"/>
        <v>5.1443645384615377E-3</v>
      </c>
      <c r="N1474">
        <f t="shared" si="200"/>
        <v>1.0896515384615385E-2</v>
      </c>
      <c r="O1474">
        <f t="shared" si="201"/>
        <v>8.0204399615384607E-3</v>
      </c>
      <c r="P1474">
        <f t="shared" si="197"/>
        <v>34.472899558206386</v>
      </c>
      <c r="R1474">
        <f t="shared" si="202"/>
        <v>-1.2591065251016638E-3</v>
      </c>
    </row>
    <row r="1475" spans="1:18" x14ac:dyDescent="0.2">
      <c r="A1475" t="s">
        <v>1486</v>
      </c>
      <c r="B1475">
        <v>5.8264134600000004</v>
      </c>
      <c r="C1475">
        <v>0.52059429000000002</v>
      </c>
      <c r="D1475">
        <v>5.98971243</v>
      </c>
      <c r="E1475">
        <v>0.41484471000000001</v>
      </c>
      <c r="F1475">
        <v>3.3317502600000002</v>
      </c>
      <c r="G1475">
        <v>1.3369233199999999</v>
      </c>
      <c r="H1475">
        <v>2.8132233800000002</v>
      </c>
      <c r="I1475">
        <v>9.6783300000000006E-3</v>
      </c>
      <c r="J1475">
        <v>1</v>
      </c>
      <c r="K1475">
        <v>950070</v>
      </c>
      <c r="L1475">
        <f t="shared" si="198"/>
        <v>1.2814424076923077E-2</v>
      </c>
      <c r="M1475">
        <f t="shared" si="199"/>
        <v>5.142012769230769E-3</v>
      </c>
      <c r="N1475">
        <f t="shared" si="200"/>
        <v>1.0820089923076924E-2</v>
      </c>
      <c r="O1475">
        <f t="shared" si="201"/>
        <v>7.9810513461538463E-3</v>
      </c>
      <c r="P1475">
        <f t="shared" ref="P1475:P1538" si="206">+C1475*4/(PI()*0.15^2)</f>
        <v>29.459610524058903</v>
      </c>
      <c r="R1475">
        <f t="shared" si="202"/>
        <v>-1.9633965614742591E-3</v>
      </c>
    </row>
    <row r="1476" spans="1:18" x14ac:dyDescent="0.2">
      <c r="A1476" t="s">
        <v>1487</v>
      </c>
      <c r="B1476">
        <v>5.7939709600000002</v>
      </c>
      <c r="C1476">
        <v>0.42104366999999998</v>
      </c>
      <c r="D1476">
        <v>5.9492794399999998</v>
      </c>
      <c r="E1476">
        <v>0.41484471000000001</v>
      </c>
      <c r="F1476">
        <v>3.3336399000000001</v>
      </c>
      <c r="G1476">
        <v>1.3333904400000001</v>
      </c>
      <c r="H1476">
        <v>2.77843588</v>
      </c>
      <c r="I1476">
        <v>9.6783300000000006E-3</v>
      </c>
      <c r="J1476">
        <v>1</v>
      </c>
      <c r="K1476">
        <v>950070</v>
      </c>
      <c r="L1476">
        <f t="shared" ref="L1476:L1539" si="207">+F1476/260</f>
        <v>1.2821691923076924E-2</v>
      </c>
      <c r="M1476">
        <f t="shared" ref="M1476:M1539" si="208">+G1476/260</f>
        <v>5.1284247692307697E-3</v>
      </c>
      <c r="N1476">
        <f t="shared" ref="N1476:N1539" si="209">+H1476/260</f>
        <v>1.0686291846153845E-2</v>
      </c>
      <c r="O1476">
        <f t="shared" ref="O1476:O1539" si="210">(+G1476+H1476)/520</f>
        <v>7.9073583076923089E-3</v>
      </c>
      <c r="P1476">
        <f t="shared" si="206"/>
        <v>23.826197809085425</v>
      </c>
      <c r="R1476">
        <f t="shared" ref="R1476:R1539" si="211">+(P1476+P1477)/2*(O1477-O1476)</f>
        <v>-2.2249475039418983E-3</v>
      </c>
    </row>
    <row r="1477" spans="1:18" x14ac:dyDescent="0.2">
      <c r="A1477" t="s">
        <v>1488</v>
      </c>
      <c r="B1477">
        <v>5.7503682400000002</v>
      </c>
      <c r="C1477">
        <v>0.32637815999999997</v>
      </c>
      <c r="D1477">
        <v>5.8991220599999998</v>
      </c>
      <c r="E1477">
        <v>0.41484471000000001</v>
      </c>
      <c r="F1477">
        <v>3.33552954</v>
      </c>
      <c r="G1477">
        <v>1.3251017599999999</v>
      </c>
      <c r="H1477">
        <v>2.7320154400000001</v>
      </c>
      <c r="I1477">
        <v>9.6783300000000006E-3</v>
      </c>
      <c r="J1477">
        <v>1</v>
      </c>
      <c r="K1477">
        <v>950070</v>
      </c>
      <c r="L1477">
        <f t="shared" si="207"/>
        <v>1.2828959769230769E-2</v>
      </c>
      <c r="M1477">
        <f t="shared" si="208"/>
        <v>5.0965452307692302E-3</v>
      </c>
      <c r="N1477">
        <f t="shared" si="209"/>
        <v>1.0507751692307693E-2</v>
      </c>
      <c r="O1477">
        <f t="shared" si="210"/>
        <v>7.802148461538462E-3</v>
      </c>
      <c r="P1477">
        <f t="shared" si="206"/>
        <v>18.469225771106668</v>
      </c>
      <c r="R1477">
        <f t="shared" si="211"/>
        <v>-1.9859360052319084E-3</v>
      </c>
    </row>
    <row r="1478" spans="1:18" x14ac:dyDescent="0.2">
      <c r="A1478" t="s">
        <v>1489</v>
      </c>
      <c r="B1478">
        <v>5.6994984000000004</v>
      </c>
      <c r="C1478">
        <v>0.24214301999999999</v>
      </c>
      <c r="D1478">
        <v>5.84026391</v>
      </c>
      <c r="E1478">
        <v>0.41484471000000001</v>
      </c>
      <c r="F1478">
        <v>3.3282859199999999</v>
      </c>
      <c r="G1478">
        <v>1.3138916599999999</v>
      </c>
      <c r="H1478">
        <v>2.6790271200000002</v>
      </c>
      <c r="I1478">
        <v>9.8609400000000003E-3</v>
      </c>
      <c r="J1478">
        <v>1</v>
      </c>
      <c r="K1478">
        <v>950070</v>
      </c>
      <c r="L1478">
        <f t="shared" si="207"/>
        <v>1.2801099692307692E-2</v>
      </c>
      <c r="M1478">
        <f t="shared" si="208"/>
        <v>5.053429461538461E-3</v>
      </c>
      <c r="N1478">
        <f t="shared" si="209"/>
        <v>1.0303950461538463E-2</v>
      </c>
      <c r="O1478">
        <f t="shared" si="210"/>
        <v>7.6786899615384615E-3</v>
      </c>
      <c r="P1478">
        <f t="shared" si="206"/>
        <v>13.702491935359884</v>
      </c>
      <c r="R1478">
        <f t="shared" si="211"/>
        <v>-1.5430415502296359E-3</v>
      </c>
    </row>
    <row r="1479" spans="1:18" x14ac:dyDescent="0.2">
      <c r="A1479" t="s">
        <v>1490</v>
      </c>
      <c r="B1479">
        <v>5.6488880999999997</v>
      </c>
      <c r="C1479">
        <v>0.1676781</v>
      </c>
      <c r="D1479">
        <v>5.78242938</v>
      </c>
      <c r="E1479">
        <v>0.47410824000000001</v>
      </c>
      <c r="F1479">
        <v>3.31584579</v>
      </c>
      <c r="G1479">
        <v>1.2993524999999999</v>
      </c>
      <c r="H1479">
        <v>2.6243690000000002</v>
      </c>
      <c r="I1479">
        <v>9.6783300000000006E-3</v>
      </c>
      <c r="J1479">
        <v>1</v>
      </c>
      <c r="K1479">
        <v>950070</v>
      </c>
      <c r="L1479">
        <f t="shared" si="207"/>
        <v>1.2753253038461539E-2</v>
      </c>
      <c r="M1479">
        <f t="shared" si="208"/>
        <v>4.9975096153846155E-3</v>
      </c>
      <c r="N1479">
        <f t="shared" si="209"/>
        <v>1.0093726923076923E-2</v>
      </c>
      <c r="O1479">
        <f t="shared" si="210"/>
        <v>7.5456182692307692E-3</v>
      </c>
      <c r="P1479">
        <f t="shared" si="206"/>
        <v>9.488639453602536</v>
      </c>
      <c r="R1479">
        <f t="shared" si="211"/>
        <v>-1.0073449388251681E-3</v>
      </c>
    </row>
    <row r="1480" spans="1:18" x14ac:dyDescent="0.2">
      <c r="A1480" t="s">
        <v>1491</v>
      </c>
      <c r="B1480">
        <v>5.5974991799999998</v>
      </c>
      <c r="C1480">
        <v>0.10153107</v>
      </c>
      <c r="D1480">
        <v>5.732272</v>
      </c>
      <c r="E1480">
        <v>0.67165333999999999</v>
      </c>
      <c r="F1480">
        <v>3.3010436099999998</v>
      </c>
      <c r="G1480">
        <v>1.28379424</v>
      </c>
      <c r="H1480">
        <v>2.5711580399999998</v>
      </c>
      <c r="I1480">
        <v>9.8609400000000003E-3</v>
      </c>
      <c r="J1480">
        <v>1</v>
      </c>
      <c r="K1480">
        <v>950070</v>
      </c>
      <c r="L1480">
        <f t="shared" si="207"/>
        <v>1.2696321576923075E-2</v>
      </c>
      <c r="M1480">
        <f t="shared" si="208"/>
        <v>4.9376701538461536E-3</v>
      </c>
      <c r="N1480">
        <f t="shared" si="209"/>
        <v>9.8890693846153833E-3</v>
      </c>
      <c r="O1480">
        <f t="shared" si="210"/>
        <v>7.4133697692307689E-3</v>
      </c>
      <c r="P1480">
        <f t="shared" si="206"/>
        <v>5.7454832597010634</v>
      </c>
      <c r="R1480">
        <f t="shared" si="211"/>
        <v>-4.125622316073127E-4</v>
      </c>
    </row>
    <row r="1481" spans="1:18" x14ac:dyDescent="0.2">
      <c r="A1481" t="s">
        <v>1492</v>
      </c>
      <c r="B1481">
        <v>5.5538964599999998</v>
      </c>
      <c r="C1481">
        <v>5.4000270000000003E-2</v>
      </c>
      <c r="D1481">
        <v>5.6933744400000004</v>
      </c>
      <c r="E1481">
        <v>0.96797098999999998</v>
      </c>
      <c r="F1481">
        <v>3.2837219100000001</v>
      </c>
      <c r="G1481">
        <v>1.27305972</v>
      </c>
      <c r="H1481">
        <v>2.53314226</v>
      </c>
      <c r="I1481">
        <v>9.6783300000000006E-3</v>
      </c>
      <c r="J1481">
        <v>1</v>
      </c>
      <c r="K1481">
        <v>950070</v>
      </c>
      <c r="L1481">
        <f t="shared" si="207"/>
        <v>1.2629699653846154E-2</v>
      </c>
      <c r="M1481">
        <f t="shared" si="208"/>
        <v>4.8963835384615382E-3</v>
      </c>
      <c r="N1481">
        <f t="shared" si="209"/>
        <v>9.7428548461538454E-3</v>
      </c>
      <c r="O1481">
        <f t="shared" si="210"/>
        <v>7.3196191923076926E-3</v>
      </c>
      <c r="P1481">
        <f t="shared" si="206"/>
        <v>3.0557901862389274</v>
      </c>
      <c r="R1481">
        <f t="shared" si="211"/>
        <v>-8.1110068226915573E-5</v>
      </c>
    </row>
    <row r="1482" spans="1:18" x14ac:dyDescent="0.2">
      <c r="A1482" t="s">
        <v>1493</v>
      </c>
      <c r="B1482">
        <v>5.5411789999999996</v>
      </c>
      <c r="C1482">
        <v>5.0831550000000003E-2</v>
      </c>
      <c r="D1482">
        <v>5.6821146200000001</v>
      </c>
      <c r="E1482">
        <v>1.1457615800000001</v>
      </c>
      <c r="F1482">
        <v>3.2624634600000002</v>
      </c>
      <c r="G1482">
        <v>1.2695268399999999</v>
      </c>
      <c r="H1482">
        <v>2.5224555400000002</v>
      </c>
      <c r="I1482">
        <v>9.6783300000000006E-3</v>
      </c>
      <c r="J1482">
        <v>1</v>
      </c>
      <c r="K1482">
        <v>950070</v>
      </c>
      <c r="L1482">
        <f t="shared" si="207"/>
        <v>1.2547936384615386E-2</v>
      </c>
      <c r="M1482">
        <f t="shared" si="208"/>
        <v>4.882795538461538E-3</v>
      </c>
      <c r="N1482">
        <f t="shared" si="209"/>
        <v>9.7017520769230783E-3</v>
      </c>
      <c r="O1482">
        <f t="shared" si="210"/>
        <v>7.2922738076923082E-3</v>
      </c>
      <c r="P1482">
        <f t="shared" si="206"/>
        <v>2.8764773146747848</v>
      </c>
      <c r="R1482">
        <f t="shared" si="211"/>
        <v>1.8109572599707128E-4</v>
      </c>
    </row>
    <row r="1483" spans="1:18" x14ac:dyDescent="0.2">
      <c r="A1483" t="s">
        <v>1494</v>
      </c>
      <c r="B1483">
        <v>5.55856818</v>
      </c>
      <c r="C1483">
        <v>0.10918881</v>
      </c>
      <c r="D1483">
        <v>5.7010515899999996</v>
      </c>
      <c r="E1483">
        <v>1.1457615800000001</v>
      </c>
      <c r="F1483">
        <v>3.2437245300000002</v>
      </c>
      <c r="G1483">
        <v>1.2691192</v>
      </c>
      <c r="H1483">
        <v>2.5436619999999999</v>
      </c>
      <c r="I1483">
        <v>9.6783300000000006E-3</v>
      </c>
      <c r="J1483">
        <v>1</v>
      </c>
      <c r="K1483">
        <v>950070</v>
      </c>
      <c r="L1483">
        <f t="shared" si="207"/>
        <v>1.2475863576923077E-2</v>
      </c>
      <c r="M1483">
        <f t="shared" si="208"/>
        <v>4.8812276923076922E-3</v>
      </c>
      <c r="N1483">
        <f t="shared" si="209"/>
        <v>9.7833153846153837E-3</v>
      </c>
      <c r="O1483">
        <f t="shared" si="210"/>
        <v>7.332271538461538E-3</v>
      </c>
      <c r="P1483">
        <f t="shared" si="206"/>
        <v>6.1788226993144075</v>
      </c>
      <c r="R1483">
        <f t="shared" si="211"/>
        <v>8.1488202693222734E-4</v>
      </c>
    </row>
    <row r="1484" spans="1:18" x14ac:dyDescent="0.2">
      <c r="A1484" t="s">
        <v>1495</v>
      </c>
      <c r="B1484">
        <v>5.5967205599999996</v>
      </c>
      <c r="C1484">
        <v>0.19012319999999999</v>
      </c>
      <c r="D1484">
        <v>5.7368782899999999</v>
      </c>
      <c r="E1484">
        <v>1.0272345199999999</v>
      </c>
      <c r="F1484">
        <v>3.2327016300000002</v>
      </c>
      <c r="G1484">
        <v>1.2761849599999999</v>
      </c>
      <c r="H1484">
        <v>2.5866315200000001</v>
      </c>
      <c r="I1484">
        <v>9.6783300000000006E-3</v>
      </c>
      <c r="J1484">
        <v>1</v>
      </c>
      <c r="K1484">
        <v>950071</v>
      </c>
      <c r="L1484">
        <f t="shared" si="207"/>
        <v>1.2433467807692309E-2</v>
      </c>
      <c r="M1484">
        <f t="shared" si="208"/>
        <v>4.9084036923076916E-3</v>
      </c>
      <c r="N1484">
        <f t="shared" si="209"/>
        <v>9.9485827692307703E-3</v>
      </c>
      <c r="O1484">
        <f t="shared" si="210"/>
        <v>7.4284932307692314E-3</v>
      </c>
      <c r="P1484">
        <f t="shared" si="206"/>
        <v>10.758772293848546</v>
      </c>
      <c r="Q1484">
        <f t="shared" ref="Q1484" si="212">ABS(0.5*(SUMPRODUCT(O1484:O1502,P1485:P1503)+O1503*P1484-(SUMPRODUCT(O1485:O1503,P1484:P1502)+O1484*P1503)))</f>
        <v>5.2398328884954992E-3</v>
      </c>
      <c r="R1484">
        <f t="shared" si="211"/>
        <v>1.7933463178456286E-3</v>
      </c>
    </row>
    <row r="1485" spans="1:18" x14ac:dyDescent="0.2">
      <c r="A1485" t="s">
        <v>1496</v>
      </c>
      <c r="B1485">
        <v>5.6481094799999996</v>
      </c>
      <c r="C1485">
        <v>0.28320434999999999</v>
      </c>
      <c r="D1485">
        <v>5.7993191099999999</v>
      </c>
      <c r="E1485">
        <v>0.73091687000000005</v>
      </c>
      <c r="F1485">
        <v>3.2265603</v>
      </c>
      <c r="G1485">
        <v>1.28943326</v>
      </c>
      <c r="H1485">
        <v>2.6430151</v>
      </c>
      <c r="I1485">
        <v>9.6783300000000006E-3</v>
      </c>
      <c r="J1485">
        <v>1</v>
      </c>
      <c r="K1485">
        <v>950071</v>
      </c>
      <c r="L1485">
        <f t="shared" si="207"/>
        <v>1.2409847307692307E-2</v>
      </c>
      <c r="M1485">
        <f t="shared" si="208"/>
        <v>4.9593586923076926E-3</v>
      </c>
      <c r="N1485">
        <f t="shared" si="209"/>
        <v>1.0165442692307692E-2</v>
      </c>
      <c r="O1485">
        <f t="shared" si="210"/>
        <v>7.5624006923076924E-3</v>
      </c>
      <c r="P1485">
        <f t="shared" si="206"/>
        <v>16.02608789604523</v>
      </c>
      <c r="R1485">
        <f t="shared" si="211"/>
        <v>2.8775180649724089E-3</v>
      </c>
    </row>
    <row r="1486" spans="1:18" x14ac:dyDescent="0.2">
      <c r="A1486" t="s">
        <v>1497</v>
      </c>
      <c r="B1486">
        <v>5.7091013799999999</v>
      </c>
      <c r="C1486">
        <v>0.39278924999999998</v>
      </c>
      <c r="D1486">
        <v>5.8679016500000003</v>
      </c>
      <c r="E1486">
        <v>0.67165333999999999</v>
      </c>
      <c r="F1486">
        <v>3.2245131900000001</v>
      </c>
      <c r="G1486">
        <v>1.30499152</v>
      </c>
      <c r="H1486">
        <v>2.7056882600000001</v>
      </c>
      <c r="I1486">
        <v>9.8609400000000003E-3</v>
      </c>
      <c r="J1486">
        <v>1</v>
      </c>
      <c r="K1486">
        <v>950071</v>
      </c>
      <c r="L1486">
        <f t="shared" si="207"/>
        <v>1.2401973807692309E-2</v>
      </c>
      <c r="M1486">
        <f t="shared" si="208"/>
        <v>5.0191981538461536E-3</v>
      </c>
      <c r="N1486">
        <f t="shared" si="209"/>
        <v>1.0406493307692308E-2</v>
      </c>
      <c r="O1486">
        <f t="shared" si="210"/>
        <v>7.712845730769231E-3</v>
      </c>
      <c r="P1486">
        <f t="shared" si="206"/>
        <v>22.227324704305154</v>
      </c>
      <c r="R1486">
        <f t="shared" si="211"/>
        <v>3.8024016376498877E-3</v>
      </c>
    </row>
    <row r="1487" spans="1:18" x14ac:dyDescent="0.2">
      <c r="A1487" t="s">
        <v>1498</v>
      </c>
      <c r="B1487">
        <v>5.77320776</v>
      </c>
      <c r="C1487">
        <v>0.52587549</v>
      </c>
      <c r="D1487">
        <v>5.9339251400000004</v>
      </c>
      <c r="E1487">
        <v>0.67165333999999999</v>
      </c>
      <c r="F1487">
        <v>3.2341188600000002</v>
      </c>
      <c r="G1487">
        <v>1.3190550999999999</v>
      </c>
      <c r="H1487">
        <v>2.7676935</v>
      </c>
      <c r="I1487">
        <v>9.8609400000000003E-3</v>
      </c>
      <c r="J1487">
        <v>1</v>
      </c>
      <c r="K1487">
        <v>950071</v>
      </c>
      <c r="L1487">
        <f t="shared" si="207"/>
        <v>1.2438918692307692E-2</v>
      </c>
      <c r="M1487">
        <f t="shared" si="208"/>
        <v>5.0732888461538462E-3</v>
      </c>
      <c r="N1487">
        <f t="shared" si="209"/>
        <v>1.0644975000000001E-2</v>
      </c>
      <c r="O1487">
        <f t="shared" si="210"/>
        <v>7.8591319230769223E-3</v>
      </c>
      <c r="P1487">
        <f t="shared" si="206"/>
        <v>29.758465309999139</v>
      </c>
      <c r="R1487">
        <f t="shared" si="211"/>
        <v>4.4245428247786135E-3</v>
      </c>
    </row>
    <row r="1488" spans="1:18" x14ac:dyDescent="0.2">
      <c r="A1488" t="s">
        <v>1499</v>
      </c>
      <c r="B1488">
        <v>5.8303065600000004</v>
      </c>
      <c r="C1488">
        <v>0.70517222999999996</v>
      </c>
      <c r="D1488">
        <v>6.0055785400000001</v>
      </c>
      <c r="E1488">
        <v>0.67165333999999999</v>
      </c>
      <c r="F1488">
        <v>3.24718887</v>
      </c>
      <c r="G1488">
        <v>1.3300613800000001</v>
      </c>
      <c r="H1488">
        <v>2.82274124</v>
      </c>
      <c r="I1488">
        <v>9.8609400000000003E-3</v>
      </c>
      <c r="J1488">
        <v>1</v>
      </c>
      <c r="K1488">
        <v>950071</v>
      </c>
      <c r="L1488">
        <f t="shared" si="207"/>
        <v>1.2489187961538462E-2</v>
      </c>
      <c r="M1488">
        <f t="shared" si="208"/>
        <v>5.1156206923076925E-3</v>
      </c>
      <c r="N1488">
        <f t="shared" si="209"/>
        <v>1.0856697076923078E-2</v>
      </c>
      <c r="O1488">
        <f t="shared" si="210"/>
        <v>7.9861588846153846E-3</v>
      </c>
      <c r="P1488">
        <f t="shared" si="206"/>
        <v>39.904585292670191</v>
      </c>
      <c r="R1488">
        <f t="shared" si="211"/>
        <v>2.8076112495842697E-3</v>
      </c>
    </row>
    <row r="1489" spans="1:19" x14ac:dyDescent="0.2">
      <c r="A1489" t="s">
        <v>1500</v>
      </c>
      <c r="B1489">
        <v>5.8715734199999998</v>
      </c>
      <c r="C1489">
        <v>0.82518749999999996</v>
      </c>
      <c r="D1489">
        <v>6.0414052399999996</v>
      </c>
      <c r="E1489">
        <v>0.67165333999999999</v>
      </c>
      <c r="F1489">
        <v>3.2601014099999999</v>
      </c>
      <c r="G1489">
        <v>1.3352248200000001</v>
      </c>
      <c r="H1489">
        <v>2.8512948200000001</v>
      </c>
      <c r="I1489">
        <v>9.8609400000000003E-3</v>
      </c>
      <c r="J1489">
        <v>1</v>
      </c>
      <c r="K1489">
        <v>950071</v>
      </c>
      <c r="L1489">
        <f t="shared" si="207"/>
        <v>1.2538851576923077E-2</v>
      </c>
      <c r="M1489">
        <f t="shared" si="208"/>
        <v>5.1354800769230768E-3</v>
      </c>
      <c r="N1489">
        <f t="shared" si="209"/>
        <v>1.0966518538461539E-2</v>
      </c>
      <c r="O1489">
        <f t="shared" si="210"/>
        <v>8.0509993076923088E-3</v>
      </c>
      <c r="P1489">
        <f t="shared" si="206"/>
        <v>46.696060303162092</v>
      </c>
      <c r="R1489">
        <f t="shared" si="211"/>
        <v>9.1219893675155525E-4</v>
      </c>
    </row>
    <row r="1490" spans="1:19" x14ac:dyDescent="0.2">
      <c r="A1490" t="s">
        <v>1501</v>
      </c>
      <c r="B1490">
        <v>5.88013824</v>
      </c>
      <c r="C1490">
        <v>0.85264974000000004</v>
      </c>
      <c r="D1490">
        <v>6.04754696</v>
      </c>
      <c r="E1490">
        <v>0.67165333999999999</v>
      </c>
      <c r="F1490">
        <v>3.27600588</v>
      </c>
      <c r="G1490">
        <v>1.3369233199999999</v>
      </c>
      <c r="H1490">
        <v>2.8595881599999999</v>
      </c>
      <c r="I1490">
        <v>9.6783300000000006E-3</v>
      </c>
      <c r="J1490">
        <v>1</v>
      </c>
      <c r="K1490">
        <v>950071</v>
      </c>
      <c r="L1490">
        <f t="shared" si="207"/>
        <v>1.2600022615384615E-2</v>
      </c>
      <c r="M1490">
        <f t="shared" si="208"/>
        <v>5.142012769230769E-3</v>
      </c>
      <c r="N1490">
        <f t="shared" si="209"/>
        <v>1.0998416E-2</v>
      </c>
      <c r="O1490">
        <f t="shared" si="210"/>
        <v>8.0702143846153838E-3</v>
      </c>
      <c r="P1490">
        <f t="shared" si="206"/>
        <v>48.250105190051329</v>
      </c>
      <c r="R1490">
        <f t="shared" si="211"/>
        <v>3.099467066067208E-4</v>
      </c>
    </row>
    <row r="1491" spans="1:19" x14ac:dyDescent="0.2">
      <c r="A1491" t="s">
        <v>1502</v>
      </c>
      <c r="B1491">
        <v>5.8832527199999998</v>
      </c>
      <c r="C1491">
        <v>0.85344191999999997</v>
      </c>
      <c r="D1491">
        <v>6.0490823899999997</v>
      </c>
      <c r="E1491">
        <v>0.61238981000000003</v>
      </c>
      <c r="F1491">
        <v>3.2923827600000002</v>
      </c>
      <c r="G1491">
        <v>1.3375347799999999</v>
      </c>
      <c r="H1491">
        <v>2.8623154999999998</v>
      </c>
      <c r="I1491">
        <v>9.6783300000000006E-3</v>
      </c>
      <c r="J1491">
        <v>1</v>
      </c>
      <c r="K1491">
        <v>950071</v>
      </c>
      <c r="L1491">
        <f t="shared" si="207"/>
        <v>1.2663010615384615E-2</v>
      </c>
      <c r="M1491">
        <f t="shared" si="208"/>
        <v>5.1443645384615377E-3</v>
      </c>
      <c r="N1491">
        <f t="shared" si="209"/>
        <v>1.1008905769230769E-2</v>
      </c>
      <c r="O1491">
        <f t="shared" si="210"/>
        <v>8.0766351538461532E-3</v>
      </c>
      <c r="P1491">
        <f t="shared" si="206"/>
        <v>48.294933407942359</v>
      </c>
      <c r="R1491">
        <f t="shared" si="211"/>
        <v>-1.0285099627843702E-4</v>
      </c>
    </row>
    <row r="1492" spans="1:19" x14ac:dyDescent="0.2">
      <c r="A1492" t="s">
        <v>1503</v>
      </c>
      <c r="B1492">
        <v>5.8770237600000002</v>
      </c>
      <c r="C1492">
        <v>0.81634149</v>
      </c>
      <c r="D1492">
        <v>6.0542004900000004</v>
      </c>
      <c r="E1492">
        <v>0.53337177000000002</v>
      </c>
      <c r="F1492">
        <v>3.3052953</v>
      </c>
      <c r="G1492">
        <v>1.3377386</v>
      </c>
      <c r="H1492">
        <v>2.8609796599999999</v>
      </c>
      <c r="I1492">
        <v>9.6783300000000006E-3</v>
      </c>
      <c r="J1492">
        <v>1</v>
      </c>
      <c r="K1492">
        <v>950071</v>
      </c>
      <c r="L1492">
        <f t="shared" si="207"/>
        <v>1.271267423076923E-2</v>
      </c>
      <c r="M1492">
        <f t="shared" si="208"/>
        <v>5.1451484615384615E-3</v>
      </c>
      <c r="N1492">
        <f t="shared" si="209"/>
        <v>1.1003767923076923E-2</v>
      </c>
      <c r="O1492">
        <f t="shared" si="210"/>
        <v>8.074458192307692E-3</v>
      </c>
      <c r="P1492">
        <f t="shared" si="206"/>
        <v>46.195478536712194</v>
      </c>
      <c r="R1492">
        <f t="shared" si="211"/>
        <v>-1.0501754922160598E-3</v>
      </c>
    </row>
    <row r="1493" spans="1:19" x14ac:dyDescent="0.2">
      <c r="A1493" t="s">
        <v>1504</v>
      </c>
      <c r="B1493">
        <v>5.8643063</v>
      </c>
      <c r="C1493">
        <v>0.70226756999999995</v>
      </c>
      <c r="D1493">
        <v>6.03526352</v>
      </c>
      <c r="E1493">
        <v>0.53337177000000002</v>
      </c>
      <c r="F1493">
        <v>3.31537338</v>
      </c>
      <c r="G1493">
        <v>1.3379424200000001</v>
      </c>
      <c r="H1493">
        <v>2.84806654</v>
      </c>
      <c r="I1493">
        <v>1.004355E-2</v>
      </c>
      <c r="J1493">
        <v>1</v>
      </c>
      <c r="K1493">
        <v>950071</v>
      </c>
      <c r="L1493">
        <f t="shared" si="207"/>
        <v>1.2751436076923077E-2</v>
      </c>
      <c r="M1493">
        <f t="shared" si="208"/>
        <v>5.1459323846153853E-3</v>
      </c>
      <c r="N1493">
        <f t="shared" si="209"/>
        <v>1.0954102076923078E-2</v>
      </c>
      <c r="O1493">
        <f t="shared" si="210"/>
        <v>8.0500172307692314E-3</v>
      </c>
      <c r="P1493">
        <f t="shared" si="206"/>
        <v>39.740215160403061</v>
      </c>
      <c r="R1493">
        <f t="shared" si="211"/>
        <v>-9.5727274502863872E-4</v>
      </c>
      <c r="S1493">
        <f>ABS(SUMIFS($R:$R,$K:$K,K1493))</f>
        <v>5.2021507463008883E-3</v>
      </c>
    </row>
    <row r="1494" spans="1:19" x14ac:dyDescent="0.2">
      <c r="A1494" t="s">
        <v>1505</v>
      </c>
      <c r="B1494">
        <v>5.8469171199999996</v>
      </c>
      <c r="C1494">
        <v>0.61288326000000004</v>
      </c>
      <c r="D1494">
        <v>6.0163265499999996</v>
      </c>
      <c r="E1494">
        <v>0.53337177000000002</v>
      </c>
      <c r="F1494">
        <v>3.3273410999999999</v>
      </c>
      <c r="G1494">
        <v>1.3381462399999999</v>
      </c>
      <c r="H1494">
        <v>2.8344855</v>
      </c>
      <c r="I1494">
        <v>1.004355E-2</v>
      </c>
      <c r="J1494">
        <v>1</v>
      </c>
      <c r="K1494">
        <v>950071</v>
      </c>
      <c r="L1494">
        <f t="shared" si="207"/>
        <v>1.2797465769230769E-2</v>
      </c>
      <c r="M1494">
        <f t="shared" si="208"/>
        <v>5.1467163076923074E-3</v>
      </c>
      <c r="N1494">
        <f t="shared" si="209"/>
        <v>1.0901867307692308E-2</v>
      </c>
      <c r="O1494">
        <f t="shared" si="210"/>
        <v>8.0242918076923082E-3</v>
      </c>
      <c r="P1494">
        <f t="shared" si="206"/>
        <v>34.682097908364554</v>
      </c>
      <c r="R1494">
        <f t="shared" si="211"/>
        <v>-1.3624597320488791E-3</v>
      </c>
    </row>
    <row r="1495" spans="1:19" x14ac:dyDescent="0.2">
      <c r="A1495" t="s">
        <v>1506</v>
      </c>
      <c r="B1495">
        <v>5.8279706999999998</v>
      </c>
      <c r="C1495">
        <v>0.51940602000000002</v>
      </c>
      <c r="D1495">
        <v>5.9917596700000004</v>
      </c>
      <c r="E1495">
        <v>0.53337177000000002</v>
      </c>
      <c r="F1495">
        <v>3.3341123100000001</v>
      </c>
      <c r="G1495">
        <v>1.33712714</v>
      </c>
      <c r="H1495">
        <v>2.8133903600000001</v>
      </c>
      <c r="I1495">
        <v>9.6783300000000006E-3</v>
      </c>
      <c r="J1495">
        <v>1</v>
      </c>
      <c r="K1495">
        <v>950071</v>
      </c>
      <c r="L1495">
        <f t="shared" si="207"/>
        <v>1.2823508884615385E-2</v>
      </c>
      <c r="M1495">
        <f t="shared" si="208"/>
        <v>5.1427966923076919E-3</v>
      </c>
      <c r="N1495">
        <f t="shared" si="209"/>
        <v>1.0820732153846154E-2</v>
      </c>
      <c r="O1495">
        <f t="shared" si="210"/>
        <v>7.981764423076923E-3</v>
      </c>
      <c r="P1495">
        <f t="shared" si="206"/>
        <v>29.39236819722235</v>
      </c>
      <c r="R1495">
        <f t="shared" si="211"/>
        <v>-2.0230807105425276E-3</v>
      </c>
    </row>
    <row r="1496" spans="1:19" x14ac:dyDescent="0.2">
      <c r="A1496" t="s">
        <v>1507</v>
      </c>
      <c r="B1496">
        <v>5.7924137199999999</v>
      </c>
      <c r="C1496">
        <v>0.41906322000000001</v>
      </c>
      <c r="D1496">
        <v>5.9462085800000004</v>
      </c>
      <c r="E1496">
        <v>0.47410824000000001</v>
      </c>
      <c r="F1496">
        <v>3.33505713</v>
      </c>
      <c r="G1496">
        <v>1.33318662</v>
      </c>
      <c r="H1496">
        <v>2.7777123000000001</v>
      </c>
      <c r="I1496">
        <v>9.8609400000000003E-3</v>
      </c>
      <c r="J1496">
        <v>1</v>
      </c>
      <c r="K1496">
        <v>950071</v>
      </c>
      <c r="L1496">
        <f t="shared" si="207"/>
        <v>1.2827142807692309E-2</v>
      </c>
      <c r="M1496">
        <f t="shared" si="208"/>
        <v>5.1276408461538459E-3</v>
      </c>
      <c r="N1496">
        <f t="shared" si="209"/>
        <v>1.0683508846153846E-2</v>
      </c>
      <c r="O1496">
        <f t="shared" si="210"/>
        <v>7.9055748461538469E-3</v>
      </c>
      <c r="P1496">
        <f t="shared" si="206"/>
        <v>23.714127264357838</v>
      </c>
      <c r="R1496">
        <f t="shared" si="211"/>
        <v>-2.2217401018491353E-3</v>
      </c>
    </row>
    <row r="1497" spans="1:19" x14ac:dyDescent="0.2">
      <c r="A1497" t="s">
        <v>1508</v>
      </c>
      <c r="B1497">
        <v>5.7480323799999997</v>
      </c>
      <c r="C1497">
        <v>0.32400161999999999</v>
      </c>
      <c r="D1497">
        <v>5.8960511999999996</v>
      </c>
      <c r="E1497">
        <v>0.47410824000000001</v>
      </c>
      <c r="F1497">
        <v>3.33505713</v>
      </c>
      <c r="G1497">
        <v>1.3251017599999999</v>
      </c>
      <c r="H1497">
        <v>2.7308465800000001</v>
      </c>
      <c r="I1497">
        <v>9.8609400000000003E-3</v>
      </c>
      <c r="J1497">
        <v>1</v>
      </c>
      <c r="K1497">
        <v>950071</v>
      </c>
      <c r="L1497">
        <f t="shared" si="207"/>
        <v>1.2827142807692309E-2</v>
      </c>
      <c r="M1497">
        <f t="shared" si="208"/>
        <v>5.0965452307692302E-3</v>
      </c>
      <c r="N1497">
        <f t="shared" si="209"/>
        <v>1.0503256076923078E-2</v>
      </c>
      <c r="O1497">
        <f t="shared" si="210"/>
        <v>7.7999006538461545E-3</v>
      </c>
      <c r="P1497">
        <f t="shared" si="206"/>
        <v>18.334741117433563</v>
      </c>
      <c r="R1497">
        <f t="shared" si="211"/>
        <v>-1.9960127049834979E-3</v>
      </c>
    </row>
    <row r="1498" spans="1:19" x14ac:dyDescent="0.2">
      <c r="A1498" t="s">
        <v>1509</v>
      </c>
      <c r="B1498">
        <v>5.6987197800000002</v>
      </c>
      <c r="C1498">
        <v>0.24055866000000001</v>
      </c>
      <c r="D1498">
        <v>5.8417993399999997</v>
      </c>
      <c r="E1498">
        <v>0.47410824000000001</v>
      </c>
      <c r="F1498">
        <v>3.3298606199999998</v>
      </c>
      <c r="G1498">
        <v>1.3132801999999999</v>
      </c>
      <c r="H1498">
        <v>2.6776912799999999</v>
      </c>
      <c r="I1498">
        <v>9.8609400000000003E-3</v>
      </c>
      <c r="J1498">
        <v>1</v>
      </c>
      <c r="K1498">
        <v>950071</v>
      </c>
      <c r="L1498">
        <f t="shared" si="207"/>
        <v>1.280715623076923E-2</v>
      </c>
      <c r="M1498">
        <f t="shared" si="208"/>
        <v>5.0510776923076922E-3</v>
      </c>
      <c r="N1498">
        <f t="shared" si="209"/>
        <v>1.0298812615384616E-2</v>
      </c>
      <c r="O1498">
        <f t="shared" si="210"/>
        <v>7.6749451538461536E-3</v>
      </c>
      <c r="P1498">
        <f t="shared" si="206"/>
        <v>13.612835499577812</v>
      </c>
      <c r="R1498">
        <f t="shared" si="211"/>
        <v>-1.5161742193373962E-3</v>
      </c>
    </row>
    <row r="1499" spans="1:19" x14ac:dyDescent="0.2">
      <c r="A1499" t="s">
        <v>1510</v>
      </c>
      <c r="B1499">
        <v>5.6442163799999996</v>
      </c>
      <c r="C1499">
        <v>0.16516953000000001</v>
      </c>
      <c r="D1499">
        <v>5.7885711000000004</v>
      </c>
      <c r="E1499">
        <v>0.47410824000000001</v>
      </c>
      <c r="F1499">
        <v>3.3163182</v>
      </c>
      <c r="G1499">
        <v>1.2991486800000001</v>
      </c>
      <c r="H1499">
        <v>2.6231444800000001</v>
      </c>
      <c r="I1499">
        <v>9.8609400000000003E-3</v>
      </c>
      <c r="J1499">
        <v>1</v>
      </c>
      <c r="K1499">
        <v>950071</v>
      </c>
      <c r="L1499">
        <f t="shared" si="207"/>
        <v>1.275507E-2</v>
      </c>
      <c r="M1499">
        <f t="shared" si="208"/>
        <v>4.9967256923076925E-3</v>
      </c>
      <c r="N1499">
        <f t="shared" si="209"/>
        <v>1.0089017230769231E-2</v>
      </c>
      <c r="O1499">
        <f t="shared" si="210"/>
        <v>7.5428714615384616E-3</v>
      </c>
      <c r="P1499">
        <f t="shared" si="206"/>
        <v>9.3466834302809243</v>
      </c>
      <c r="R1499">
        <f t="shared" si="211"/>
        <v>-9.9013670654138158E-4</v>
      </c>
    </row>
    <row r="1500" spans="1:19" x14ac:dyDescent="0.2">
      <c r="A1500" t="s">
        <v>1511</v>
      </c>
      <c r="B1500">
        <v>5.5943847</v>
      </c>
      <c r="C1500">
        <v>9.9154530000000005E-2</v>
      </c>
      <c r="D1500">
        <v>5.732272</v>
      </c>
      <c r="E1500">
        <v>0.73091687000000005</v>
      </c>
      <c r="F1500">
        <v>3.2989964999999999</v>
      </c>
      <c r="G1500">
        <v>1.28379424</v>
      </c>
      <c r="H1500">
        <v>2.56965522</v>
      </c>
      <c r="I1500">
        <v>9.8609400000000003E-3</v>
      </c>
      <c r="J1500">
        <v>1</v>
      </c>
      <c r="K1500">
        <v>950071</v>
      </c>
      <c r="L1500">
        <f t="shared" si="207"/>
        <v>1.2688448076923077E-2</v>
      </c>
      <c r="M1500">
        <f t="shared" si="208"/>
        <v>4.9376701538461536E-3</v>
      </c>
      <c r="N1500">
        <f t="shared" si="209"/>
        <v>9.8832893076923074E-3</v>
      </c>
      <c r="O1500">
        <f t="shared" si="210"/>
        <v>7.4104797307692309E-3</v>
      </c>
      <c r="P1500">
        <f t="shared" si="206"/>
        <v>5.6109986060279571</v>
      </c>
      <c r="R1500">
        <f t="shared" si="211"/>
        <v>-3.9960513264671293E-4</v>
      </c>
    </row>
    <row r="1501" spans="1:19" x14ac:dyDescent="0.2">
      <c r="A1501" t="s">
        <v>1512</v>
      </c>
      <c r="B1501">
        <v>5.5531178399999996</v>
      </c>
      <c r="C1501">
        <v>5.2415910000000003E-2</v>
      </c>
      <c r="D1501">
        <v>5.6918390099999998</v>
      </c>
      <c r="E1501">
        <v>1.0272345199999999</v>
      </c>
      <c r="F1501">
        <v>3.2832495000000002</v>
      </c>
      <c r="G1501">
        <v>1.2728558999999999</v>
      </c>
      <c r="H1501">
        <v>2.53214038</v>
      </c>
      <c r="I1501">
        <v>9.8609400000000003E-3</v>
      </c>
      <c r="J1501">
        <v>1</v>
      </c>
      <c r="K1501">
        <v>950071</v>
      </c>
      <c r="L1501">
        <f t="shared" si="207"/>
        <v>1.2627882692307692E-2</v>
      </c>
      <c r="M1501">
        <f t="shared" si="208"/>
        <v>4.8955996153846153E-3</v>
      </c>
      <c r="N1501">
        <f t="shared" si="209"/>
        <v>9.7390014615384608E-3</v>
      </c>
      <c r="O1501">
        <f t="shared" si="210"/>
        <v>7.3173005384615389E-3</v>
      </c>
      <c r="P1501">
        <f t="shared" si="206"/>
        <v>2.9661337504568563</v>
      </c>
      <c r="R1501">
        <f t="shared" si="211"/>
        <v>-8.3425070388342719E-5</v>
      </c>
    </row>
    <row r="1502" spans="1:19" x14ac:dyDescent="0.2">
      <c r="A1502" t="s">
        <v>1513</v>
      </c>
      <c r="B1502">
        <v>5.5396217600000002</v>
      </c>
      <c r="C1502">
        <v>5.0831550000000003E-2</v>
      </c>
      <c r="D1502">
        <v>5.6805791899999996</v>
      </c>
      <c r="E1502">
        <v>1.0864980500000001</v>
      </c>
      <c r="F1502">
        <v>3.2624634600000002</v>
      </c>
      <c r="G1502">
        <v>1.2689153799999999</v>
      </c>
      <c r="H1502">
        <v>2.5212310200000001</v>
      </c>
      <c r="I1502">
        <v>9.8609400000000003E-3</v>
      </c>
      <c r="J1502">
        <v>1</v>
      </c>
      <c r="K1502">
        <v>950071</v>
      </c>
      <c r="L1502">
        <f t="shared" si="207"/>
        <v>1.2547936384615386E-2</v>
      </c>
      <c r="M1502">
        <f t="shared" si="208"/>
        <v>4.8804437692307693E-3</v>
      </c>
      <c r="N1502">
        <f t="shared" si="209"/>
        <v>9.6970423846153841E-3</v>
      </c>
      <c r="O1502">
        <f t="shared" si="210"/>
        <v>7.2887430769230776E-3</v>
      </c>
      <c r="P1502">
        <f t="shared" si="206"/>
        <v>2.8764773146747848</v>
      </c>
      <c r="R1502">
        <f t="shared" si="211"/>
        <v>1.7763587508839193E-4</v>
      </c>
    </row>
    <row r="1503" spans="1:19" x14ac:dyDescent="0.2">
      <c r="A1503" t="s">
        <v>1514</v>
      </c>
      <c r="B1503">
        <v>5.5554537000000002</v>
      </c>
      <c r="C1503">
        <v>0.10641618</v>
      </c>
      <c r="D1503">
        <v>5.6995161599999999</v>
      </c>
      <c r="E1503">
        <v>1.0864980500000001</v>
      </c>
      <c r="F1503">
        <v>3.2408900699999998</v>
      </c>
      <c r="G1503">
        <v>1.2689153799999999</v>
      </c>
      <c r="H1503">
        <v>2.5419922000000001</v>
      </c>
      <c r="I1503">
        <v>1.004355E-2</v>
      </c>
      <c r="J1503">
        <v>1</v>
      </c>
      <c r="K1503">
        <v>950071</v>
      </c>
      <c r="L1503">
        <f t="shared" si="207"/>
        <v>1.2464961807692307E-2</v>
      </c>
      <c r="M1503">
        <f t="shared" si="208"/>
        <v>4.8804437692307693E-3</v>
      </c>
      <c r="N1503">
        <f t="shared" si="209"/>
        <v>9.7768930769230773E-3</v>
      </c>
      <c r="O1503">
        <f t="shared" si="210"/>
        <v>7.3286684230769233E-3</v>
      </c>
      <c r="P1503">
        <f t="shared" si="206"/>
        <v>6.0219239366957833</v>
      </c>
      <c r="R1503">
        <f t="shared" si="211"/>
        <v>7.9988274488442294E-4</v>
      </c>
    </row>
    <row r="1504" spans="1:19" x14ac:dyDescent="0.2">
      <c r="A1504" t="s">
        <v>1515</v>
      </c>
      <c r="B1504">
        <v>5.5951633200000002</v>
      </c>
      <c r="C1504">
        <v>0.18695448000000001</v>
      </c>
      <c r="D1504">
        <v>5.7399491500000002</v>
      </c>
      <c r="E1504">
        <v>0.96797098999999998</v>
      </c>
      <c r="F1504">
        <v>3.2317568099999998</v>
      </c>
      <c r="G1504">
        <v>1.27638878</v>
      </c>
      <c r="H1504">
        <v>2.5846277600000001</v>
      </c>
      <c r="I1504">
        <v>9.8609400000000003E-3</v>
      </c>
      <c r="J1504">
        <v>1</v>
      </c>
      <c r="K1504">
        <v>950072</v>
      </c>
      <c r="L1504">
        <f t="shared" si="207"/>
        <v>1.2429833884615384E-2</v>
      </c>
      <c r="M1504">
        <f t="shared" si="208"/>
        <v>4.9091876153846154E-3</v>
      </c>
      <c r="N1504">
        <f t="shared" si="209"/>
        <v>9.9408759999999995E-3</v>
      </c>
      <c r="O1504">
        <f t="shared" si="210"/>
        <v>7.4250318076923075E-3</v>
      </c>
      <c r="P1504">
        <f t="shared" si="206"/>
        <v>10.579459422284403</v>
      </c>
      <c r="Q1504">
        <f t="shared" ref="Q1504" si="213">ABS(0.5*(SUMPRODUCT(O1504:O1522,P1505:P1523)+O1523*P1504-(SUMPRODUCT(O1505:O1523,P1504:P1522)+O1504*P1523)))</f>
        <v>5.2076609949236463E-3</v>
      </c>
      <c r="R1504">
        <f t="shared" si="211"/>
        <v>1.7981431725081147E-3</v>
      </c>
    </row>
    <row r="1505" spans="1:19" x14ac:dyDescent="0.2">
      <c r="A1505" t="s">
        <v>1516</v>
      </c>
      <c r="B1505">
        <v>5.6481094799999996</v>
      </c>
      <c r="C1505">
        <v>0.28201608</v>
      </c>
      <c r="D1505">
        <v>5.8008545399999996</v>
      </c>
      <c r="E1505">
        <v>0.84944392999999996</v>
      </c>
      <c r="F1505">
        <v>3.2254580100000001</v>
      </c>
      <c r="G1505">
        <v>1.2896370800000001</v>
      </c>
      <c r="H1505">
        <v>2.64184624</v>
      </c>
      <c r="I1505">
        <v>9.8609400000000003E-3</v>
      </c>
      <c r="J1505">
        <v>1</v>
      </c>
      <c r="K1505">
        <v>950072</v>
      </c>
      <c r="L1505">
        <f t="shared" si="207"/>
        <v>1.2405607730769231E-2</v>
      </c>
      <c r="M1505">
        <f t="shared" si="208"/>
        <v>4.9601426153846155E-3</v>
      </c>
      <c r="N1505">
        <f t="shared" si="209"/>
        <v>1.0160947076923077E-2</v>
      </c>
      <c r="O1505">
        <f t="shared" si="210"/>
        <v>7.5605448461538455E-3</v>
      </c>
      <c r="P1505">
        <f t="shared" si="206"/>
        <v>15.958845569208677</v>
      </c>
      <c r="R1505">
        <f t="shared" si="211"/>
        <v>2.9014113051055476E-3</v>
      </c>
    </row>
    <row r="1506" spans="1:19" x14ac:dyDescent="0.2">
      <c r="A1506" t="s">
        <v>1517</v>
      </c>
      <c r="B1506">
        <v>5.7091013799999999</v>
      </c>
      <c r="C1506">
        <v>0.39239316000000002</v>
      </c>
      <c r="D1506">
        <v>5.8679016500000003</v>
      </c>
      <c r="E1506">
        <v>0.67165333999999999</v>
      </c>
      <c r="F1506">
        <v>3.2254580100000001</v>
      </c>
      <c r="G1506">
        <v>1.30519534</v>
      </c>
      <c r="H1506">
        <v>2.7053543000000002</v>
      </c>
      <c r="I1506">
        <v>9.8609400000000003E-3</v>
      </c>
      <c r="J1506">
        <v>1</v>
      </c>
      <c r="K1506">
        <v>950072</v>
      </c>
      <c r="L1506">
        <f t="shared" si="207"/>
        <v>1.2405607730769231E-2</v>
      </c>
      <c r="M1506">
        <f t="shared" si="208"/>
        <v>5.0199820769230774E-3</v>
      </c>
      <c r="N1506">
        <f t="shared" si="209"/>
        <v>1.0405208846153848E-2</v>
      </c>
      <c r="O1506">
        <f t="shared" si="210"/>
        <v>7.7125954615384629E-3</v>
      </c>
      <c r="P1506">
        <f t="shared" si="206"/>
        <v>22.204910595359639</v>
      </c>
      <c r="R1506">
        <f t="shared" si="211"/>
        <v>3.8091053200439377E-3</v>
      </c>
    </row>
    <row r="1507" spans="1:19" x14ac:dyDescent="0.2">
      <c r="A1507" t="s">
        <v>1518</v>
      </c>
      <c r="B1507">
        <v>5.76931466</v>
      </c>
      <c r="C1507">
        <v>0.52587549</v>
      </c>
      <c r="D1507">
        <v>5.9369959999999997</v>
      </c>
      <c r="E1507">
        <v>0.47410824000000001</v>
      </c>
      <c r="F1507">
        <v>3.2312843999999998</v>
      </c>
      <c r="G1507">
        <v>1.31925892</v>
      </c>
      <c r="H1507">
        <v>2.7675265200000001</v>
      </c>
      <c r="I1507">
        <v>9.6783300000000006E-3</v>
      </c>
      <c r="J1507">
        <v>1</v>
      </c>
      <c r="K1507">
        <v>950072</v>
      </c>
      <c r="L1507">
        <f t="shared" si="207"/>
        <v>1.2428016923076922E-2</v>
      </c>
      <c r="M1507">
        <f t="shared" si="208"/>
        <v>5.0740727692307691E-3</v>
      </c>
      <c r="N1507">
        <f t="shared" si="209"/>
        <v>1.0644332769230769E-2</v>
      </c>
      <c r="O1507">
        <f t="shared" si="210"/>
        <v>7.8592027692307685E-3</v>
      </c>
      <c r="P1507">
        <f t="shared" si="206"/>
        <v>29.758465309999139</v>
      </c>
      <c r="R1507">
        <f t="shared" si="211"/>
        <v>4.4234979492791824E-3</v>
      </c>
    </row>
    <row r="1508" spans="1:19" x14ac:dyDescent="0.2">
      <c r="A1508" t="s">
        <v>1519</v>
      </c>
      <c r="B1508">
        <v>5.8271920799999997</v>
      </c>
      <c r="C1508">
        <v>0.70556832000000003</v>
      </c>
      <c r="D1508">
        <v>6.0025076799999999</v>
      </c>
      <c r="E1508">
        <v>0.41484471000000001</v>
      </c>
      <c r="F1508">
        <v>3.2452992300000001</v>
      </c>
      <c r="G1508">
        <v>1.3300613800000001</v>
      </c>
      <c r="H1508">
        <v>2.82274124</v>
      </c>
      <c r="I1508">
        <v>9.4957199999999992E-3</v>
      </c>
      <c r="J1508">
        <v>1</v>
      </c>
      <c r="K1508">
        <v>950072</v>
      </c>
      <c r="L1508">
        <f t="shared" si="207"/>
        <v>1.2481920115384616E-2</v>
      </c>
      <c r="M1508">
        <f t="shared" si="208"/>
        <v>5.1156206923076925E-3</v>
      </c>
      <c r="N1508">
        <f t="shared" si="209"/>
        <v>1.0856697076923078E-2</v>
      </c>
      <c r="O1508">
        <f t="shared" si="210"/>
        <v>7.9861588846153846E-3</v>
      </c>
      <c r="P1508">
        <f t="shared" si="206"/>
        <v>39.926999401615717</v>
      </c>
      <c r="R1508">
        <f t="shared" si="211"/>
        <v>2.815203088459001E-3</v>
      </c>
    </row>
    <row r="1509" spans="1:19" x14ac:dyDescent="0.2">
      <c r="A1509" t="s">
        <v>1520</v>
      </c>
      <c r="B1509">
        <v>5.8692375600000002</v>
      </c>
      <c r="C1509">
        <v>0.82558359000000003</v>
      </c>
      <c r="D1509">
        <v>6.0383343800000002</v>
      </c>
      <c r="E1509">
        <v>0.41484471000000001</v>
      </c>
      <c r="F1509">
        <v>3.2601014099999999</v>
      </c>
      <c r="G1509">
        <v>1.33563246</v>
      </c>
      <c r="H1509">
        <v>2.8509608599999998</v>
      </c>
      <c r="I1509">
        <v>9.1304999999999997E-3</v>
      </c>
      <c r="J1509">
        <v>1</v>
      </c>
      <c r="K1509">
        <v>950072</v>
      </c>
      <c r="L1509">
        <f t="shared" si="207"/>
        <v>1.2538851576923077E-2</v>
      </c>
      <c r="M1509">
        <f t="shared" si="208"/>
        <v>5.1370479230769235E-3</v>
      </c>
      <c r="N1509">
        <f t="shared" si="209"/>
        <v>1.0965234076923076E-2</v>
      </c>
      <c r="O1509">
        <f t="shared" si="210"/>
        <v>8.0511409999999995E-3</v>
      </c>
      <c r="P1509">
        <f t="shared" si="206"/>
        <v>46.718474412107611</v>
      </c>
      <c r="R1509">
        <f t="shared" si="211"/>
        <v>9.4694424014841701E-4</v>
      </c>
    </row>
    <row r="1510" spans="1:19" x14ac:dyDescent="0.2">
      <c r="A1510" t="s">
        <v>1521</v>
      </c>
      <c r="B1510">
        <v>5.8793596199999998</v>
      </c>
      <c r="C1510">
        <v>0.85383801000000004</v>
      </c>
      <c r="D1510">
        <v>6.04754696</v>
      </c>
      <c r="E1510">
        <v>0.41484471000000001</v>
      </c>
      <c r="F1510">
        <v>3.2745886500000001</v>
      </c>
      <c r="G1510">
        <v>1.3375347799999999</v>
      </c>
      <c r="H1510">
        <v>2.85942118</v>
      </c>
      <c r="I1510">
        <v>9.4957199999999992E-3</v>
      </c>
      <c r="J1510">
        <v>1</v>
      </c>
      <c r="K1510">
        <v>950072</v>
      </c>
      <c r="L1510">
        <f t="shared" si="207"/>
        <v>1.259457173076923E-2</v>
      </c>
      <c r="M1510">
        <f t="shared" si="208"/>
        <v>5.1443645384615377E-3</v>
      </c>
      <c r="N1510">
        <f t="shared" si="209"/>
        <v>1.099777376923077E-2</v>
      </c>
      <c r="O1510">
        <f t="shared" si="210"/>
        <v>8.0710691538461547E-3</v>
      </c>
      <c r="P1510">
        <f t="shared" si="206"/>
        <v>48.317347516887878</v>
      </c>
      <c r="R1510">
        <f t="shared" si="211"/>
        <v>3.3784232727614931E-4</v>
      </c>
    </row>
    <row r="1511" spans="1:19" x14ac:dyDescent="0.2">
      <c r="A1511" t="s">
        <v>1522</v>
      </c>
      <c r="B1511">
        <v>5.8832527199999998</v>
      </c>
      <c r="C1511">
        <v>0.85383801000000004</v>
      </c>
      <c r="D1511">
        <v>6.0526650599999998</v>
      </c>
      <c r="E1511">
        <v>0.41484471000000001</v>
      </c>
      <c r="F1511">
        <v>3.2928551700000002</v>
      </c>
      <c r="G1511">
        <v>1.3379424200000001</v>
      </c>
      <c r="H1511">
        <v>2.8626494600000001</v>
      </c>
      <c r="I1511">
        <v>9.4957199999999992E-3</v>
      </c>
      <c r="J1511">
        <v>1</v>
      </c>
      <c r="K1511">
        <v>950072</v>
      </c>
      <c r="L1511">
        <f t="shared" si="207"/>
        <v>1.2664827576923077E-2</v>
      </c>
      <c r="M1511">
        <f t="shared" si="208"/>
        <v>5.1459323846153853E-3</v>
      </c>
      <c r="N1511">
        <f t="shared" si="209"/>
        <v>1.1010190230769231E-2</v>
      </c>
      <c r="O1511">
        <f t="shared" si="210"/>
        <v>8.0780613076923084E-3</v>
      </c>
      <c r="P1511">
        <f t="shared" si="206"/>
        <v>48.317347516887878</v>
      </c>
      <c r="R1511">
        <f t="shared" si="211"/>
        <v>-1.3350926967011135E-4</v>
      </c>
    </row>
    <row r="1512" spans="1:19" x14ac:dyDescent="0.2">
      <c r="A1512" t="s">
        <v>1523</v>
      </c>
      <c r="B1512">
        <v>5.8809168600000001</v>
      </c>
      <c r="C1512">
        <v>0.81990629999999998</v>
      </c>
      <c r="D1512">
        <v>6.04754696</v>
      </c>
      <c r="E1512">
        <v>0.41484471000000001</v>
      </c>
      <c r="F1512">
        <v>3.30624012</v>
      </c>
      <c r="G1512">
        <v>1.3381462399999999</v>
      </c>
      <c r="H1512">
        <v>2.8609796599999999</v>
      </c>
      <c r="I1512">
        <v>9.6783300000000006E-3</v>
      </c>
      <c r="J1512">
        <v>1</v>
      </c>
      <c r="K1512">
        <v>950072</v>
      </c>
      <c r="L1512">
        <f t="shared" si="207"/>
        <v>1.2716308153846154E-2</v>
      </c>
      <c r="M1512">
        <f t="shared" si="208"/>
        <v>5.1467163076923074E-3</v>
      </c>
      <c r="N1512">
        <f t="shared" si="209"/>
        <v>1.1003767923076923E-2</v>
      </c>
      <c r="O1512">
        <f t="shared" si="210"/>
        <v>8.0752421153846166E-3</v>
      </c>
      <c r="P1512">
        <f t="shared" si="206"/>
        <v>46.397205517221856</v>
      </c>
      <c r="R1512">
        <f t="shared" si="211"/>
        <v>-1.0054045060223975E-3</v>
      </c>
    </row>
    <row r="1513" spans="1:19" x14ac:dyDescent="0.2">
      <c r="A1513" t="s">
        <v>1524</v>
      </c>
      <c r="B1513">
        <v>5.8619704400000003</v>
      </c>
      <c r="C1513">
        <v>0.70992531000000003</v>
      </c>
      <c r="D1513">
        <v>6.0367989499999997</v>
      </c>
      <c r="E1513">
        <v>0.41484471000000001</v>
      </c>
      <c r="F1513">
        <v>3.31537338</v>
      </c>
      <c r="G1513">
        <v>1.3381462399999999</v>
      </c>
      <c r="H1513">
        <v>2.8489014400000001</v>
      </c>
      <c r="I1513">
        <v>9.6783300000000006E-3</v>
      </c>
      <c r="J1513">
        <v>1</v>
      </c>
      <c r="K1513">
        <v>950072</v>
      </c>
      <c r="L1513">
        <f t="shared" si="207"/>
        <v>1.2751436076923077E-2</v>
      </c>
      <c r="M1513">
        <f t="shared" si="208"/>
        <v>5.1467163076923074E-3</v>
      </c>
      <c r="N1513">
        <f t="shared" si="209"/>
        <v>1.0957313230769232E-2</v>
      </c>
      <c r="O1513">
        <f t="shared" si="210"/>
        <v>8.0520147692307691E-3</v>
      </c>
      <c r="P1513">
        <f t="shared" si="206"/>
        <v>40.173554600016409</v>
      </c>
      <c r="R1513">
        <f t="shared" si="211"/>
        <v>-1.0515145875223018E-3</v>
      </c>
    </row>
    <row r="1514" spans="1:19" x14ac:dyDescent="0.2">
      <c r="A1514" t="s">
        <v>1525</v>
      </c>
      <c r="B1514">
        <v>5.8469171199999996</v>
      </c>
      <c r="C1514">
        <v>0.61525980000000002</v>
      </c>
      <c r="D1514">
        <v>6.0178619800000002</v>
      </c>
      <c r="E1514">
        <v>0.41484471000000001</v>
      </c>
      <c r="F1514">
        <v>3.32592387</v>
      </c>
      <c r="G1514">
        <v>1.3381462399999999</v>
      </c>
      <c r="H1514">
        <v>2.8343185200000001</v>
      </c>
      <c r="I1514">
        <v>9.6783300000000006E-3</v>
      </c>
      <c r="J1514">
        <v>1</v>
      </c>
      <c r="K1514">
        <v>950072</v>
      </c>
      <c r="L1514">
        <f t="shared" si="207"/>
        <v>1.2792014884615385E-2</v>
      </c>
      <c r="M1514">
        <f t="shared" si="208"/>
        <v>5.1467163076923074E-3</v>
      </c>
      <c r="N1514">
        <f t="shared" si="209"/>
        <v>1.0901225076923078E-2</v>
      </c>
      <c r="O1514">
        <f t="shared" si="210"/>
        <v>8.0239706923076939E-3</v>
      </c>
      <c r="P1514">
        <f t="shared" si="206"/>
        <v>34.816582562037659</v>
      </c>
      <c r="R1514">
        <f t="shared" si="211"/>
        <v>-1.4191400557436724E-3</v>
      </c>
      <c r="S1514">
        <f>ABS(SUMIFS($R:$R,$K:$K,K1514))</f>
        <v>5.1918844214634725E-3</v>
      </c>
    </row>
    <row r="1515" spans="1:19" x14ac:dyDescent="0.2">
      <c r="A1515" t="s">
        <v>1526</v>
      </c>
      <c r="B1515">
        <v>5.8256348400000002</v>
      </c>
      <c r="C1515">
        <v>0.51940602000000002</v>
      </c>
      <c r="D1515">
        <v>5.9932951000000001</v>
      </c>
      <c r="E1515">
        <v>0.41484471000000001</v>
      </c>
      <c r="F1515">
        <v>3.3336399000000001</v>
      </c>
      <c r="G1515">
        <v>1.3369233199999999</v>
      </c>
      <c r="H1515">
        <v>2.81255546</v>
      </c>
      <c r="I1515">
        <v>9.8609400000000003E-3</v>
      </c>
      <c r="J1515">
        <v>1</v>
      </c>
      <c r="K1515">
        <v>950072</v>
      </c>
      <c r="L1515">
        <f t="shared" si="207"/>
        <v>1.2821691923076924E-2</v>
      </c>
      <c r="M1515">
        <f t="shared" si="208"/>
        <v>5.142012769230769E-3</v>
      </c>
      <c r="N1515">
        <f t="shared" si="209"/>
        <v>1.0817521E-2</v>
      </c>
      <c r="O1515">
        <f t="shared" si="210"/>
        <v>7.9797668846153837E-3</v>
      </c>
      <c r="P1515">
        <f t="shared" si="206"/>
        <v>29.39236819722235</v>
      </c>
      <c r="R1515">
        <f t="shared" si="211"/>
        <v>-2.0242767554135006E-3</v>
      </c>
    </row>
    <row r="1516" spans="1:19" x14ac:dyDescent="0.2">
      <c r="A1516" t="s">
        <v>1527</v>
      </c>
      <c r="B1516">
        <v>5.7905969400000004</v>
      </c>
      <c r="C1516">
        <v>0.41787495000000002</v>
      </c>
      <c r="D1516">
        <v>5.9508148700000003</v>
      </c>
      <c r="E1516">
        <v>0.41484471000000001</v>
      </c>
      <c r="F1516">
        <v>3.3380490599999999</v>
      </c>
      <c r="G1516">
        <v>1.33257516</v>
      </c>
      <c r="H1516">
        <v>2.7772113599999999</v>
      </c>
      <c r="I1516">
        <v>9.8609400000000003E-3</v>
      </c>
      <c r="J1516">
        <v>1</v>
      </c>
      <c r="K1516">
        <v>950072</v>
      </c>
      <c r="L1516">
        <f t="shared" si="207"/>
        <v>1.283865023076923E-2</v>
      </c>
      <c r="M1516">
        <f t="shared" si="208"/>
        <v>5.1252890769230772E-3</v>
      </c>
      <c r="N1516">
        <f t="shared" si="209"/>
        <v>1.0681582153846153E-2</v>
      </c>
      <c r="O1516">
        <f t="shared" si="210"/>
        <v>7.9034356153846151E-3</v>
      </c>
      <c r="P1516">
        <f t="shared" si="206"/>
        <v>23.646884937521286</v>
      </c>
      <c r="R1516">
        <f t="shared" si="211"/>
        <v>-2.1867639654583383E-3</v>
      </c>
    </row>
    <row r="1517" spans="1:19" x14ac:dyDescent="0.2">
      <c r="A1517" t="s">
        <v>1528</v>
      </c>
      <c r="B1517">
        <v>5.74543698</v>
      </c>
      <c r="C1517">
        <v>0.32400161999999999</v>
      </c>
      <c r="D1517">
        <v>5.9011693000000003</v>
      </c>
      <c r="E1517">
        <v>0.41484471000000001</v>
      </c>
      <c r="F1517">
        <v>3.3336399000000001</v>
      </c>
      <c r="G1517">
        <v>1.3251017599999999</v>
      </c>
      <c r="H1517">
        <v>2.7305126199999998</v>
      </c>
      <c r="I1517">
        <v>1.004355E-2</v>
      </c>
      <c r="J1517">
        <v>1</v>
      </c>
      <c r="K1517">
        <v>950072</v>
      </c>
      <c r="L1517">
        <f t="shared" si="207"/>
        <v>1.2821691923076924E-2</v>
      </c>
      <c r="M1517">
        <f t="shared" si="208"/>
        <v>5.0965452307692302E-3</v>
      </c>
      <c r="N1517">
        <f t="shared" si="209"/>
        <v>1.0501971615384615E-2</v>
      </c>
      <c r="O1517">
        <f t="shared" si="210"/>
        <v>7.7992584230769223E-3</v>
      </c>
      <c r="P1517">
        <f t="shared" si="206"/>
        <v>18.334741117433563</v>
      </c>
      <c r="R1517">
        <f t="shared" si="211"/>
        <v>-1.9946123218882996E-3</v>
      </c>
    </row>
    <row r="1518" spans="1:19" x14ac:dyDescent="0.2">
      <c r="A1518" t="s">
        <v>1529</v>
      </c>
      <c r="B1518">
        <v>5.6987197800000002</v>
      </c>
      <c r="C1518">
        <v>0.24016256999999999</v>
      </c>
      <c r="D1518">
        <v>5.8464056299999996</v>
      </c>
      <c r="E1518">
        <v>0.41484471000000001</v>
      </c>
      <c r="F1518">
        <v>3.3293882099999998</v>
      </c>
      <c r="G1518">
        <v>1.3132801999999999</v>
      </c>
      <c r="H1518">
        <v>2.67735732</v>
      </c>
      <c r="I1518">
        <v>9.8609400000000003E-3</v>
      </c>
      <c r="J1518">
        <v>1</v>
      </c>
      <c r="K1518">
        <v>950072</v>
      </c>
      <c r="L1518">
        <f t="shared" si="207"/>
        <v>1.2805339269230769E-2</v>
      </c>
      <c r="M1518">
        <f t="shared" si="208"/>
        <v>5.0510776923076922E-3</v>
      </c>
      <c r="N1518">
        <f t="shared" si="209"/>
        <v>1.0297528153846155E-2</v>
      </c>
      <c r="O1518">
        <f t="shared" si="210"/>
        <v>7.6743029230769231E-3</v>
      </c>
      <c r="P1518">
        <f t="shared" si="206"/>
        <v>13.590421390632295</v>
      </c>
      <c r="R1518">
        <f t="shared" si="211"/>
        <v>-1.5102535910809633E-3</v>
      </c>
    </row>
    <row r="1519" spans="1:19" x14ac:dyDescent="0.2">
      <c r="A1519" t="s">
        <v>1530</v>
      </c>
      <c r="B1519">
        <v>5.6457736199999999</v>
      </c>
      <c r="C1519">
        <v>0.16398125999999999</v>
      </c>
      <c r="D1519">
        <v>5.7855002400000002</v>
      </c>
      <c r="E1519">
        <v>0.47410824000000001</v>
      </c>
      <c r="F1519">
        <v>3.3191526599999999</v>
      </c>
      <c r="G1519">
        <v>1.2991486800000001</v>
      </c>
      <c r="H1519">
        <v>2.6228105199999998</v>
      </c>
      <c r="I1519">
        <v>9.8609400000000003E-3</v>
      </c>
      <c r="J1519">
        <v>1</v>
      </c>
      <c r="K1519">
        <v>950072</v>
      </c>
      <c r="L1519">
        <f t="shared" si="207"/>
        <v>1.2765971769230769E-2</v>
      </c>
      <c r="M1519">
        <f t="shared" si="208"/>
        <v>4.9967256923076925E-3</v>
      </c>
      <c r="N1519">
        <f t="shared" si="209"/>
        <v>1.0087732769230768E-2</v>
      </c>
      <c r="O1519">
        <f t="shared" si="210"/>
        <v>7.5422292307692302E-3</v>
      </c>
      <c r="P1519">
        <f t="shared" si="206"/>
        <v>9.2794411034443698</v>
      </c>
      <c r="R1519">
        <f t="shared" si="211"/>
        <v>-9.9009189642718662E-4</v>
      </c>
    </row>
    <row r="1520" spans="1:19" x14ac:dyDescent="0.2">
      <c r="A1520" t="s">
        <v>1531</v>
      </c>
      <c r="B1520">
        <v>5.5943847</v>
      </c>
      <c r="C1520">
        <v>9.9550620000000006E-2</v>
      </c>
      <c r="D1520">
        <v>5.7276657100000001</v>
      </c>
      <c r="E1520">
        <v>0.73091687000000005</v>
      </c>
      <c r="F1520">
        <v>3.2999413199999998</v>
      </c>
      <c r="G1520">
        <v>1.2835904199999999</v>
      </c>
      <c r="H1520">
        <v>2.5693212600000002</v>
      </c>
      <c r="I1520">
        <v>9.8609400000000003E-3</v>
      </c>
      <c r="J1520">
        <v>1</v>
      </c>
      <c r="K1520">
        <v>950072</v>
      </c>
      <c r="L1520">
        <f t="shared" si="207"/>
        <v>1.2692081999999999E-2</v>
      </c>
      <c r="M1520">
        <f t="shared" si="208"/>
        <v>4.9368862307692307E-3</v>
      </c>
      <c r="N1520">
        <f t="shared" si="209"/>
        <v>9.8820048461538464E-3</v>
      </c>
      <c r="O1520">
        <f t="shared" si="210"/>
        <v>7.409445538461539E-3</v>
      </c>
      <c r="P1520">
        <f t="shared" si="206"/>
        <v>5.633412714973475</v>
      </c>
      <c r="R1520">
        <f t="shared" si="211"/>
        <v>-4.0537855451849343E-4</v>
      </c>
    </row>
    <row r="1521" spans="1:19" x14ac:dyDescent="0.2">
      <c r="A1521" t="s">
        <v>1532</v>
      </c>
      <c r="B1521">
        <v>5.5523392200000004</v>
      </c>
      <c r="C1521">
        <v>5.2811999999999998E-2</v>
      </c>
      <c r="D1521">
        <v>5.6903035800000001</v>
      </c>
      <c r="E1521">
        <v>1.0864980500000001</v>
      </c>
      <c r="F1521">
        <v>3.2816747999999998</v>
      </c>
      <c r="G1521">
        <v>1.2720406200000001</v>
      </c>
      <c r="H1521">
        <v>2.5319734</v>
      </c>
      <c r="I1521">
        <v>9.8609400000000003E-3</v>
      </c>
      <c r="J1521">
        <v>1</v>
      </c>
      <c r="K1521">
        <v>950072</v>
      </c>
      <c r="L1521">
        <f t="shared" si="207"/>
        <v>1.2621826153846154E-2</v>
      </c>
      <c r="M1521">
        <f t="shared" si="208"/>
        <v>4.8924639230769236E-3</v>
      </c>
      <c r="N1521">
        <f t="shared" si="209"/>
        <v>9.7383592307692304E-3</v>
      </c>
      <c r="O1521">
        <f t="shared" si="210"/>
        <v>7.3154115769230778E-3</v>
      </c>
      <c r="P1521">
        <f t="shared" si="206"/>
        <v>2.9885478594023738</v>
      </c>
      <c r="R1521">
        <f t="shared" si="211"/>
        <v>-7.3497337391057059E-5</v>
      </c>
    </row>
    <row r="1522" spans="1:19" x14ac:dyDescent="0.2">
      <c r="A1522" t="s">
        <v>1533</v>
      </c>
      <c r="B1522">
        <v>5.5411789999999996</v>
      </c>
      <c r="C1522">
        <v>5.0831550000000003E-2</v>
      </c>
      <c r="D1522">
        <v>5.6805791899999996</v>
      </c>
      <c r="E1522">
        <v>1.20502511</v>
      </c>
      <c r="F1522">
        <v>3.2649829800000001</v>
      </c>
      <c r="G1522">
        <v>1.2689153799999999</v>
      </c>
      <c r="H1522">
        <v>2.5220659200000002</v>
      </c>
      <c r="I1522">
        <v>9.8609400000000003E-3</v>
      </c>
      <c r="J1522">
        <v>1</v>
      </c>
      <c r="K1522">
        <v>950072</v>
      </c>
      <c r="L1522">
        <f t="shared" si="207"/>
        <v>1.2557626846153847E-2</v>
      </c>
      <c r="M1522">
        <f t="shared" si="208"/>
        <v>4.8804437692307693E-3</v>
      </c>
      <c r="N1522">
        <f t="shared" si="209"/>
        <v>9.7002535384615399E-3</v>
      </c>
      <c r="O1522">
        <f t="shared" si="210"/>
        <v>7.2903486538461546E-3</v>
      </c>
      <c r="P1522">
        <f t="shared" si="206"/>
        <v>2.8764773146747848</v>
      </c>
      <c r="R1522">
        <f t="shared" si="211"/>
        <v>1.7534216087061294E-4</v>
      </c>
    </row>
    <row r="1523" spans="1:19" x14ac:dyDescent="0.2">
      <c r="A1523" t="s">
        <v>1534</v>
      </c>
      <c r="B1523">
        <v>5.5570109399999996</v>
      </c>
      <c r="C1523">
        <v>0.10720836</v>
      </c>
      <c r="D1523">
        <v>5.6995161599999999</v>
      </c>
      <c r="E1523">
        <v>1.20502511</v>
      </c>
      <c r="F1523">
        <v>3.2446693500000001</v>
      </c>
      <c r="G1523">
        <v>1.2687115600000001</v>
      </c>
      <c r="H1523">
        <v>2.5426601199999999</v>
      </c>
      <c r="I1523">
        <v>9.8609400000000003E-3</v>
      </c>
      <c r="J1523">
        <v>1</v>
      </c>
      <c r="K1523">
        <v>950072</v>
      </c>
      <c r="L1523">
        <f t="shared" si="207"/>
        <v>1.2479497500000001E-2</v>
      </c>
      <c r="M1523">
        <f t="shared" si="208"/>
        <v>4.8796598461538464E-3</v>
      </c>
      <c r="N1523">
        <f t="shared" si="209"/>
        <v>9.7794619999999992E-3</v>
      </c>
      <c r="O1523">
        <f t="shared" si="210"/>
        <v>7.3295609230769228E-3</v>
      </c>
      <c r="P1523">
        <f t="shared" si="206"/>
        <v>6.066752154586819</v>
      </c>
      <c r="R1523">
        <f t="shared" si="211"/>
        <v>7.7883769890883835E-4</v>
      </c>
    </row>
    <row r="1524" spans="1:19" x14ac:dyDescent="0.2">
      <c r="A1524" t="s">
        <v>1535</v>
      </c>
      <c r="B1524">
        <v>5.5936060799999998</v>
      </c>
      <c r="C1524">
        <v>0.18655838999999999</v>
      </c>
      <c r="D1524">
        <v>5.7445554400000001</v>
      </c>
      <c r="E1524">
        <v>1.0864980500000001</v>
      </c>
      <c r="F1524">
        <v>3.2303395799999999</v>
      </c>
      <c r="G1524">
        <v>1.27530174</v>
      </c>
      <c r="H1524">
        <v>2.58479474</v>
      </c>
      <c r="I1524">
        <v>9.6783300000000006E-3</v>
      </c>
      <c r="J1524">
        <v>1</v>
      </c>
      <c r="K1524">
        <v>950073</v>
      </c>
      <c r="L1524">
        <f t="shared" si="207"/>
        <v>1.2424382999999999E-2</v>
      </c>
      <c r="M1524">
        <f t="shared" si="208"/>
        <v>4.905006692307692E-3</v>
      </c>
      <c r="N1524">
        <f t="shared" si="209"/>
        <v>9.94151823076923E-3</v>
      </c>
      <c r="O1524">
        <f t="shared" si="210"/>
        <v>7.4232624615384619E-3</v>
      </c>
      <c r="P1524">
        <f t="shared" si="206"/>
        <v>10.557045313338886</v>
      </c>
      <c r="Q1524">
        <f t="shared" ref="Q1524" si="214">ABS(0.5*(SUMPRODUCT(O1524:O1542,P1525:P1543)+O1543*P1524-(SUMPRODUCT(O1525:O1543,P1524:P1542)+O1524*P1543)))</f>
        <v>5.1580545210521134E-3</v>
      </c>
      <c r="R1524">
        <f t="shared" si="211"/>
        <v>1.8237563023938024E-3</v>
      </c>
    </row>
    <row r="1525" spans="1:19" x14ac:dyDescent="0.2">
      <c r="A1525" t="s">
        <v>1536</v>
      </c>
      <c r="B1525">
        <v>5.6488880999999997</v>
      </c>
      <c r="C1525">
        <v>0.28320434999999999</v>
      </c>
      <c r="D1525">
        <v>5.8039253999999998</v>
      </c>
      <c r="E1525">
        <v>0.90870746000000002</v>
      </c>
      <c r="F1525">
        <v>3.22703271</v>
      </c>
      <c r="G1525">
        <v>1.28943326</v>
      </c>
      <c r="H1525">
        <v>2.6420132199999999</v>
      </c>
      <c r="I1525">
        <v>9.6783300000000006E-3</v>
      </c>
      <c r="J1525">
        <v>1</v>
      </c>
      <c r="K1525">
        <v>950073</v>
      </c>
      <c r="L1525">
        <f t="shared" si="207"/>
        <v>1.2411664269230769E-2</v>
      </c>
      <c r="M1525">
        <f t="shared" si="208"/>
        <v>4.9593586923076926E-3</v>
      </c>
      <c r="N1525">
        <f t="shared" si="209"/>
        <v>1.0161589307692308E-2</v>
      </c>
      <c r="O1525">
        <f t="shared" si="210"/>
        <v>7.5604740000000002E-3</v>
      </c>
      <c r="P1525">
        <f t="shared" si="206"/>
        <v>16.02608789604523</v>
      </c>
      <c r="R1525">
        <f t="shared" si="211"/>
        <v>2.910599099658925E-3</v>
      </c>
    </row>
    <row r="1526" spans="1:19" x14ac:dyDescent="0.2">
      <c r="A1526" t="s">
        <v>1537</v>
      </c>
      <c r="B1526">
        <v>5.7091013799999999</v>
      </c>
      <c r="C1526">
        <v>0.39160097999999999</v>
      </c>
      <c r="D1526">
        <v>5.8714843200000004</v>
      </c>
      <c r="E1526">
        <v>0.67165333999999999</v>
      </c>
      <c r="F1526">
        <v>3.2259304200000001</v>
      </c>
      <c r="G1526">
        <v>1.30519534</v>
      </c>
      <c r="H1526">
        <v>2.7055212800000001</v>
      </c>
      <c r="I1526">
        <v>9.6783300000000006E-3</v>
      </c>
      <c r="J1526">
        <v>1</v>
      </c>
      <c r="K1526">
        <v>950073</v>
      </c>
      <c r="L1526">
        <f t="shared" si="207"/>
        <v>1.2407424692307692E-2</v>
      </c>
      <c r="M1526">
        <f t="shared" si="208"/>
        <v>5.0199820769230774E-3</v>
      </c>
      <c r="N1526">
        <f t="shared" si="209"/>
        <v>1.0405851076923078E-2</v>
      </c>
      <c r="O1526">
        <f t="shared" si="210"/>
        <v>7.7129165769230772E-3</v>
      </c>
      <c r="P1526">
        <f t="shared" si="206"/>
        <v>22.160082377468601</v>
      </c>
      <c r="R1526">
        <f t="shared" si="211"/>
        <v>3.8326661291995935E-3</v>
      </c>
    </row>
    <row r="1527" spans="1:19" x14ac:dyDescent="0.2">
      <c r="A1527" t="s">
        <v>1538</v>
      </c>
      <c r="B1527">
        <v>5.7700932800000002</v>
      </c>
      <c r="C1527">
        <v>0.52587549</v>
      </c>
      <c r="D1527">
        <v>5.9446731499999999</v>
      </c>
      <c r="E1527">
        <v>0.67165333999999999</v>
      </c>
      <c r="F1527">
        <v>3.2298671699999999</v>
      </c>
      <c r="G1527">
        <v>1.3194627400000001</v>
      </c>
      <c r="H1527">
        <v>2.7680274599999999</v>
      </c>
      <c r="I1527">
        <v>9.6783300000000006E-3</v>
      </c>
      <c r="J1527">
        <v>1</v>
      </c>
      <c r="K1527">
        <v>950073</v>
      </c>
      <c r="L1527">
        <f t="shared" si="207"/>
        <v>1.2422566038461537E-2</v>
      </c>
      <c r="M1527">
        <f t="shared" si="208"/>
        <v>5.0748566923076929E-3</v>
      </c>
      <c r="N1527">
        <f t="shared" si="209"/>
        <v>1.0646259461538462E-2</v>
      </c>
      <c r="O1527">
        <f t="shared" si="210"/>
        <v>7.8605580769230757E-3</v>
      </c>
      <c r="P1527">
        <f t="shared" si="206"/>
        <v>29.758465309999139</v>
      </c>
      <c r="R1527">
        <f t="shared" si="211"/>
        <v>4.4165670279071451E-3</v>
      </c>
    </row>
    <row r="1528" spans="1:19" x14ac:dyDescent="0.2">
      <c r="A1528" t="s">
        <v>1539</v>
      </c>
      <c r="B1528">
        <v>5.8334210400000002</v>
      </c>
      <c r="C1528">
        <v>0.70675659000000002</v>
      </c>
      <c r="D1528">
        <v>6.0055785400000001</v>
      </c>
      <c r="E1528">
        <v>0.53337177000000002</v>
      </c>
      <c r="F1528">
        <v>3.2432521200000002</v>
      </c>
      <c r="G1528">
        <v>1.3302651999999999</v>
      </c>
      <c r="H1528">
        <v>2.8230751999999999</v>
      </c>
      <c r="I1528">
        <v>9.6783300000000006E-3</v>
      </c>
      <c r="J1528">
        <v>1</v>
      </c>
      <c r="K1528">
        <v>950073</v>
      </c>
      <c r="L1528">
        <f t="shared" si="207"/>
        <v>1.2474046615384616E-2</v>
      </c>
      <c r="M1528">
        <f t="shared" si="208"/>
        <v>5.1164046153846154E-3</v>
      </c>
      <c r="N1528">
        <f t="shared" si="209"/>
        <v>1.0857981538461538E-2</v>
      </c>
      <c r="O1528">
        <f t="shared" si="210"/>
        <v>7.9871930769230756E-3</v>
      </c>
      <c r="P1528">
        <f t="shared" si="206"/>
        <v>39.994241728452266</v>
      </c>
      <c r="R1528">
        <f t="shared" si="211"/>
        <v>2.8159313465659463E-3</v>
      </c>
    </row>
    <row r="1529" spans="1:19" x14ac:dyDescent="0.2">
      <c r="A1529" t="s">
        <v>1540</v>
      </c>
      <c r="B1529">
        <v>5.8707947999999996</v>
      </c>
      <c r="C1529">
        <v>0.82479141</v>
      </c>
      <c r="D1529">
        <v>6.0429406700000001</v>
      </c>
      <c r="E1529">
        <v>0.53337177000000002</v>
      </c>
      <c r="F1529">
        <v>3.2624634600000002</v>
      </c>
      <c r="G1529">
        <v>1.3358362800000001</v>
      </c>
      <c r="H1529">
        <v>2.8512948200000001</v>
      </c>
      <c r="I1529">
        <v>9.6783300000000006E-3</v>
      </c>
      <c r="J1529">
        <v>1</v>
      </c>
      <c r="K1529">
        <v>950073</v>
      </c>
      <c r="L1529">
        <f t="shared" si="207"/>
        <v>1.2547936384615386E-2</v>
      </c>
      <c r="M1529">
        <f t="shared" si="208"/>
        <v>5.1378318461538465E-3</v>
      </c>
      <c r="N1529">
        <f t="shared" si="209"/>
        <v>1.0966518538461539E-2</v>
      </c>
      <c r="O1529">
        <f t="shared" si="210"/>
        <v>8.0521751923076923E-3</v>
      </c>
      <c r="P1529">
        <f t="shared" si="206"/>
        <v>46.673646194216573</v>
      </c>
      <c r="R1529">
        <f t="shared" si="211"/>
        <v>8.8101643930634194E-4</v>
      </c>
    </row>
    <row r="1530" spans="1:19" x14ac:dyDescent="0.2">
      <c r="A1530" t="s">
        <v>1541</v>
      </c>
      <c r="B1530">
        <v>5.88013824</v>
      </c>
      <c r="C1530">
        <v>0.85172552999999995</v>
      </c>
      <c r="D1530">
        <v>6.0511296300000001</v>
      </c>
      <c r="E1530">
        <v>0.47410824000000001</v>
      </c>
      <c r="F1530">
        <v>3.2745886500000001</v>
      </c>
      <c r="G1530">
        <v>1.3375347799999999</v>
      </c>
      <c r="H1530">
        <v>2.8592542000000001</v>
      </c>
      <c r="I1530">
        <v>9.4957199999999992E-3</v>
      </c>
      <c r="J1530">
        <v>1</v>
      </c>
      <c r="K1530">
        <v>950073</v>
      </c>
      <c r="L1530">
        <f t="shared" si="207"/>
        <v>1.259457173076923E-2</v>
      </c>
      <c r="M1530">
        <f t="shared" si="208"/>
        <v>5.1443645384615377E-3</v>
      </c>
      <c r="N1530">
        <f t="shared" si="209"/>
        <v>1.099713153846154E-2</v>
      </c>
      <c r="O1530">
        <f t="shared" si="210"/>
        <v>8.0707480384615386E-3</v>
      </c>
      <c r="P1530">
        <f t="shared" si="206"/>
        <v>48.197805602511785</v>
      </c>
      <c r="R1530">
        <f t="shared" si="211"/>
        <v>2.5646471088259376E-4</v>
      </c>
    </row>
    <row r="1531" spans="1:19" x14ac:dyDescent="0.2">
      <c r="A1531" t="s">
        <v>1542</v>
      </c>
      <c r="B1531">
        <v>5.88429088</v>
      </c>
      <c r="C1531">
        <v>0.85344191999999997</v>
      </c>
      <c r="D1531">
        <v>6.0526650599999998</v>
      </c>
      <c r="E1531">
        <v>0.47410824000000001</v>
      </c>
      <c r="F1531">
        <v>3.2898632399999999</v>
      </c>
      <c r="G1531">
        <v>1.3377386</v>
      </c>
      <c r="H1531">
        <v>2.86181456</v>
      </c>
      <c r="I1531">
        <v>9.6783300000000006E-3</v>
      </c>
      <c r="J1531">
        <v>1</v>
      </c>
      <c r="K1531">
        <v>950073</v>
      </c>
      <c r="L1531">
        <f t="shared" si="207"/>
        <v>1.2653320153846154E-2</v>
      </c>
      <c r="M1531">
        <f t="shared" si="208"/>
        <v>5.1451484615384615E-3</v>
      </c>
      <c r="N1531">
        <f t="shared" si="209"/>
        <v>1.1006979076923077E-2</v>
      </c>
      <c r="O1531">
        <f t="shared" si="210"/>
        <v>8.076063769230769E-3</v>
      </c>
      <c r="P1531">
        <f t="shared" si="206"/>
        <v>48.294933407942359</v>
      </c>
      <c r="R1531">
        <f t="shared" si="211"/>
        <v>-3.0467081904450183E-5</v>
      </c>
    </row>
    <row r="1532" spans="1:19" x14ac:dyDescent="0.2">
      <c r="A1532" t="s">
        <v>1543</v>
      </c>
      <c r="B1532">
        <v>5.8809168600000001</v>
      </c>
      <c r="C1532">
        <v>0.82320705000000005</v>
      </c>
      <c r="D1532">
        <v>6.0511296300000001</v>
      </c>
      <c r="E1532">
        <v>0.47410824000000001</v>
      </c>
      <c r="F1532">
        <v>3.30718494</v>
      </c>
      <c r="G1532">
        <v>1.3377386</v>
      </c>
      <c r="H1532">
        <v>2.8614806000000002</v>
      </c>
      <c r="I1532">
        <v>9.4957199999999992E-3</v>
      </c>
      <c r="J1532">
        <v>1</v>
      </c>
      <c r="K1532">
        <v>950073</v>
      </c>
      <c r="L1532">
        <f t="shared" si="207"/>
        <v>1.2719942076923077E-2</v>
      </c>
      <c r="M1532">
        <f t="shared" si="208"/>
        <v>5.1451484615384615E-3</v>
      </c>
      <c r="N1532">
        <f t="shared" si="209"/>
        <v>1.1005694615384616E-2</v>
      </c>
      <c r="O1532">
        <f t="shared" si="210"/>
        <v>8.0754215384615385E-3</v>
      </c>
      <c r="P1532">
        <f t="shared" si="206"/>
        <v>46.583989758434505</v>
      </c>
      <c r="R1532">
        <f t="shared" si="211"/>
        <v>-1.0225589838130382E-3</v>
      </c>
    </row>
    <row r="1533" spans="1:19" x14ac:dyDescent="0.2">
      <c r="A1533" t="s">
        <v>1544</v>
      </c>
      <c r="B1533">
        <v>5.8666421599999996</v>
      </c>
      <c r="C1533">
        <v>0.71150966999999998</v>
      </c>
      <c r="D1533">
        <v>6.0367989499999997</v>
      </c>
      <c r="E1533">
        <v>0.41484471000000001</v>
      </c>
      <c r="F1533">
        <v>3.3191526599999999</v>
      </c>
      <c r="G1533">
        <v>1.3377386</v>
      </c>
      <c r="H1533">
        <v>2.8492354</v>
      </c>
      <c r="I1533">
        <v>9.4957199999999992E-3</v>
      </c>
      <c r="J1533">
        <v>1</v>
      </c>
      <c r="K1533">
        <v>950073</v>
      </c>
      <c r="L1533">
        <f t="shared" si="207"/>
        <v>1.2765971769230769E-2</v>
      </c>
      <c r="M1533">
        <f t="shared" si="208"/>
        <v>5.1451484615384615E-3</v>
      </c>
      <c r="N1533">
        <f t="shared" si="209"/>
        <v>1.0958597692307693E-2</v>
      </c>
      <c r="O1533">
        <f t="shared" si="210"/>
        <v>8.0518730769230766E-3</v>
      </c>
      <c r="P1533">
        <f t="shared" si="206"/>
        <v>40.263211035798484</v>
      </c>
      <c r="R1533">
        <f t="shared" si="211"/>
        <v>-1.1606433132099292E-3</v>
      </c>
    </row>
    <row r="1534" spans="1:19" x14ac:dyDescent="0.2">
      <c r="A1534" t="s">
        <v>1545</v>
      </c>
      <c r="B1534">
        <v>5.8469171199999996</v>
      </c>
      <c r="C1534">
        <v>0.60997860000000004</v>
      </c>
      <c r="D1534">
        <v>6.0163265499999996</v>
      </c>
      <c r="E1534">
        <v>0.41484471000000001</v>
      </c>
      <c r="F1534">
        <v>3.32639628</v>
      </c>
      <c r="G1534">
        <v>1.3377386</v>
      </c>
      <c r="H1534">
        <v>2.833094</v>
      </c>
      <c r="I1534">
        <v>9.6783300000000006E-3</v>
      </c>
      <c r="J1534">
        <v>1</v>
      </c>
      <c r="K1534">
        <v>950073</v>
      </c>
      <c r="L1534">
        <f t="shared" si="207"/>
        <v>1.2793831846153847E-2</v>
      </c>
      <c r="M1534">
        <f t="shared" si="208"/>
        <v>5.1451484615384615E-3</v>
      </c>
      <c r="N1534">
        <f t="shared" si="209"/>
        <v>1.0896515384615385E-2</v>
      </c>
      <c r="O1534">
        <f t="shared" si="210"/>
        <v>8.020831923076923E-3</v>
      </c>
      <c r="P1534">
        <f t="shared" si="206"/>
        <v>34.517727776097423</v>
      </c>
      <c r="R1534">
        <f t="shared" si="211"/>
        <v>-1.2707064687314772E-3</v>
      </c>
    </row>
    <row r="1535" spans="1:19" x14ac:dyDescent="0.2">
      <c r="A1535" t="s">
        <v>1546</v>
      </c>
      <c r="B1535">
        <v>5.82485622</v>
      </c>
      <c r="C1535">
        <v>0.52099037999999998</v>
      </c>
      <c r="D1535">
        <v>5.9917596700000004</v>
      </c>
      <c r="E1535">
        <v>0.41484471000000001</v>
      </c>
      <c r="F1535">
        <v>3.3341123100000001</v>
      </c>
      <c r="G1535">
        <v>1.33712714</v>
      </c>
      <c r="H1535">
        <v>2.8130563999999998</v>
      </c>
      <c r="I1535">
        <v>9.6783300000000006E-3</v>
      </c>
      <c r="J1535">
        <v>1</v>
      </c>
      <c r="K1535">
        <v>950073</v>
      </c>
      <c r="L1535">
        <f t="shared" si="207"/>
        <v>1.2823508884615385E-2</v>
      </c>
      <c r="M1535">
        <f t="shared" si="208"/>
        <v>5.1427966923076919E-3</v>
      </c>
      <c r="N1535">
        <f t="shared" si="209"/>
        <v>1.0819447692307691E-2</v>
      </c>
      <c r="O1535">
        <f t="shared" si="210"/>
        <v>7.9811221923076908E-3</v>
      </c>
      <c r="P1535">
        <f t="shared" si="206"/>
        <v>29.482024633004418</v>
      </c>
      <c r="R1535">
        <f t="shared" si="211"/>
        <v>-1.9956898107782862E-3</v>
      </c>
      <c r="S1535">
        <f>ABS(SUMIFS($R:$R,$K:$K,K1535))</f>
        <v>5.1402049909385515E-3</v>
      </c>
    </row>
    <row r="1536" spans="1:19" x14ac:dyDescent="0.2">
      <c r="A1536" t="s">
        <v>1547</v>
      </c>
      <c r="B1536">
        <v>5.7898183200000002</v>
      </c>
      <c r="C1536">
        <v>0.42064758000000002</v>
      </c>
      <c r="D1536">
        <v>5.9508148700000003</v>
      </c>
      <c r="E1536">
        <v>0.41484471000000001</v>
      </c>
      <c r="F1536">
        <v>3.3394662899999998</v>
      </c>
      <c r="G1536">
        <v>1.33318662</v>
      </c>
      <c r="H1536">
        <v>2.77804626</v>
      </c>
      <c r="I1536">
        <v>9.3131099999999994E-3</v>
      </c>
      <c r="J1536">
        <v>1</v>
      </c>
      <c r="K1536">
        <v>950073</v>
      </c>
      <c r="L1536">
        <f t="shared" si="207"/>
        <v>1.2844101115384615E-2</v>
      </c>
      <c r="M1536">
        <f t="shared" si="208"/>
        <v>5.1276408461538459E-3</v>
      </c>
      <c r="N1536">
        <f t="shared" si="209"/>
        <v>1.0684793307692307E-2</v>
      </c>
      <c r="O1536">
        <f t="shared" si="210"/>
        <v>7.9062170769230774E-3</v>
      </c>
      <c r="P1536">
        <f t="shared" si="206"/>
        <v>23.80378370013991</v>
      </c>
      <c r="R1536">
        <f t="shared" si="211"/>
        <v>-2.1834695207597309E-3</v>
      </c>
    </row>
    <row r="1537" spans="1:18" x14ac:dyDescent="0.2">
      <c r="A1537" t="s">
        <v>1548</v>
      </c>
      <c r="B1537">
        <v>5.7511468600000004</v>
      </c>
      <c r="C1537">
        <v>0.32677424999999999</v>
      </c>
      <c r="D1537">
        <v>5.9011693000000003</v>
      </c>
      <c r="E1537">
        <v>0.41484471000000001</v>
      </c>
      <c r="F1537">
        <v>3.3345847200000001</v>
      </c>
      <c r="G1537">
        <v>1.32530558</v>
      </c>
      <c r="H1537">
        <v>2.7322380800000001</v>
      </c>
      <c r="I1537">
        <v>9.4957199999999992E-3</v>
      </c>
      <c r="J1537">
        <v>1</v>
      </c>
      <c r="K1537">
        <v>950073</v>
      </c>
      <c r="L1537">
        <f t="shared" si="207"/>
        <v>1.2825325846153847E-2</v>
      </c>
      <c r="M1537">
        <f t="shared" si="208"/>
        <v>5.097329153846154E-3</v>
      </c>
      <c r="N1537">
        <f t="shared" si="209"/>
        <v>1.0508608000000001E-2</v>
      </c>
      <c r="O1537">
        <f t="shared" si="210"/>
        <v>7.8029685769230774E-3</v>
      </c>
      <c r="P1537">
        <f t="shared" si="206"/>
        <v>18.491639880052187</v>
      </c>
      <c r="R1537">
        <f t="shared" si="211"/>
        <v>-2.0135628443840115E-3</v>
      </c>
    </row>
    <row r="1538" spans="1:18" x14ac:dyDescent="0.2">
      <c r="A1538" t="s">
        <v>1549</v>
      </c>
      <c r="B1538">
        <v>5.6979411600000001</v>
      </c>
      <c r="C1538">
        <v>0.24372737999999999</v>
      </c>
      <c r="D1538">
        <v>5.8433347700000002</v>
      </c>
      <c r="E1538">
        <v>0.41484471000000001</v>
      </c>
      <c r="F1538">
        <v>3.3289157999999999</v>
      </c>
      <c r="G1538">
        <v>1.31348402</v>
      </c>
      <c r="H1538">
        <v>2.6791941000000001</v>
      </c>
      <c r="I1538">
        <v>9.6783300000000006E-3</v>
      </c>
      <c r="J1538">
        <v>1</v>
      </c>
      <c r="K1538">
        <v>950073</v>
      </c>
      <c r="L1538">
        <f t="shared" si="207"/>
        <v>1.2803522307692307E-2</v>
      </c>
      <c r="M1538">
        <f t="shared" si="208"/>
        <v>5.0518616153846152E-3</v>
      </c>
      <c r="N1538">
        <f t="shared" si="209"/>
        <v>1.0304592692307693E-2</v>
      </c>
      <c r="O1538">
        <f t="shared" si="210"/>
        <v>7.6782271538461538E-3</v>
      </c>
      <c r="P1538">
        <f t="shared" si="206"/>
        <v>13.792148371141955</v>
      </c>
      <c r="R1538">
        <f t="shared" si="211"/>
        <v>-1.5488473165227151E-3</v>
      </c>
    </row>
    <row r="1539" spans="1:18" x14ac:dyDescent="0.2">
      <c r="A1539" t="s">
        <v>1550</v>
      </c>
      <c r="B1539">
        <v>5.6442163799999996</v>
      </c>
      <c r="C1539">
        <v>0.16807419000000001</v>
      </c>
      <c r="D1539">
        <v>5.7839648099999996</v>
      </c>
      <c r="E1539">
        <v>0.41484471000000001</v>
      </c>
      <c r="F1539">
        <v>3.3202549499999998</v>
      </c>
      <c r="G1539">
        <v>1.2993524999999999</v>
      </c>
      <c r="H1539">
        <v>2.6242020199999998</v>
      </c>
      <c r="I1539">
        <v>1.004355E-2</v>
      </c>
      <c r="J1539">
        <v>1</v>
      </c>
      <c r="K1539">
        <v>950073</v>
      </c>
      <c r="L1539">
        <f t="shared" si="207"/>
        <v>1.2770211346153845E-2</v>
      </c>
      <c r="M1539">
        <f t="shared" si="208"/>
        <v>4.9975096153846155E-3</v>
      </c>
      <c r="N1539">
        <f t="shared" si="209"/>
        <v>1.0093084692307691E-2</v>
      </c>
      <c r="O1539">
        <f t="shared" si="210"/>
        <v>7.5452971538461531E-3</v>
      </c>
      <c r="P1539">
        <f t="shared" ref="P1539:P1602" si="215">+C1539*4/(PI()*0.15^2)</f>
        <v>9.5110535625480548</v>
      </c>
      <c r="R1539">
        <f t="shared" si="211"/>
        <v>-1.0023908501941895E-3</v>
      </c>
    </row>
    <row r="1540" spans="1:18" x14ac:dyDescent="0.2">
      <c r="A1540" t="s">
        <v>1551</v>
      </c>
      <c r="B1540">
        <v>5.5951633200000002</v>
      </c>
      <c r="C1540">
        <v>0.10153107</v>
      </c>
      <c r="D1540">
        <v>5.732272</v>
      </c>
      <c r="E1540">
        <v>0.73091687000000005</v>
      </c>
      <c r="F1540">
        <v>3.3038780700000001</v>
      </c>
      <c r="G1540">
        <v>1.2840659999999999</v>
      </c>
      <c r="H1540">
        <v>2.5711580399999998</v>
      </c>
      <c r="I1540">
        <v>9.6783300000000006E-3</v>
      </c>
      <c r="J1540">
        <v>1</v>
      </c>
      <c r="K1540">
        <v>950073</v>
      </c>
      <c r="L1540">
        <f t="shared" ref="L1540:L1603" si="216">+F1540/260</f>
        <v>1.2707223346153847E-2</v>
      </c>
      <c r="M1540">
        <f t="shared" ref="M1540:M1603" si="217">+G1540/260</f>
        <v>4.9387153846153845E-3</v>
      </c>
      <c r="N1540">
        <f t="shared" ref="N1540:N1603" si="218">+H1540/260</f>
        <v>9.8890693846153833E-3</v>
      </c>
      <c r="O1540">
        <f t="shared" ref="O1540:O1603" si="219">(+G1540+H1540)/520</f>
        <v>7.4138923846153839E-3</v>
      </c>
      <c r="P1540">
        <f t="shared" si="215"/>
        <v>5.7454832597010634</v>
      </c>
      <c r="R1540">
        <f t="shared" ref="R1540:R1603" si="220">+(P1540+P1541)/2*(O1541-O1540)</f>
        <v>-4.1865603586723518E-4</v>
      </c>
    </row>
    <row r="1541" spans="1:18" x14ac:dyDescent="0.2">
      <c r="A1541" t="s">
        <v>1552</v>
      </c>
      <c r="B1541">
        <v>5.5531178399999996</v>
      </c>
      <c r="C1541">
        <v>5.3604180000000001E-2</v>
      </c>
      <c r="D1541">
        <v>5.6933744400000004</v>
      </c>
      <c r="E1541">
        <v>1.0272345199999999</v>
      </c>
      <c r="F1541">
        <v>3.2823046800000002</v>
      </c>
      <c r="G1541">
        <v>1.2726520800000001</v>
      </c>
      <c r="H1541">
        <v>2.5329752800000001</v>
      </c>
      <c r="I1541">
        <v>9.6783300000000006E-3</v>
      </c>
      <c r="J1541">
        <v>1</v>
      </c>
      <c r="K1541">
        <v>950073</v>
      </c>
      <c r="L1541">
        <f t="shared" si="216"/>
        <v>1.262424876923077E-2</v>
      </c>
      <c r="M1541">
        <f t="shared" si="217"/>
        <v>4.8948156923076924E-3</v>
      </c>
      <c r="N1541">
        <f t="shared" si="218"/>
        <v>9.7422126153846149E-3</v>
      </c>
      <c r="O1541">
        <f t="shared" si="219"/>
        <v>7.3185141538461536E-3</v>
      </c>
      <c r="P1541">
        <f t="shared" si="215"/>
        <v>3.0333760772934095</v>
      </c>
      <c r="R1541">
        <f t="shared" si="220"/>
        <v>-8.3017642664431703E-5</v>
      </c>
    </row>
    <row r="1542" spans="1:18" x14ac:dyDescent="0.2">
      <c r="A1542" t="s">
        <v>1553</v>
      </c>
      <c r="B1542">
        <v>5.53884314</v>
      </c>
      <c r="C1542">
        <v>5.0831550000000003E-2</v>
      </c>
      <c r="D1542">
        <v>5.6836500499999998</v>
      </c>
      <c r="E1542">
        <v>1.0864980500000001</v>
      </c>
      <c r="F1542">
        <v>3.2640381600000001</v>
      </c>
      <c r="G1542">
        <v>1.2691192</v>
      </c>
      <c r="H1542">
        <v>2.5218989399999998</v>
      </c>
      <c r="I1542">
        <v>1.004355E-2</v>
      </c>
      <c r="J1542">
        <v>1</v>
      </c>
      <c r="K1542">
        <v>950073</v>
      </c>
      <c r="L1542">
        <f t="shared" si="216"/>
        <v>1.2553992923076924E-2</v>
      </c>
      <c r="M1542">
        <f t="shared" si="217"/>
        <v>4.8812276923076922E-3</v>
      </c>
      <c r="N1542">
        <f t="shared" si="218"/>
        <v>9.6996113076923077E-3</v>
      </c>
      <c r="O1542">
        <f t="shared" si="219"/>
        <v>7.2904195E-3</v>
      </c>
      <c r="P1542">
        <f t="shared" si="215"/>
        <v>2.8764773146747848</v>
      </c>
      <c r="R1542">
        <f t="shared" si="220"/>
        <v>1.6963343775535007E-4</v>
      </c>
    </row>
    <row r="1543" spans="1:18" x14ac:dyDescent="0.2">
      <c r="A1543" t="s">
        <v>1554</v>
      </c>
      <c r="B1543">
        <v>5.5577895599999998</v>
      </c>
      <c r="C1543">
        <v>0.105624</v>
      </c>
      <c r="D1543">
        <v>5.7041224499999998</v>
      </c>
      <c r="E1543">
        <v>1.0864980500000001</v>
      </c>
      <c r="F1543">
        <v>3.24671646</v>
      </c>
      <c r="G1543">
        <v>1.2691192</v>
      </c>
      <c r="H1543">
        <v>2.5418252200000002</v>
      </c>
      <c r="I1543">
        <v>9.6783300000000006E-3</v>
      </c>
      <c r="J1543">
        <v>1</v>
      </c>
      <c r="K1543">
        <v>950073</v>
      </c>
      <c r="L1543">
        <f t="shared" si="216"/>
        <v>1.2487371000000001E-2</v>
      </c>
      <c r="M1543">
        <f t="shared" si="217"/>
        <v>4.8812276923076922E-3</v>
      </c>
      <c r="N1543">
        <f t="shared" si="218"/>
        <v>9.7762508461538469E-3</v>
      </c>
      <c r="O1543">
        <f t="shared" si="219"/>
        <v>7.3287392692307695E-3</v>
      </c>
      <c r="P1543">
        <f t="shared" si="215"/>
        <v>5.9770957188047475</v>
      </c>
      <c r="R1543">
        <f t="shared" si="220"/>
        <v>7.6358036609834752E-4</v>
      </c>
    </row>
    <row r="1544" spans="1:18" x14ac:dyDescent="0.2">
      <c r="A1544" t="s">
        <v>1555</v>
      </c>
      <c r="B1544">
        <v>5.5959419400000003</v>
      </c>
      <c r="C1544">
        <v>0.1861623</v>
      </c>
      <c r="D1544">
        <v>5.7430200100000004</v>
      </c>
      <c r="E1544">
        <v>0.96797098999999998</v>
      </c>
      <c r="F1544">
        <v>3.2322292199999998</v>
      </c>
      <c r="G1544">
        <v>1.27530174</v>
      </c>
      <c r="H1544">
        <v>2.5837371999999998</v>
      </c>
      <c r="I1544">
        <v>9.6783300000000006E-3</v>
      </c>
      <c r="J1544">
        <v>1</v>
      </c>
      <c r="K1544">
        <v>950074</v>
      </c>
      <c r="L1544">
        <f t="shared" si="216"/>
        <v>1.2431650846153846E-2</v>
      </c>
      <c r="M1544">
        <f t="shared" si="217"/>
        <v>4.905006692307692E-3</v>
      </c>
      <c r="N1544">
        <f t="shared" si="218"/>
        <v>9.9374507692307681E-3</v>
      </c>
      <c r="O1544">
        <f t="shared" si="219"/>
        <v>7.4212287307692301E-3</v>
      </c>
      <c r="P1544">
        <f t="shared" si="215"/>
        <v>10.534631204393367</v>
      </c>
      <c r="Q1544">
        <f t="shared" ref="Q1544" si="221">ABS(0.5*(SUMPRODUCT(O1544:O1562,P1545:P1563)+O1563*P1544-(SUMPRODUCT(O1545:O1563,P1544:P1562)+O1544*P1563)))</f>
        <v>5.2157053084216365E-3</v>
      </c>
      <c r="R1544">
        <f t="shared" si="220"/>
        <v>1.810163518613576E-3</v>
      </c>
    </row>
    <row r="1545" spans="1:18" x14ac:dyDescent="0.2">
      <c r="A1545" t="s">
        <v>1556</v>
      </c>
      <c r="B1545">
        <v>5.6488880999999997</v>
      </c>
      <c r="C1545">
        <v>0.28082781000000001</v>
      </c>
      <c r="D1545">
        <v>5.8008545399999996</v>
      </c>
      <c r="E1545">
        <v>0.84944392999999996</v>
      </c>
      <c r="F1545">
        <v>3.2249856000000001</v>
      </c>
      <c r="G1545">
        <v>1.28943326</v>
      </c>
      <c r="H1545">
        <v>2.64084436</v>
      </c>
      <c r="I1545">
        <v>9.8609400000000003E-3</v>
      </c>
      <c r="J1545">
        <v>1</v>
      </c>
      <c r="K1545">
        <v>950074</v>
      </c>
      <c r="L1545">
        <f t="shared" si="216"/>
        <v>1.2403790769230769E-2</v>
      </c>
      <c r="M1545">
        <f t="shared" si="217"/>
        <v>4.9593586923076926E-3</v>
      </c>
      <c r="N1545">
        <f t="shared" si="218"/>
        <v>1.0157093692307693E-2</v>
      </c>
      <c r="O1545">
        <f t="shared" si="219"/>
        <v>7.5582261923076927E-3</v>
      </c>
      <c r="P1545">
        <f t="shared" si="215"/>
        <v>15.891603242372124</v>
      </c>
      <c r="R1545">
        <f t="shared" si="220"/>
        <v>2.8891245147282928E-3</v>
      </c>
    </row>
    <row r="1546" spans="1:18" x14ac:dyDescent="0.2">
      <c r="A1546" t="s">
        <v>1557</v>
      </c>
      <c r="B1546">
        <v>5.7059869000000001</v>
      </c>
      <c r="C1546">
        <v>0.39041271</v>
      </c>
      <c r="D1546">
        <v>5.8714843200000004</v>
      </c>
      <c r="E1546">
        <v>0.73091687000000005</v>
      </c>
      <c r="F1546">
        <v>3.22750512</v>
      </c>
      <c r="G1546">
        <v>1.30519534</v>
      </c>
      <c r="H1546">
        <v>2.7041854399999998</v>
      </c>
      <c r="I1546">
        <v>9.8609400000000003E-3</v>
      </c>
      <c r="J1546">
        <v>1</v>
      </c>
      <c r="K1546">
        <v>950074</v>
      </c>
      <c r="L1546">
        <f t="shared" si="216"/>
        <v>1.2413481230769231E-2</v>
      </c>
      <c r="M1546">
        <f t="shared" si="217"/>
        <v>5.0199820769230774E-3</v>
      </c>
      <c r="N1546">
        <f t="shared" si="218"/>
        <v>1.0400713230769231E-2</v>
      </c>
      <c r="O1546">
        <f t="shared" si="219"/>
        <v>7.7103476538461536E-3</v>
      </c>
      <c r="P1546">
        <f t="shared" si="215"/>
        <v>22.092840050632049</v>
      </c>
      <c r="R1546">
        <f t="shared" si="220"/>
        <v>3.8318244450691588E-3</v>
      </c>
    </row>
    <row r="1547" spans="1:18" x14ac:dyDescent="0.2">
      <c r="A1547" t="s">
        <v>1558</v>
      </c>
      <c r="B1547">
        <v>5.7685360399999999</v>
      </c>
      <c r="C1547">
        <v>0.52376301000000003</v>
      </c>
      <c r="D1547">
        <v>5.9400668599999999</v>
      </c>
      <c r="E1547">
        <v>0.67165333999999999</v>
      </c>
      <c r="F1547">
        <v>3.2322292199999998</v>
      </c>
      <c r="G1547">
        <v>1.3190550999999999</v>
      </c>
      <c r="H1547">
        <v>2.7673595400000002</v>
      </c>
      <c r="I1547">
        <v>9.6783300000000006E-3</v>
      </c>
      <c r="J1547">
        <v>1</v>
      </c>
      <c r="K1547">
        <v>950074</v>
      </c>
      <c r="L1547">
        <f t="shared" si="216"/>
        <v>1.2431650846153846E-2</v>
      </c>
      <c r="M1547">
        <f t="shared" si="217"/>
        <v>5.0732888461538462E-3</v>
      </c>
      <c r="N1547">
        <f t="shared" si="218"/>
        <v>1.0643690538461538E-2</v>
      </c>
      <c r="O1547">
        <f t="shared" si="219"/>
        <v>7.8584896923076918E-3</v>
      </c>
      <c r="P1547">
        <f t="shared" si="215"/>
        <v>29.638923395623046</v>
      </c>
      <c r="R1547">
        <f t="shared" si="220"/>
        <v>4.3961296284250615E-3</v>
      </c>
    </row>
    <row r="1548" spans="1:18" x14ac:dyDescent="0.2">
      <c r="A1548" t="s">
        <v>1559</v>
      </c>
      <c r="B1548">
        <v>5.8279706999999998</v>
      </c>
      <c r="C1548">
        <v>0.70385193000000001</v>
      </c>
      <c r="D1548">
        <v>6.0025076799999999</v>
      </c>
      <c r="E1548">
        <v>0.53337177000000002</v>
      </c>
      <c r="F1548">
        <v>3.2432521200000002</v>
      </c>
      <c r="G1548">
        <v>1.3296537399999999</v>
      </c>
      <c r="H1548">
        <v>2.8225742600000001</v>
      </c>
      <c r="I1548">
        <v>9.6783300000000006E-3</v>
      </c>
      <c r="J1548">
        <v>1</v>
      </c>
      <c r="K1548">
        <v>950074</v>
      </c>
      <c r="L1548">
        <f t="shared" si="216"/>
        <v>1.2474046615384616E-2</v>
      </c>
      <c r="M1548">
        <f t="shared" si="217"/>
        <v>5.1140528461538458E-3</v>
      </c>
      <c r="N1548">
        <f t="shared" si="218"/>
        <v>1.0856054846153847E-2</v>
      </c>
      <c r="O1548">
        <f t="shared" si="219"/>
        <v>7.9850538461538455E-3</v>
      </c>
      <c r="P1548">
        <f t="shared" si="215"/>
        <v>39.829871596185136</v>
      </c>
      <c r="R1548">
        <f t="shared" si="220"/>
        <v>2.8713445798483348E-3</v>
      </c>
    </row>
    <row r="1549" spans="1:18" x14ac:dyDescent="0.2">
      <c r="A1549" t="s">
        <v>1560</v>
      </c>
      <c r="B1549">
        <v>5.8666421599999996</v>
      </c>
      <c r="C1549">
        <v>0.82756403999999995</v>
      </c>
      <c r="D1549">
        <v>6.0383343800000002</v>
      </c>
      <c r="E1549">
        <v>0.53337177000000002</v>
      </c>
      <c r="F1549">
        <v>3.2619910499999998</v>
      </c>
      <c r="G1549">
        <v>1.3352248200000001</v>
      </c>
      <c r="H1549">
        <v>2.8514618</v>
      </c>
      <c r="I1549">
        <v>9.6783300000000006E-3</v>
      </c>
      <c r="J1549">
        <v>1</v>
      </c>
      <c r="K1549">
        <v>950074</v>
      </c>
      <c r="L1549">
        <f t="shared" si="216"/>
        <v>1.2546119423076922E-2</v>
      </c>
      <c r="M1549">
        <f t="shared" si="217"/>
        <v>5.1354800769230768E-3</v>
      </c>
      <c r="N1549">
        <f t="shared" si="218"/>
        <v>1.0967160769230769E-2</v>
      </c>
      <c r="O1549">
        <f t="shared" si="219"/>
        <v>8.0513204230769232E-3</v>
      </c>
      <c r="P1549">
        <f t="shared" si="215"/>
        <v>46.830544956835197</v>
      </c>
      <c r="R1549">
        <f t="shared" si="220"/>
        <v>9.4850759148820208E-4</v>
      </c>
    </row>
    <row r="1550" spans="1:18" x14ac:dyDescent="0.2">
      <c r="A1550" t="s">
        <v>1561</v>
      </c>
      <c r="B1550">
        <v>5.8809168600000001</v>
      </c>
      <c r="C1550">
        <v>0.85463018999999996</v>
      </c>
      <c r="D1550">
        <v>6.0511296300000001</v>
      </c>
      <c r="E1550">
        <v>0.53337177000000002</v>
      </c>
      <c r="F1550">
        <v>3.27789552</v>
      </c>
      <c r="G1550">
        <v>1.33712714</v>
      </c>
      <c r="H1550">
        <v>2.8599221199999998</v>
      </c>
      <c r="I1550">
        <v>9.6783300000000006E-3</v>
      </c>
      <c r="J1550">
        <v>1</v>
      </c>
      <c r="K1550">
        <v>950074</v>
      </c>
      <c r="L1550">
        <f t="shared" si="216"/>
        <v>1.2607290461538462E-2</v>
      </c>
      <c r="M1550">
        <f t="shared" si="217"/>
        <v>5.1427966923076919E-3</v>
      </c>
      <c r="N1550">
        <f t="shared" si="218"/>
        <v>1.0999700461538461E-2</v>
      </c>
      <c r="O1550">
        <f t="shared" si="219"/>
        <v>8.0712485769230766E-3</v>
      </c>
      <c r="P1550">
        <f t="shared" si="215"/>
        <v>48.362175734778916</v>
      </c>
      <c r="R1550">
        <f t="shared" si="220"/>
        <v>3.4181951349196004E-4</v>
      </c>
    </row>
    <row r="1551" spans="1:18" x14ac:dyDescent="0.2">
      <c r="A1551" t="s">
        <v>1562</v>
      </c>
      <c r="B1551">
        <v>5.8850695000000002</v>
      </c>
      <c r="C1551">
        <v>0.85581845999999995</v>
      </c>
      <c r="D1551">
        <v>6.0526650599999998</v>
      </c>
      <c r="E1551">
        <v>0.47410824000000001</v>
      </c>
      <c r="F1551">
        <v>3.2893908299999999</v>
      </c>
      <c r="G1551">
        <v>1.3377386</v>
      </c>
      <c r="H1551">
        <v>2.8629834199999999</v>
      </c>
      <c r="I1551">
        <v>9.6783300000000006E-3</v>
      </c>
      <c r="J1551">
        <v>1</v>
      </c>
      <c r="K1551">
        <v>950074</v>
      </c>
      <c r="L1551">
        <f t="shared" si="216"/>
        <v>1.2651503192307692E-2</v>
      </c>
      <c r="M1551">
        <f t="shared" si="217"/>
        <v>5.1451484615384615E-3</v>
      </c>
      <c r="N1551">
        <f t="shared" si="218"/>
        <v>1.1011474692307692E-2</v>
      </c>
      <c r="O1551">
        <f t="shared" si="219"/>
        <v>8.0783115769230765E-3</v>
      </c>
      <c r="P1551">
        <f t="shared" si="215"/>
        <v>48.429418061615465</v>
      </c>
      <c r="R1551">
        <f t="shared" si="220"/>
        <v>-1.8235624548346263E-4</v>
      </c>
    </row>
    <row r="1552" spans="1:18" x14ac:dyDescent="0.2">
      <c r="A1552" t="s">
        <v>1563</v>
      </c>
      <c r="B1552">
        <v>5.8793596199999998</v>
      </c>
      <c r="C1552">
        <v>0.81673757999999996</v>
      </c>
      <c r="D1552">
        <v>6.0511296300000001</v>
      </c>
      <c r="E1552">
        <v>0.47410824000000001</v>
      </c>
      <c r="F1552">
        <v>3.3043504800000001</v>
      </c>
      <c r="G1552">
        <v>1.3377386</v>
      </c>
      <c r="H1552">
        <v>2.8609796599999999</v>
      </c>
      <c r="I1552">
        <v>9.8609400000000003E-3</v>
      </c>
      <c r="J1552">
        <v>1</v>
      </c>
      <c r="K1552">
        <v>950074</v>
      </c>
      <c r="L1552">
        <f t="shared" si="216"/>
        <v>1.2709040307692309E-2</v>
      </c>
      <c r="M1552">
        <f t="shared" si="217"/>
        <v>5.1451484615384615E-3</v>
      </c>
      <c r="N1552">
        <f t="shared" si="218"/>
        <v>1.1003767923076923E-2</v>
      </c>
      <c r="O1552">
        <f t="shared" si="219"/>
        <v>8.074458192307692E-3</v>
      </c>
      <c r="P1552">
        <f t="shared" si="215"/>
        <v>46.217892645657713</v>
      </c>
      <c r="R1552">
        <f t="shared" si="220"/>
        <v>-1.0098350418735317E-3</v>
      </c>
    </row>
    <row r="1553" spans="1:19" x14ac:dyDescent="0.2">
      <c r="A1553" t="s">
        <v>1564</v>
      </c>
      <c r="B1553">
        <v>5.8619704400000003</v>
      </c>
      <c r="C1553">
        <v>0.70345584000000005</v>
      </c>
      <c r="D1553">
        <v>6.0337280900000003</v>
      </c>
      <c r="E1553">
        <v>0.41484471000000001</v>
      </c>
      <c r="F1553">
        <v>3.3186802499999999</v>
      </c>
      <c r="G1553">
        <v>1.3379424200000001</v>
      </c>
      <c r="H1553">
        <v>2.8485674799999998</v>
      </c>
      <c r="I1553">
        <v>9.6783300000000006E-3</v>
      </c>
      <c r="J1553">
        <v>1</v>
      </c>
      <c r="K1553">
        <v>950074</v>
      </c>
      <c r="L1553">
        <f t="shared" si="216"/>
        <v>1.2764154807692307E-2</v>
      </c>
      <c r="M1553">
        <f t="shared" si="217"/>
        <v>5.1459323846153853E-3</v>
      </c>
      <c r="N1553">
        <f t="shared" si="218"/>
        <v>1.0956028769230769E-2</v>
      </c>
      <c r="O1553">
        <f t="shared" si="219"/>
        <v>8.0509805769230763E-3</v>
      </c>
      <c r="P1553">
        <f t="shared" si="215"/>
        <v>39.807457487239624</v>
      </c>
      <c r="R1553">
        <f t="shared" si="220"/>
        <v>-1.0390619609002582E-3</v>
      </c>
    </row>
    <row r="1554" spans="1:19" x14ac:dyDescent="0.2">
      <c r="A1554" t="s">
        <v>1565</v>
      </c>
      <c r="B1554">
        <v>5.8461385000000003</v>
      </c>
      <c r="C1554">
        <v>0.61446761999999999</v>
      </c>
      <c r="D1554">
        <v>6.0193974099999998</v>
      </c>
      <c r="E1554">
        <v>0.41484471000000001</v>
      </c>
      <c r="F1554">
        <v>3.32592387</v>
      </c>
      <c r="G1554">
        <v>1.3375347799999999</v>
      </c>
      <c r="H1554">
        <v>2.8344855</v>
      </c>
      <c r="I1554">
        <v>9.6783300000000006E-3</v>
      </c>
      <c r="J1554">
        <v>1</v>
      </c>
      <c r="K1554">
        <v>950074</v>
      </c>
      <c r="L1554">
        <f t="shared" si="216"/>
        <v>1.2792014884615385E-2</v>
      </c>
      <c r="M1554">
        <f t="shared" si="217"/>
        <v>5.1443645384615377E-3</v>
      </c>
      <c r="N1554">
        <f t="shared" si="218"/>
        <v>1.0901867307692308E-2</v>
      </c>
      <c r="O1554">
        <f t="shared" si="219"/>
        <v>8.023115923076923E-3</v>
      </c>
      <c r="P1554">
        <f t="shared" si="215"/>
        <v>34.771754344146622</v>
      </c>
      <c r="R1554">
        <f t="shared" si="220"/>
        <v>-1.3069524382456215E-3</v>
      </c>
    </row>
    <row r="1555" spans="1:19" x14ac:dyDescent="0.2">
      <c r="A1555" t="s">
        <v>1566</v>
      </c>
      <c r="B1555">
        <v>5.82485622</v>
      </c>
      <c r="C1555">
        <v>0.52217864999999997</v>
      </c>
      <c r="D1555">
        <v>5.9917596700000004</v>
      </c>
      <c r="E1555">
        <v>0.41484471000000001</v>
      </c>
      <c r="F1555">
        <v>3.3322226700000002</v>
      </c>
      <c r="G1555">
        <v>1.3373309600000001</v>
      </c>
      <c r="H1555">
        <v>2.81355734</v>
      </c>
      <c r="I1555">
        <v>9.4957199999999992E-3</v>
      </c>
      <c r="J1555">
        <v>1</v>
      </c>
      <c r="K1555">
        <v>950074</v>
      </c>
      <c r="L1555">
        <f t="shared" si="216"/>
        <v>1.2816241038461539E-2</v>
      </c>
      <c r="M1555">
        <f t="shared" si="217"/>
        <v>5.1435806153846157E-3</v>
      </c>
      <c r="N1555">
        <f t="shared" si="218"/>
        <v>1.0821374384615385E-2</v>
      </c>
      <c r="O1555">
        <f t="shared" si="219"/>
        <v>7.9824774999999997E-3</v>
      </c>
      <c r="P1555">
        <f t="shared" si="215"/>
        <v>29.549266959840971</v>
      </c>
      <c r="R1555">
        <f t="shared" si="220"/>
        <v>-2.0412128436325745E-3</v>
      </c>
    </row>
    <row r="1556" spans="1:19" x14ac:dyDescent="0.2">
      <c r="A1556" t="s">
        <v>1567</v>
      </c>
      <c r="B1556">
        <v>5.7898183200000002</v>
      </c>
      <c r="C1556">
        <v>0.41985539999999999</v>
      </c>
      <c r="D1556">
        <v>5.9508148700000003</v>
      </c>
      <c r="E1556">
        <v>0.41484471000000001</v>
      </c>
      <c r="F1556">
        <v>3.3385214699999999</v>
      </c>
      <c r="G1556">
        <v>1.33318662</v>
      </c>
      <c r="H1556">
        <v>2.7778792800000001</v>
      </c>
      <c r="I1556">
        <v>9.4957199999999992E-3</v>
      </c>
      <c r="J1556">
        <v>1</v>
      </c>
      <c r="K1556">
        <v>950074</v>
      </c>
      <c r="L1556">
        <f t="shared" si="216"/>
        <v>1.2840467192307692E-2</v>
      </c>
      <c r="M1556">
        <f t="shared" si="217"/>
        <v>5.1276408461538459E-3</v>
      </c>
      <c r="N1556">
        <f t="shared" si="218"/>
        <v>1.0684151076923077E-2</v>
      </c>
      <c r="O1556">
        <f t="shared" si="219"/>
        <v>7.9058959615384613E-3</v>
      </c>
      <c r="P1556">
        <f t="shared" si="215"/>
        <v>23.758955482248872</v>
      </c>
      <c r="R1556">
        <f t="shared" si="220"/>
        <v>-2.1964292779474573E-3</v>
      </c>
      <c r="S1556">
        <f>ABS(SUMIFS($R:$R,$K:$K,K1556))</f>
        <v>5.2713055987941571E-3</v>
      </c>
    </row>
    <row r="1557" spans="1:19" x14ac:dyDescent="0.2">
      <c r="A1557" t="s">
        <v>1568</v>
      </c>
      <c r="B1557">
        <v>5.7464751400000003</v>
      </c>
      <c r="C1557">
        <v>0.32479380000000002</v>
      </c>
      <c r="D1557">
        <v>5.8991220599999998</v>
      </c>
      <c r="E1557">
        <v>0.41484471000000001</v>
      </c>
      <c r="F1557">
        <v>3.33694677</v>
      </c>
      <c r="G1557">
        <v>1.3255094000000001</v>
      </c>
      <c r="H1557">
        <v>2.7313475199999999</v>
      </c>
      <c r="I1557">
        <v>9.6783300000000006E-3</v>
      </c>
      <c r="J1557">
        <v>1</v>
      </c>
      <c r="K1557">
        <v>950074</v>
      </c>
      <c r="L1557">
        <f t="shared" si="216"/>
        <v>1.2834410653846154E-2</v>
      </c>
      <c r="M1557">
        <f t="shared" si="217"/>
        <v>5.0981130769230769E-3</v>
      </c>
      <c r="N1557">
        <f t="shared" si="218"/>
        <v>1.0505182769230769E-2</v>
      </c>
      <c r="O1557">
        <f t="shared" si="219"/>
        <v>7.8016479230769223E-3</v>
      </c>
      <c r="P1557">
        <f t="shared" si="215"/>
        <v>18.3795693353246</v>
      </c>
      <c r="R1557">
        <f t="shared" si="220"/>
        <v>-2.0164413152612411E-3</v>
      </c>
    </row>
    <row r="1558" spans="1:19" x14ac:dyDescent="0.2">
      <c r="A1558" t="s">
        <v>1569</v>
      </c>
      <c r="B1558">
        <v>5.6987197800000002</v>
      </c>
      <c r="C1558">
        <v>0.24135084000000001</v>
      </c>
      <c r="D1558">
        <v>5.8433347700000002</v>
      </c>
      <c r="E1558">
        <v>0.41484471000000001</v>
      </c>
      <c r="F1558">
        <v>3.3278135099999999</v>
      </c>
      <c r="G1558">
        <v>1.31287256</v>
      </c>
      <c r="H1558">
        <v>2.67852618</v>
      </c>
      <c r="I1558">
        <v>9.6783300000000006E-3</v>
      </c>
      <c r="J1558">
        <v>1</v>
      </c>
      <c r="K1558">
        <v>950074</v>
      </c>
      <c r="L1558">
        <f t="shared" si="216"/>
        <v>1.279928273076923E-2</v>
      </c>
      <c r="M1558">
        <f t="shared" si="217"/>
        <v>5.0495098461538464E-3</v>
      </c>
      <c r="N1558">
        <f t="shared" si="218"/>
        <v>1.030202376923077E-2</v>
      </c>
      <c r="O1558">
        <f t="shared" si="219"/>
        <v>7.6757668076923077E-3</v>
      </c>
      <c r="P1558">
        <f t="shared" si="215"/>
        <v>13.65766371746885</v>
      </c>
      <c r="R1558">
        <f t="shared" si="220"/>
        <v>-1.537714209931044E-3</v>
      </c>
    </row>
    <row r="1559" spans="1:19" x14ac:dyDescent="0.2">
      <c r="A1559" t="s">
        <v>1570</v>
      </c>
      <c r="B1559">
        <v>5.6457736199999999</v>
      </c>
      <c r="C1559">
        <v>0.16596171000000001</v>
      </c>
      <c r="D1559">
        <v>5.7855002400000002</v>
      </c>
      <c r="E1559">
        <v>0.47410824000000001</v>
      </c>
      <c r="F1559">
        <v>3.3182078399999999</v>
      </c>
      <c r="G1559">
        <v>1.29853722</v>
      </c>
      <c r="H1559">
        <v>2.62347844</v>
      </c>
      <c r="I1559">
        <v>9.6783300000000006E-3</v>
      </c>
      <c r="J1559">
        <v>1</v>
      </c>
      <c r="K1559">
        <v>950074</v>
      </c>
      <c r="L1559">
        <f t="shared" si="216"/>
        <v>1.2762337846153845E-2</v>
      </c>
      <c r="M1559">
        <f t="shared" si="217"/>
        <v>4.9943739230769229E-3</v>
      </c>
      <c r="N1559">
        <f t="shared" si="218"/>
        <v>1.0090301692307692E-2</v>
      </c>
      <c r="O1559">
        <f t="shared" si="219"/>
        <v>7.5423378076923077E-3</v>
      </c>
      <c r="P1559">
        <f t="shared" si="215"/>
        <v>9.39151164817196</v>
      </c>
      <c r="R1559">
        <f t="shared" si="220"/>
        <v>-9.868094204317304E-4</v>
      </c>
    </row>
    <row r="1560" spans="1:19" x14ac:dyDescent="0.2">
      <c r="A1560" t="s">
        <v>1571</v>
      </c>
      <c r="B1560">
        <v>5.5925679199999996</v>
      </c>
      <c r="C1560">
        <v>0.1003428</v>
      </c>
      <c r="D1560">
        <v>5.7338074299999997</v>
      </c>
      <c r="E1560">
        <v>0.73091687000000005</v>
      </c>
      <c r="F1560">
        <v>3.3043504800000001</v>
      </c>
      <c r="G1560">
        <v>1.2835904199999999</v>
      </c>
      <c r="H1560">
        <v>2.5703231400000002</v>
      </c>
      <c r="I1560">
        <v>9.8609400000000003E-3</v>
      </c>
      <c r="J1560">
        <v>1</v>
      </c>
      <c r="K1560">
        <v>950074</v>
      </c>
      <c r="L1560">
        <f t="shared" si="216"/>
        <v>1.2709040307692309E-2</v>
      </c>
      <c r="M1560">
        <f t="shared" si="217"/>
        <v>4.9368862307692307E-3</v>
      </c>
      <c r="N1560">
        <f t="shared" si="218"/>
        <v>9.885858230769231E-3</v>
      </c>
      <c r="O1560">
        <f t="shared" si="219"/>
        <v>7.4113722307692313E-3</v>
      </c>
      <c r="P1560">
        <f t="shared" si="215"/>
        <v>5.6782409328645098</v>
      </c>
      <c r="R1560">
        <f t="shared" si="220"/>
        <v>-3.9832258569476076E-4</v>
      </c>
    </row>
    <row r="1561" spans="1:19" x14ac:dyDescent="0.2">
      <c r="A1561" t="s">
        <v>1572</v>
      </c>
      <c r="B1561">
        <v>5.5515606000000002</v>
      </c>
      <c r="C1561">
        <v>5.320809E-2</v>
      </c>
      <c r="D1561">
        <v>5.6933744400000004</v>
      </c>
      <c r="E1561">
        <v>1.0864980500000001</v>
      </c>
      <c r="F1561">
        <v>3.2827770900000002</v>
      </c>
      <c r="G1561">
        <v>1.2732635400000001</v>
      </c>
      <c r="H1561">
        <v>2.5329752800000001</v>
      </c>
      <c r="I1561">
        <v>9.8609400000000003E-3</v>
      </c>
      <c r="J1561">
        <v>1</v>
      </c>
      <c r="K1561">
        <v>950074</v>
      </c>
      <c r="L1561">
        <f t="shared" si="216"/>
        <v>1.2626065730769232E-2</v>
      </c>
      <c r="M1561">
        <f t="shared" si="217"/>
        <v>4.897167461538462E-3</v>
      </c>
      <c r="N1561">
        <f t="shared" si="218"/>
        <v>9.7422126153846149E-3</v>
      </c>
      <c r="O1561">
        <f t="shared" si="219"/>
        <v>7.319690038461538E-3</v>
      </c>
      <c r="P1561">
        <f t="shared" si="215"/>
        <v>3.0109619683478916</v>
      </c>
      <c r="R1561">
        <f t="shared" si="220"/>
        <v>-8.113234339712166E-5</v>
      </c>
    </row>
    <row r="1562" spans="1:19" x14ac:dyDescent="0.2">
      <c r="A1562" t="s">
        <v>1573</v>
      </c>
      <c r="B1562">
        <v>5.5404003800000003</v>
      </c>
      <c r="C1562">
        <v>4.9907340000000001E-2</v>
      </c>
      <c r="D1562">
        <v>5.6805791899999996</v>
      </c>
      <c r="E1562">
        <v>1.20502511</v>
      </c>
      <c r="F1562">
        <v>3.2629358700000002</v>
      </c>
      <c r="G1562">
        <v>1.2693230200000001</v>
      </c>
      <c r="H1562">
        <v>2.5224555400000002</v>
      </c>
      <c r="I1562">
        <v>9.6783300000000006E-3</v>
      </c>
      <c r="J1562">
        <v>1</v>
      </c>
      <c r="K1562">
        <v>950074</v>
      </c>
      <c r="L1562">
        <f t="shared" si="216"/>
        <v>1.2549753346153847E-2</v>
      </c>
      <c r="M1562">
        <f t="shared" si="217"/>
        <v>4.882011615384616E-3</v>
      </c>
      <c r="N1562">
        <f t="shared" si="218"/>
        <v>9.7017520769230783E-3</v>
      </c>
      <c r="O1562">
        <f t="shared" si="219"/>
        <v>7.2918818461538458E-3</v>
      </c>
      <c r="P1562">
        <f t="shared" si="215"/>
        <v>2.8241777271352433</v>
      </c>
      <c r="R1562">
        <f t="shared" si="220"/>
        <v>1.7790338273721338E-4</v>
      </c>
    </row>
    <row r="1563" spans="1:19" x14ac:dyDescent="0.2">
      <c r="A1563" t="s">
        <v>1574</v>
      </c>
      <c r="B1563">
        <v>5.5554537000000002</v>
      </c>
      <c r="C1563">
        <v>0.10800054000000001</v>
      </c>
      <c r="D1563">
        <v>5.7056578800000004</v>
      </c>
      <c r="E1563">
        <v>1.20502511</v>
      </c>
      <c r="F1563">
        <v>3.24813369</v>
      </c>
      <c r="G1563">
        <v>1.2693230200000001</v>
      </c>
      <c r="H1563">
        <v>2.5431610600000001</v>
      </c>
      <c r="I1563">
        <v>9.8609400000000003E-3</v>
      </c>
      <c r="J1563">
        <v>1</v>
      </c>
      <c r="K1563">
        <v>950074</v>
      </c>
      <c r="L1563">
        <f t="shared" si="216"/>
        <v>1.2492821884615384E-2</v>
      </c>
      <c r="M1563">
        <f t="shared" si="217"/>
        <v>4.882011615384616E-3</v>
      </c>
      <c r="N1563">
        <f t="shared" si="218"/>
        <v>9.7813886923076923E-3</v>
      </c>
      <c r="O1563">
        <f t="shared" si="219"/>
        <v>7.3317001538461537E-3</v>
      </c>
      <c r="P1563">
        <f t="shared" si="215"/>
        <v>6.1115803724778548</v>
      </c>
      <c r="R1563">
        <f t="shared" si="220"/>
        <v>8.0075610719116069E-4</v>
      </c>
    </row>
    <row r="1564" spans="1:19" x14ac:dyDescent="0.2">
      <c r="A1564" t="s">
        <v>1575</v>
      </c>
      <c r="B1564">
        <v>5.5936060799999998</v>
      </c>
      <c r="C1564">
        <v>0.18853884000000001</v>
      </c>
      <c r="D1564">
        <v>5.7445554400000001</v>
      </c>
      <c r="E1564">
        <v>1.1457615800000001</v>
      </c>
      <c r="F1564">
        <v>3.2341188600000002</v>
      </c>
      <c r="G1564">
        <v>1.2759811400000001</v>
      </c>
      <c r="H1564">
        <v>2.5861305799999998</v>
      </c>
      <c r="I1564">
        <v>9.8609400000000003E-3</v>
      </c>
      <c r="J1564">
        <v>1</v>
      </c>
      <c r="K1564">
        <v>950075</v>
      </c>
      <c r="L1564">
        <f t="shared" si="216"/>
        <v>1.2438918692307692E-2</v>
      </c>
      <c r="M1564">
        <f t="shared" si="217"/>
        <v>4.9076197692307696E-3</v>
      </c>
      <c r="N1564">
        <f t="shared" si="218"/>
        <v>9.9466560769230772E-3</v>
      </c>
      <c r="O1564">
        <f t="shared" si="219"/>
        <v>7.4271379230769225E-3</v>
      </c>
      <c r="P1564">
        <f t="shared" si="215"/>
        <v>10.669115858066476</v>
      </c>
      <c r="Q1564">
        <f t="shared" ref="Q1564" si="222">ABS(0.5*(SUMPRODUCT(O1564:O1582,P1565:P1583)+O1583*P1564-(SUMPRODUCT(O1565:O1583,P1564:P1582)+O1564*P1583)))</f>
        <v>5.1665009078880608E-3</v>
      </c>
      <c r="R1564">
        <f t="shared" si="220"/>
        <v>1.7862301451563051E-3</v>
      </c>
    </row>
    <row r="1565" spans="1:19" x14ac:dyDescent="0.2">
      <c r="A1565" t="s">
        <v>1576</v>
      </c>
      <c r="B1565">
        <v>5.6465522400000001</v>
      </c>
      <c r="C1565">
        <v>0.28241217000000002</v>
      </c>
      <c r="D1565">
        <v>5.8085316899999997</v>
      </c>
      <c r="E1565">
        <v>0.84944392999999996</v>
      </c>
      <c r="F1565">
        <v>3.2259304200000001</v>
      </c>
      <c r="G1565">
        <v>1.2896370800000001</v>
      </c>
      <c r="H1565">
        <v>2.6421801999999999</v>
      </c>
      <c r="I1565">
        <v>9.6783300000000006E-3</v>
      </c>
      <c r="J1565">
        <v>1</v>
      </c>
      <c r="K1565">
        <v>950075</v>
      </c>
      <c r="L1565">
        <f t="shared" si="216"/>
        <v>1.2407424692307692E-2</v>
      </c>
      <c r="M1565">
        <f t="shared" si="217"/>
        <v>4.9601426153846155E-3</v>
      </c>
      <c r="N1565">
        <f t="shared" si="218"/>
        <v>1.0162231538461538E-2</v>
      </c>
      <c r="O1565">
        <f t="shared" si="219"/>
        <v>7.561187076923076E-3</v>
      </c>
      <c r="P1565">
        <f t="shared" si="215"/>
        <v>15.981259678154196</v>
      </c>
      <c r="R1565">
        <f t="shared" si="220"/>
        <v>2.8918829389427084E-3</v>
      </c>
    </row>
    <row r="1566" spans="1:19" x14ac:dyDescent="0.2">
      <c r="A1566" t="s">
        <v>1577</v>
      </c>
      <c r="B1566">
        <v>5.7044296599999997</v>
      </c>
      <c r="C1566">
        <v>0.39120489000000003</v>
      </c>
      <c r="D1566">
        <v>5.8699488899999999</v>
      </c>
      <c r="E1566">
        <v>0.61238981000000003</v>
      </c>
      <c r="F1566">
        <v>3.22797753</v>
      </c>
      <c r="G1566">
        <v>1.30519534</v>
      </c>
      <c r="H1566">
        <v>2.7055212800000001</v>
      </c>
      <c r="I1566">
        <v>9.4957199999999992E-3</v>
      </c>
      <c r="J1566">
        <v>1</v>
      </c>
      <c r="K1566">
        <v>950075</v>
      </c>
      <c r="L1566">
        <f t="shared" si="216"/>
        <v>1.2415298192307692E-2</v>
      </c>
      <c r="M1566">
        <f t="shared" si="217"/>
        <v>5.0199820769230774E-3</v>
      </c>
      <c r="N1566">
        <f t="shared" si="218"/>
        <v>1.0405851076923078E-2</v>
      </c>
      <c r="O1566">
        <f t="shared" si="219"/>
        <v>7.7129165769230772E-3</v>
      </c>
      <c r="P1566">
        <f t="shared" si="215"/>
        <v>22.137668268523086</v>
      </c>
      <c r="R1566">
        <f t="shared" si="220"/>
        <v>3.7781852038821537E-3</v>
      </c>
    </row>
    <row r="1567" spans="1:19" x14ac:dyDescent="0.2">
      <c r="A1567" t="s">
        <v>1578</v>
      </c>
      <c r="B1567">
        <v>5.7700932800000002</v>
      </c>
      <c r="C1567">
        <v>0.52495128000000002</v>
      </c>
      <c r="D1567">
        <v>5.9400668599999999</v>
      </c>
      <c r="E1567">
        <v>0.53337177000000002</v>
      </c>
      <c r="F1567">
        <v>3.2350636800000001</v>
      </c>
      <c r="G1567">
        <v>1.31864746</v>
      </c>
      <c r="H1567">
        <v>2.76786048</v>
      </c>
      <c r="I1567">
        <v>9.4957199999999992E-3</v>
      </c>
      <c r="J1567">
        <v>1</v>
      </c>
      <c r="K1567">
        <v>950075</v>
      </c>
      <c r="L1567">
        <f t="shared" si="216"/>
        <v>1.2442552615384616E-2</v>
      </c>
      <c r="M1567">
        <f t="shared" si="217"/>
        <v>5.0717210000000004E-3</v>
      </c>
      <c r="N1567">
        <f t="shared" si="218"/>
        <v>1.0645617230769231E-2</v>
      </c>
      <c r="O1567">
        <f t="shared" si="219"/>
        <v>7.8586691153846155E-3</v>
      </c>
      <c r="P1567">
        <f t="shared" si="215"/>
        <v>29.706165722459598</v>
      </c>
      <c r="R1567">
        <f t="shared" si="220"/>
        <v>4.4747651181039506E-3</v>
      </c>
    </row>
    <row r="1568" spans="1:19" x14ac:dyDescent="0.2">
      <c r="A1568" t="s">
        <v>1579</v>
      </c>
      <c r="B1568">
        <v>5.8349782799999996</v>
      </c>
      <c r="C1568">
        <v>0.70556832000000003</v>
      </c>
      <c r="D1568">
        <v>6.0025076799999999</v>
      </c>
      <c r="E1568">
        <v>0.53337177000000002</v>
      </c>
      <c r="F1568">
        <v>3.2427797100000002</v>
      </c>
      <c r="G1568">
        <v>1.3302651999999999</v>
      </c>
      <c r="H1568">
        <v>2.8230751999999999</v>
      </c>
      <c r="I1568">
        <v>9.8609400000000003E-3</v>
      </c>
      <c r="J1568">
        <v>1</v>
      </c>
      <c r="K1568">
        <v>950075</v>
      </c>
      <c r="L1568">
        <f t="shared" si="216"/>
        <v>1.2472229653846154E-2</v>
      </c>
      <c r="M1568">
        <f t="shared" si="217"/>
        <v>5.1164046153846154E-3</v>
      </c>
      <c r="N1568">
        <f t="shared" si="218"/>
        <v>1.0857981538461538E-2</v>
      </c>
      <c r="O1568">
        <f t="shared" si="219"/>
        <v>7.9871930769230756E-3</v>
      </c>
      <c r="P1568">
        <f t="shared" si="215"/>
        <v>39.926999401615717</v>
      </c>
      <c r="R1568">
        <f t="shared" si="220"/>
        <v>2.7973222067542779E-3</v>
      </c>
    </row>
    <row r="1569" spans="1:19" x14ac:dyDescent="0.2">
      <c r="A1569" t="s">
        <v>1580</v>
      </c>
      <c r="B1569">
        <v>5.8715734199999998</v>
      </c>
      <c r="C1569">
        <v>0.82677186000000003</v>
      </c>
      <c r="D1569">
        <v>6.0429406700000001</v>
      </c>
      <c r="E1569">
        <v>0.53337177000000002</v>
      </c>
      <c r="F1569">
        <v>3.2601014099999999</v>
      </c>
      <c r="G1569">
        <v>1.3354286399999999</v>
      </c>
      <c r="H1569">
        <v>2.8514618</v>
      </c>
      <c r="I1569">
        <v>9.6783300000000006E-3</v>
      </c>
      <c r="J1569">
        <v>1</v>
      </c>
      <c r="K1569">
        <v>950075</v>
      </c>
      <c r="L1569">
        <f t="shared" si="216"/>
        <v>1.2538851576923077E-2</v>
      </c>
      <c r="M1569">
        <f t="shared" si="217"/>
        <v>5.1362639999999998E-3</v>
      </c>
      <c r="N1569">
        <f t="shared" si="218"/>
        <v>1.0967160769230769E-2</v>
      </c>
      <c r="O1569">
        <f t="shared" si="219"/>
        <v>8.0517123846153837E-3</v>
      </c>
      <c r="P1569">
        <f t="shared" si="215"/>
        <v>46.785716738944167</v>
      </c>
      <c r="R1569">
        <f t="shared" si="220"/>
        <v>9.2941376251916979E-4</v>
      </c>
    </row>
    <row r="1570" spans="1:19" x14ac:dyDescent="0.2">
      <c r="A1570" t="s">
        <v>1581</v>
      </c>
      <c r="B1570">
        <v>5.8816954800000003</v>
      </c>
      <c r="C1570">
        <v>0.85463018999999996</v>
      </c>
      <c r="D1570">
        <v>6.0526650599999998</v>
      </c>
      <c r="E1570">
        <v>0.47410824000000001</v>
      </c>
      <c r="F1570">
        <v>3.2793127499999999</v>
      </c>
      <c r="G1570">
        <v>1.33712714</v>
      </c>
      <c r="H1570">
        <v>2.8599221199999998</v>
      </c>
      <c r="I1570">
        <v>9.6783300000000006E-3</v>
      </c>
      <c r="J1570">
        <v>1</v>
      </c>
      <c r="K1570">
        <v>950075</v>
      </c>
      <c r="L1570">
        <f t="shared" si="216"/>
        <v>1.2612741346153845E-2</v>
      </c>
      <c r="M1570">
        <f t="shared" si="217"/>
        <v>5.1427966923076919E-3</v>
      </c>
      <c r="N1570">
        <f t="shared" si="218"/>
        <v>1.0999700461538461E-2</v>
      </c>
      <c r="O1570">
        <f t="shared" si="219"/>
        <v>8.0712485769230766E-3</v>
      </c>
      <c r="P1570">
        <f t="shared" si="215"/>
        <v>48.362175734778916</v>
      </c>
      <c r="R1570">
        <f t="shared" si="220"/>
        <v>2.9519760868782624E-4</v>
      </c>
    </row>
    <row r="1571" spans="1:19" x14ac:dyDescent="0.2">
      <c r="A1571" t="s">
        <v>1582</v>
      </c>
      <c r="B1571">
        <v>5.8850695000000002</v>
      </c>
      <c r="C1571">
        <v>0.85581845999999995</v>
      </c>
      <c r="D1571">
        <v>6.0572713499999997</v>
      </c>
      <c r="E1571">
        <v>0.47410824000000001</v>
      </c>
      <c r="F1571">
        <v>3.2919103500000002</v>
      </c>
      <c r="G1571">
        <v>1.3377386</v>
      </c>
      <c r="H1571">
        <v>2.8624824800000002</v>
      </c>
      <c r="I1571">
        <v>9.4957199999999992E-3</v>
      </c>
      <c r="J1571">
        <v>1</v>
      </c>
      <c r="K1571">
        <v>950075</v>
      </c>
      <c r="L1571">
        <f t="shared" si="216"/>
        <v>1.2661193653846155E-2</v>
      </c>
      <c r="M1571">
        <f t="shared" si="217"/>
        <v>5.1451484615384615E-3</v>
      </c>
      <c r="N1571">
        <f t="shared" si="218"/>
        <v>1.1009548000000001E-2</v>
      </c>
      <c r="O1571">
        <f t="shared" si="219"/>
        <v>8.0773482307692317E-3</v>
      </c>
      <c r="P1571">
        <f t="shared" si="215"/>
        <v>48.429418061615465</v>
      </c>
      <c r="R1571">
        <f t="shared" si="220"/>
        <v>-1.3331970061962445E-4</v>
      </c>
    </row>
    <row r="1572" spans="1:19" x14ac:dyDescent="0.2">
      <c r="A1572" t="s">
        <v>1583</v>
      </c>
      <c r="B1572">
        <v>5.8793596199999998</v>
      </c>
      <c r="C1572">
        <v>0.81554930999999997</v>
      </c>
      <c r="D1572">
        <v>6.0490823899999997</v>
      </c>
      <c r="E1572">
        <v>0.47410824000000001</v>
      </c>
      <c r="F1572">
        <v>3.3038780700000001</v>
      </c>
      <c r="G1572">
        <v>1.3379424200000001</v>
      </c>
      <c r="H1572">
        <v>2.86081268</v>
      </c>
      <c r="I1572">
        <v>9.6783300000000006E-3</v>
      </c>
      <c r="J1572">
        <v>1</v>
      </c>
      <c r="K1572">
        <v>950075</v>
      </c>
      <c r="L1572">
        <f t="shared" si="216"/>
        <v>1.2707223346153847E-2</v>
      </c>
      <c r="M1572">
        <f t="shared" si="217"/>
        <v>5.1459323846153853E-3</v>
      </c>
      <c r="N1572">
        <f t="shared" si="218"/>
        <v>1.1003125692307693E-2</v>
      </c>
      <c r="O1572">
        <f t="shared" si="219"/>
        <v>8.0745290384615382E-3</v>
      </c>
      <c r="P1572">
        <f t="shared" si="215"/>
        <v>46.150650318821157</v>
      </c>
      <c r="R1572">
        <f t="shared" si="220"/>
        <v>-1.0029879224007559E-3</v>
      </c>
    </row>
    <row r="1573" spans="1:19" x14ac:dyDescent="0.2">
      <c r="A1573" t="s">
        <v>1584</v>
      </c>
      <c r="B1573">
        <v>5.8666421599999996</v>
      </c>
      <c r="C1573">
        <v>0.70596440999999999</v>
      </c>
      <c r="D1573">
        <v>6.0398698099999999</v>
      </c>
      <c r="E1573">
        <v>0.47410824000000001</v>
      </c>
      <c r="F1573">
        <v>3.3186802499999999</v>
      </c>
      <c r="G1573">
        <v>1.3377386</v>
      </c>
      <c r="H1573">
        <v>2.8489014400000001</v>
      </c>
      <c r="I1573">
        <v>9.6783300000000006E-3</v>
      </c>
      <c r="J1573">
        <v>1</v>
      </c>
      <c r="K1573">
        <v>950075</v>
      </c>
      <c r="L1573">
        <f t="shared" si="216"/>
        <v>1.2764154807692307E-2</v>
      </c>
      <c r="M1573">
        <f t="shared" si="217"/>
        <v>5.1451484615384615E-3</v>
      </c>
      <c r="N1573">
        <f t="shared" si="218"/>
        <v>1.0957313230769232E-2</v>
      </c>
      <c r="O1573">
        <f t="shared" si="219"/>
        <v>8.0512308461538461E-3</v>
      </c>
      <c r="P1573">
        <f t="shared" si="215"/>
        <v>39.949413510561229</v>
      </c>
      <c r="R1573">
        <f t="shared" si="220"/>
        <v>-1.046171632061209E-3</v>
      </c>
    </row>
    <row r="1574" spans="1:19" x14ac:dyDescent="0.2">
      <c r="A1574" t="s">
        <v>1585</v>
      </c>
      <c r="B1574">
        <v>5.8476957399999998</v>
      </c>
      <c r="C1574">
        <v>0.61248716999999997</v>
      </c>
      <c r="D1574">
        <v>6.0214446500000003</v>
      </c>
      <c r="E1574">
        <v>0.41484471000000001</v>
      </c>
      <c r="F1574">
        <v>3.3273410999999999</v>
      </c>
      <c r="G1574">
        <v>1.3377386</v>
      </c>
      <c r="H1574">
        <v>2.8343185200000001</v>
      </c>
      <c r="I1574">
        <v>9.3131099999999994E-3</v>
      </c>
      <c r="J1574">
        <v>1</v>
      </c>
      <c r="K1574">
        <v>950075</v>
      </c>
      <c r="L1574">
        <f t="shared" si="216"/>
        <v>1.2797465769230769E-2</v>
      </c>
      <c r="M1574">
        <f t="shared" si="217"/>
        <v>5.1451484615384615E-3</v>
      </c>
      <c r="N1574">
        <f t="shared" si="218"/>
        <v>1.0901225076923078E-2</v>
      </c>
      <c r="O1574">
        <f t="shared" si="219"/>
        <v>8.0231867692307692E-3</v>
      </c>
      <c r="P1574">
        <f t="shared" si="215"/>
        <v>34.659683799419028</v>
      </c>
      <c r="R1574">
        <f t="shared" si="220"/>
        <v>-1.3556505878238819E-3</v>
      </c>
    </row>
    <row r="1575" spans="1:19" x14ac:dyDescent="0.2">
      <c r="A1575" t="s">
        <v>1586</v>
      </c>
      <c r="B1575">
        <v>5.8271920799999997</v>
      </c>
      <c r="C1575">
        <v>0.51980210999999998</v>
      </c>
      <c r="D1575">
        <v>5.9948305299999998</v>
      </c>
      <c r="E1575">
        <v>0.41484471000000001</v>
      </c>
      <c r="F1575">
        <v>3.3322226700000002</v>
      </c>
      <c r="G1575">
        <v>1.3373309600000001</v>
      </c>
      <c r="H1575">
        <v>2.8127224399999999</v>
      </c>
      <c r="I1575">
        <v>9.3131099999999994E-3</v>
      </c>
      <c r="J1575">
        <v>1</v>
      </c>
      <c r="K1575">
        <v>950075</v>
      </c>
      <c r="L1575">
        <f t="shared" si="216"/>
        <v>1.2816241038461539E-2</v>
      </c>
      <c r="M1575">
        <f t="shared" si="217"/>
        <v>5.1435806153846157E-3</v>
      </c>
      <c r="N1575">
        <f t="shared" si="218"/>
        <v>1.0818163230769231E-2</v>
      </c>
      <c r="O1575">
        <f t="shared" si="219"/>
        <v>7.9808719230769227E-3</v>
      </c>
      <c r="P1575">
        <f t="shared" si="215"/>
        <v>29.414782306167865</v>
      </c>
      <c r="R1575">
        <f t="shared" si="220"/>
        <v>-2.058340195753636E-3</v>
      </c>
    </row>
    <row r="1576" spans="1:19" x14ac:dyDescent="0.2">
      <c r="A1576" t="s">
        <v>1587</v>
      </c>
      <c r="B1576">
        <v>5.7924137199999999</v>
      </c>
      <c r="C1576">
        <v>0.41747886000000001</v>
      </c>
      <c r="D1576">
        <v>5.9492794399999998</v>
      </c>
      <c r="E1576">
        <v>0.41484471000000001</v>
      </c>
      <c r="F1576">
        <v>3.33647436</v>
      </c>
      <c r="G1576">
        <v>1.3329827999999999</v>
      </c>
      <c r="H1576">
        <v>2.7767104200000001</v>
      </c>
      <c r="I1576">
        <v>9.8609400000000003E-3</v>
      </c>
      <c r="J1576">
        <v>1</v>
      </c>
      <c r="K1576">
        <v>950075</v>
      </c>
      <c r="L1576">
        <f t="shared" si="216"/>
        <v>1.2832593692307692E-2</v>
      </c>
      <c r="M1576">
        <f t="shared" si="217"/>
        <v>5.126856923076923E-3</v>
      </c>
      <c r="N1576">
        <f t="shared" si="218"/>
        <v>1.0679655461538462E-2</v>
      </c>
      <c r="O1576">
        <f t="shared" si="219"/>
        <v>7.9032561923076932E-3</v>
      </c>
      <c r="P1576">
        <f t="shared" si="215"/>
        <v>23.624470828575767</v>
      </c>
      <c r="R1576">
        <f t="shared" si="220"/>
        <v>-2.2051496853113788E-3</v>
      </c>
    </row>
    <row r="1577" spans="1:19" x14ac:dyDescent="0.2">
      <c r="A1577" t="s">
        <v>1588</v>
      </c>
      <c r="B1577">
        <v>5.74543698</v>
      </c>
      <c r="C1577">
        <v>0.32228522999999998</v>
      </c>
      <c r="D1577">
        <v>5.9011693000000003</v>
      </c>
      <c r="E1577">
        <v>0.41484471000000001</v>
      </c>
      <c r="F1577">
        <v>3.33647436</v>
      </c>
      <c r="G1577">
        <v>1.3248979400000001</v>
      </c>
      <c r="H1577">
        <v>2.7300116800000001</v>
      </c>
      <c r="I1577">
        <v>9.8609400000000003E-3</v>
      </c>
      <c r="J1577">
        <v>1</v>
      </c>
      <c r="K1577">
        <v>950075</v>
      </c>
      <c r="L1577">
        <f t="shared" si="216"/>
        <v>1.2832593692307692E-2</v>
      </c>
      <c r="M1577">
        <f t="shared" si="217"/>
        <v>5.0957613076923081E-3</v>
      </c>
      <c r="N1577">
        <f t="shared" si="218"/>
        <v>1.0500044923076924E-2</v>
      </c>
      <c r="O1577">
        <f t="shared" si="219"/>
        <v>7.7979031153846152E-3</v>
      </c>
      <c r="P1577">
        <f t="shared" si="215"/>
        <v>18.237613312002985</v>
      </c>
      <c r="R1577">
        <f t="shared" si="220"/>
        <v>-1.9871436120474022E-3</v>
      </c>
      <c r="S1577">
        <f>ABS(SUMIFS($R:$R,$K:$K,K1577))</f>
        <v>5.1450000412652961E-3</v>
      </c>
    </row>
    <row r="1578" spans="1:19" x14ac:dyDescent="0.2">
      <c r="A1578" t="s">
        <v>1589</v>
      </c>
      <c r="B1578">
        <v>5.6987197800000002</v>
      </c>
      <c r="C1578">
        <v>0.23976648</v>
      </c>
      <c r="D1578">
        <v>5.8448701999999999</v>
      </c>
      <c r="E1578">
        <v>0.41484471000000001</v>
      </c>
      <c r="F1578">
        <v>3.3293882099999998</v>
      </c>
      <c r="G1578">
        <v>1.31307638</v>
      </c>
      <c r="H1578">
        <v>2.6768563799999998</v>
      </c>
      <c r="I1578">
        <v>9.8609400000000003E-3</v>
      </c>
      <c r="J1578">
        <v>1</v>
      </c>
      <c r="K1578">
        <v>950075</v>
      </c>
      <c r="L1578">
        <f t="shared" si="216"/>
        <v>1.2805339269230769E-2</v>
      </c>
      <c r="M1578">
        <f t="shared" si="217"/>
        <v>5.0502937692307693E-3</v>
      </c>
      <c r="N1578">
        <f t="shared" si="218"/>
        <v>1.0295601461538462E-2</v>
      </c>
      <c r="O1578">
        <f t="shared" si="219"/>
        <v>7.6729476153846151E-3</v>
      </c>
      <c r="P1578">
        <f t="shared" si="215"/>
        <v>13.568007281686777</v>
      </c>
      <c r="R1578">
        <f t="shared" si="220"/>
        <v>-1.5170311089982211E-3</v>
      </c>
    </row>
    <row r="1579" spans="1:19" x14ac:dyDescent="0.2">
      <c r="A1579" t="s">
        <v>1590</v>
      </c>
      <c r="B1579">
        <v>5.6442163799999996</v>
      </c>
      <c r="C1579">
        <v>0.16477343999999999</v>
      </c>
      <c r="D1579">
        <v>5.7870356699999999</v>
      </c>
      <c r="E1579">
        <v>0.47410824000000001</v>
      </c>
      <c r="F1579">
        <v>3.3163182</v>
      </c>
      <c r="G1579">
        <v>1.29853722</v>
      </c>
      <c r="H1579">
        <v>2.62247656</v>
      </c>
      <c r="I1579">
        <v>9.6783300000000006E-3</v>
      </c>
      <c r="J1579">
        <v>1</v>
      </c>
      <c r="K1579">
        <v>950075</v>
      </c>
      <c r="L1579">
        <f t="shared" si="216"/>
        <v>1.275507E-2</v>
      </c>
      <c r="M1579">
        <f t="shared" si="217"/>
        <v>4.9943739230769229E-3</v>
      </c>
      <c r="N1579">
        <f t="shared" si="218"/>
        <v>1.0086448307692307E-2</v>
      </c>
      <c r="O1579">
        <f t="shared" si="219"/>
        <v>7.5404111153846154E-3</v>
      </c>
      <c r="P1579">
        <f t="shared" si="215"/>
        <v>9.3242693213354055</v>
      </c>
      <c r="R1579">
        <f t="shared" si="220"/>
        <v>-9.8921525821222666E-4</v>
      </c>
    </row>
    <row r="1580" spans="1:19" x14ac:dyDescent="0.2">
      <c r="A1580" t="s">
        <v>1591</v>
      </c>
      <c r="B1580">
        <v>5.5925679199999996</v>
      </c>
      <c r="C1580">
        <v>9.9946709999999994E-2</v>
      </c>
      <c r="D1580">
        <v>5.7353428600000003</v>
      </c>
      <c r="E1580">
        <v>0.79018040000000001</v>
      </c>
      <c r="F1580">
        <v>3.3024608400000002</v>
      </c>
      <c r="G1580">
        <v>1.28318278</v>
      </c>
      <c r="H1580">
        <v>2.5691542799999998</v>
      </c>
      <c r="I1580">
        <v>9.8609400000000003E-3</v>
      </c>
      <c r="J1580">
        <v>1</v>
      </c>
      <c r="K1580">
        <v>950075</v>
      </c>
      <c r="L1580">
        <f t="shared" si="216"/>
        <v>1.2701772461538462E-2</v>
      </c>
      <c r="M1580">
        <f t="shared" si="217"/>
        <v>4.9353183846153848E-3</v>
      </c>
      <c r="N1580">
        <f t="shared" si="218"/>
        <v>9.8813626153846142E-3</v>
      </c>
      <c r="O1580">
        <f t="shared" si="219"/>
        <v>7.4083405E-3</v>
      </c>
      <c r="P1580">
        <f t="shared" si="215"/>
        <v>5.6558268239189919</v>
      </c>
      <c r="R1580">
        <f t="shared" si="220"/>
        <v>-3.9655263877129003E-4</v>
      </c>
    </row>
    <row r="1581" spans="1:19" x14ac:dyDescent="0.2">
      <c r="A1581" t="s">
        <v>1592</v>
      </c>
      <c r="B1581">
        <v>5.5523392200000004</v>
      </c>
      <c r="C1581">
        <v>5.4000270000000003E-2</v>
      </c>
      <c r="D1581">
        <v>5.69490987</v>
      </c>
      <c r="E1581">
        <v>1.0864980500000001</v>
      </c>
      <c r="F1581">
        <v>3.2823046800000002</v>
      </c>
      <c r="G1581">
        <v>1.2728558999999999</v>
      </c>
      <c r="H1581">
        <v>2.53214038</v>
      </c>
      <c r="I1581">
        <v>1.004355E-2</v>
      </c>
      <c r="J1581">
        <v>1</v>
      </c>
      <c r="K1581">
        <v>950075</v>
      </c>
      <c r="L1581">
        <f t="shared" si="216"/>
        <v>1.262424876923077E-2</v>
      </c>
      <c r="M1581">
        <f t="shared" si="217"/>
        <v>4.8955996153846153E-3</v>
      </c>
      <c r="N1581">
        <f t="shared" si="218"/>
        <v>9.7390014615384608E-3</v>
      </c>
      <c r="O1581">
        <f t="shared" si="219"/>
        <v>7.3173005384615389E-3</v>
      </c>
      <c r="P1581">
        <f t="shared" si="215"/>
        <v>3.0557901862389274</v>
      </c>
      <c r="R1581">
        <f t="shared" si="220"/>
        <v>-7.6533003443149432E-5</v>
      </c>
    </row>
    <row r="1582" spans="1:19" x14ac:dyDescent="0.2">
      <c r="A1582" t="s">
        <v>1593</v>
      </c>
      <c r="B1582">
        <v>5.5404003800000003</v>
      </c>
      <c r="C1582">
        <v>5.1227639999999998E-2</v>
      </c>
      <c r="D1582">
        <v>5.6836500499999998</v>
      </c>
      <c r="E1582">
        <v>1.0864980500000001</v>
      </c>
      <c r="F1582">
        <v>3.2605738199999998</v>
      </c>
      <c r="G1582">
        <v>1.26973066</v>
      </c>
      <c r="H1582">
        <v>2.5218989399999998</v>
      </c>
      <c r="I1582">
        <v>9.8609400000000003E-3</v>
      </c>
      <c r="J1582">
        <v>1</v>
      </c>
      <c r="K1582">
        <v>950075</v>
      </c>
      <c r="L1582">
        <f t="shared" si="216"/>
        <v>1.2540668538461537E-2</v>
      </c>
      <c r="M1582">
        <f t="shared" si="217"/>
        <v>4.8835794615384618E-3</v>
      </c>
      <c r="N1582">
        <f t="shared" si="218"/>
        <v>9.6996113076923077E-3</v>
      </c>
      <c r="O1582">
        <f t="shared" si="219"/>
        <v>7.2915953846153844E-3</v>
      </c>
      <c r="P1582">
        <f t="shared" si="215"/>
        <v>2.8988914236203027</v>
      </c>
      <c r="R1582">
        <f t="shared" si="220"/>
        <v>1.7172209304911235E-4</v>
      </c>
    </row>
    <row r="1583" spans="1:19" x14ac:dyDescent="0.2">
      <c r="A1583" t="s">
        <v>1594</v>
      </c>
      <c r="B1583">
        <v>5.5577895599999998</v>
      </c>
      <c r="C1583">
        <v>0.10641618</v>
      </c>
      <c r="D1583">
        <v>5.7041224499999998</v>
      </c>
      <c r="E1583">
        <v>1.0864980500000001</v>
      </c>
      <c r="F1583">
        <v>3.2441969400000001</v>
      </c>
      <c r="G1583">
        <v>1.2693230200000001</v>
      </c>
      <c r="H1583">
        <v>2.54232616</v>
      </c>
      <c r="I1583">
        <v>9.8609400000000003E-3</v>
      </c>
      <c r="J1583">
        <v>1</v>
      </c>
      <c r="K1583">
        <v>950075</v>
      </c>
      <c r="L1583">
        <f t="shared" si="216"/>
        <v>1.2477680538461539E-2</v>
      </c>
      <c r="M1583">
        <f t="shared" si="217"/>
        <v>4.882011615384616E-3</v>
      </c>
      <c r="N1583">
        <f t="shared" si="218"/>
        <v>9.7781775384615383E-3</v>
      </c>
      <c r="O1583">
        <f t="shared" si="219"/>
        <v>7.3300945769230767E-3</v>
      </c>
      <c r="P1583">
        <f t="shared" si="215"/>
        <v>6.0219239366957833</v>
      </c>
      <c r="R1583">
        <f t="shared" si="220"/>
        <v>7.8837630961256934E-4</v>
      </c>
    </row>
    <row r="1584" spans="1:19" x14ac:dyDescent="0.2">
      <c r="A1584" t="s">
        <v>1595</v>
      </c>
      <c r="B1584">
        <v>5.5967205599999996</v>
      </c>
      <c r="C1584">
        <v>0.18814275</v>
      </c>
      <c r="D1584">
        <v>5.7414845799999998</v>
      </c>
      <c r="E1584">
        <v>0.96797098999999998</v>
      </c>
      <c r="F1584">
        <v>3.2327016300000002</v>
      </c>
      <c r="G1584">
        <v>1.2757093799999999</v>
      </c>
      <c r="H1584">
        <v>2.5851286999999998</v>
      </c>
      <c r="I1584">
        <v>9.8609400000000003E-3</v>
      </c>
      <c r="J1584">
        <v>1</v>
      </c>
      <c r="K1584">
        <v>950076</v>
      </c>
      <c r="L1584">
        <f t="shared" si="216"/>
        <v>1.2433467807692309E-2</v>
      </c>
      <c r="M1584">
        <f t="shared" si="217"/>
        <v>4.9065745384615379E-3</v>
      </c>
      <c r="N1584">
        <f t="shared" si="218"/>
        <v>9.9428026923076909E-3</v>
      </c>
      <c r="O1584">
        <f t="shared" si="219"/>
        <v>7.4246886153846153E-3</v>
      </c>
      <c r="P1584">
        <f t="shared" si="215"/>
        <v>10.646701749120957</v>
      </c>
      <c r="Q1584">
        <f t="shared" ref="Q1584" si="223">ABS(0.5*(SUMPRODUCT(O1584:O1602,P1585:P1603)+O1603*P1584-(SUMPRODUCT(O1585:O1603,P1584:P1602)+O1584*P1603)))</f>
        <v>5.2313040378528797E-3</v>
      </c>
      <c r="R1584">
        <f t="shared" si="220"/>
        <v>1.815170021919908E-3</v>
      </c>
    </row>
    <row r="1585" spans="1:19" x14ac:dyDescent="0.2">
      <c r="A1585" t="s">
        <v>1596</v>
      </c>
      <c r="B1585">
        <v>5.6481094799999996</v>
      </c>
      <c r="C1585">
        <v>0.28320434999999999</v>
      </c>
      <c r="D1585">
        <v>5.8039253999999998</v>
      </c>
      <c r="E1585">
        <v>0.96797098999999998</v>
      </c>
      <c r="F1585">
        <v>3.2240407800000002</v>
      </c>
      <c r="G1585">
        <v>1.28943326</v>
      </c>
      <c r="H1585">
        <v>2.6421801999999999</v>
      </c>
      <c r="I1585">
        <v>9.8609400000000003E-3</v>
      </c>
      <c r="J1585">
        <v>1</v>
      </c>
      <c r="K1585">
        <v>950076</v>
      </c>
      <c r="L1585">
        <f t="shared" si="216"/>
        <v>1.2400156846153847E-2</v>
      </c>
      <c r="M1585">
        <f t="shared" si="217"/>
        <v>4.9593586923076926E-3</v>
      </c>
      <c r="N1585">
        <f t="shared" si="218"/>
        <v>1.0162231538461538E-2</v>
      </c>
      <c r="O1585">
        <f t="shared" si="219"/>
        <v>7.5607951153846154E-3</v>
      </c>
      <c r="P1585">
        <f t="shared" si="215"/>
        <v>16.02608789604523</v>
      </c>
      <c r="R1585">
        <f t="shared" si="220"/>
        <v>2.9078776832936189E-3</v>
      </c>
    </row>
    <row r="1586" spans="1:19" x14ac:dyDescent="0.2">
      <c r="A1586" t="s">
        <v>1597</v>
      </c>
      <c r="B1586">
        <v>5.7091013799999999</v>
      </c>
      <c r="C1586">
        <v>0.39239316000000002</v>
      </c>
      <c r="D1586">
        <v>5.8730197500000001</v>
      </c>
      <c r="E1586">
        <v>0.73091687000000005</v>
      </c>
      <c r="F1586">
        <v>3.2240407800000002</v>
      </c>
      <c r="G1586">
        <v>1.30519534</v>
      </c>
      <c r="H1586">
        <v>2.7055212800000001</v>
      </c>
      <c r="I1586">
        <v>9.8609400000000003E-3</v>
      </c>
      <c r="J1586">
        <v>1</v>
      </c>
      <c r="K1586">
        <v>950076</v>
      </c>
      <c r="L1586">
        <f t="shared" si="216"/>
        <v>1.2400156846153847E-2</v>
      </c>
      <c r="M1586">
        <f t="shared" si="217"/>
        <v>5.0199820769230774E-3</v>
      </c>
      <c r="N1586">
        <f t="shared" si="218"/>
        <v>1.0405851076923078E-2</v>
      </c>
      <c r="O1586">
        <f t="shared" si="219"/>
        <v>7.7129165769230772E-3</v>
      </c>
      <c r="P1586">
        <f t="shared" si="215"/>
        <v>22.204910595359639</v>
      </c>
      <c r="R1586">
        <f t="shared" si="220"/>
        <v>3.8374423439160622E-3</v>
      </c>
    </row>
    <row r="1587" spans="1:19" x14ac:dyDescent="0.2">
      <c r="A1587" t="s">
        <v>1598</v>
      </c>
      <c r="B1587">
        <v>5.7708719000000004</v>
      </c>
      <c r="C1587">
        <v>0.52666767000000003</v>
      </c>
      <c r="D1587">
        <v>5.9385314300000003</v>
      </c>
      <c r="E1587">
        <v>0.61238981000000003</v>
      </c>
      <c r="F1587">
        <v>3.2327016300000002</v>
      </c>
      <c r="G1587">
        <v>1.31925892</v>
      </c>
      <c r="H1587">
        <v>2.7681944399999998</v>
      </c>
      <c r="I1587">
        <v>9.8609400000000003E-3</v>
      </c>
      <c r="J1587">
        <v>1</v>
      </c>
      <c r="K1587">
        <v>950076</v>
      </c>
      <c r="L1587">
        <f t="shared" si="216"/>
        <v>1.2433467807692309E-2</v>
      </c>
      <c r="M1587">
        <f t="shared" si="217"/>
        <v>5.0740727692307691E-3</v>
      </c>
      <c r="N1587">
        <f t="shared" si="218"/>
        <v>1.0646901692307692E-2</v>
      </c>
      <c r="O1587">
        <f t="shared" si="219"/>
        <v>7.8604872307692294E-3</v>
      </c>
      <c r="P1587">
        <f t="shared" si="215"/>
        <v>29.803293527890176</v>
      </c>
      <c r="R1587">
        <f t="shared" si="220"/>
        <v>4.4092549503021465E-3</v>
      </c>
    </row>
    <row r="1588" spans="1:19" x14ac:dyDescent="0.2">
      <c r="A1588" t="s">
        <v>1599</v>
      </c>
      <c r="B1588">
        <v>5.83264242</v>
      </c>
      <c r="C1588">
        <v>0.70636049999999995</v>
      </c>
      <c r="D1588">
        <v>6.0025076799999999</v>
      </c>
      <c r="E1588">
        <v>0.53337177000000002</v>
      </c>
      <c r="F1588">
        <v>3.2457716400000001</v>
      </c>
      <c r="G1588">
        <v>1.3302651999999999</v>
      </c>
      <c r="H1588">
        <v>2.82290822</v>
      </c>
      <c r="I1588">
        <v>9.8609400000000003E-3</v>
      </c>
      <c r="J1588">
        <v>1</v>
      </c>
      <c r="K1588">
        <v>950076</v>
      </c>
      <c r="L1588">
        <f t="shared" si="216"/>
        <v>1.2483737076923077E-2</v>
      </c>
      <c r="M1588">
        <f t="shared" si="217"/>
        <v>5.1164046153846154E-3</v>
      </c>
      <c r="N1588">
        <f t="shared" si="218"/>
        <v>1.0857339307692308E-2</v>
      </c>
      <c r="O1588">
        <f t="shared" si="219"/>
        <v>7.9868719615384613E-3</v>
      </c>
      <c r="P1588">
        <f t="shared" si="215"/>
        <v>39.971827619506747</v>
      </c>
      <c r="R1588">
        <f t="shared" si="220"/>
        <v>2.8251669939487853E-3</v>
      </c>
    </row>
    <row r="1589" spans="1:19" x14ac:dyDescent="0.2">
      <c r="A1589" t="s">
        <v>1600</v>
      </c>
      <c r="B1589">
        <v>5.8707947999999996</v>
      </c>
      <c r="C1589">
        <v>0.82597967999999999</v>
      </c>
      <c r="D1589">
        <v>6.0429406700000001</v>
      </c>
      <c r="E1589">
        <v>0.53337177000000002</v>
      </c>
      <c r="F1589">
        <v>3.2586841799999999</v>
      </c>
      <c r="G1589">
        <v>1.3354286399999999</v>
      </c>
      <c r="H1589">
        <v>2.85162878</v>
      </c>
      <c r="I1589">
        <v>9.6783300000000006E-3</v>
      </c>
      <c r="J1589">
        <v>1</v>
      </c>
      <c r="K1589">
        <v>950076</v>
      </c>
      <c r="L1589">
        <f t="shared" si="216"/>
        <v>1.2533400692307692E-2</v>
      </c>
      <c r="M1589">
        <f t="shared" si="217"/>
        <v>5.1362639999999998E-3</v>
      </c>
      <c r="N1589">
        <f t="shared" si="218"/>
        <v>1.0967803E-2</v>
      </c>
      <c r="O1589">
        <f t="shared" si="219"/>
        <v>8.0520334999999998E-3</v>
      </c>
      <c r="P1589">
        <f t="shared" si="215"/>
        <v>46.74088852105313</v>
      </c>
      <c r="R1589">
        <f t="shared" si="220"/>
        <v>8.9169913279828943E-4</v>
      </c>
    </row>
    <row r="1590" spans="1:19" x14ac:dyDescent="0.2">
      <c r="A1590" t="s">
        <v>1601</v>
      </c>
      <c r="B1590">
        <v>5.8809168600000001</v>
      </c>
      <c r="C1590">
        <v>0.85463018999999996</v>
      </c>
      <c r="D1590">
        <v>6.0542004900000004</v>
      </c>
      <c r="E1590">
        <v>0.53337177000000002</v>
      </c>
      <c r="F1590">
        <v>3.27647829</v>
      </c>
      <c r="G1590">
        <v>1.3367195000000001</v>
      </c>
      <c r="H1590">
        <v>2.8600891000000002</v>
      </c>
      <c r="I1590">
        <v>9.6783300000000006E-3</v>
      </c>
      <c r="J1590">
        <v>1</v>
      </c>
      <c r="K1590">
        <v>950076</v>
      </c>
      <c r="L1590">
        <f t="shared" si="216"/>
        <v>1.2601839576923077E-2</v>
      </c>
      <c r="M1590">
        <f t="shared" si="217"/>
        <v>5.1412288461538461E-3</v>
      </c>
      <c r="N1590">
        <f t="shared" si="218"/>
        <v>1.1000342692307694E-2</v>
      </c>
      <c r="O1590">
        <f t="shared" si="219"/>
        <v>8.0707857692307698E-3</v>
      </c>
      <c r="P1590">
        <f t="shared" si="215"/>
        <v>48.362175734778916</v>
      </c>
      <c r="R1590">
        <f t="shared" si="220"/>
        <v>3.1402139592060679E-4</v>
      </c>
    </row>
    <row r="1591" spans="1:19" x14ac:dyDescent="0.2">
      <c r="A1591" t="s">
        <v>1602</v>
      </c>
      <c r="B1591">
        <v>5.8816954800000003</v>
      </c>
      <c r="C1591">
        <v>0.85502628000000003</v>
      </c>
      <c r="D1591">
        <v>6.0542004900000004</v>
      </c>
      <c r="E1591">
        <v>0.47410824000000001</v>
      </c>
      <c r="F1591">
        <v>3.2933275800000001</v>
      </c>
      <c r="G1591">
        <v>1.3375347799999999</v>
      </c>
      <c r="H1591">
        <v>2.8626494600000001</v>
      </c>
      <c r="I1591">
        <v>9.6783300000000006E-3</v>
      </c>
      <c r="J1591">
        <v>1</v>
      </c>
      <c r="K1591">
        <v>950076</v>
      </c>
      <c r="L1591">
        <f t="shared" si="216"/>
        <v>1.2666644538461539E-2</v>
      </c>
      <c r="M1591">
        <f t="shared" si="217"/>
        <v>5.1443645384615377E-3</v>
      </c>
      <c r="N1591">
        <f t="shared" si="218"/>
        <v>1.1010190230769231E-2</v>
      </c>
      <c r="O1591">
        <f t="shared" si="219"/>
        <v>8.0772773846153854E-3</v>
      </c>
      <c r="P1591">
        <f t="shared" si="215"/>
        <v>48.384589843724434</v>
      </c>
      <c r="R1591">
        <f t="shared" si="220"/>
        <v>-8.4492729398507132E-5</v>
      </c>
    </row>
    <row r="1592" spans="1:19" x14ac:dyDescent="0.2">
      <c r="A1592" t="s">
        <v>1603</v>
      </c>
      <c r="B1592">
        <v>5.8785809999999996</v>
      </c>
      <c r="C1592">
        <v>0.81792584999999995</v>
      </c>
      <c r="D1592">
        <v>6.0542004900000004</v>
      </c>
      <c r="E1592">
        <v>0.47410824000000001</v>
      </c>
      <c r="F1592">
        <v>3.3048228900000001</v>
      </c>
      <c r="G1592">
        <v>1.3379424200000001</v>
      </c>
      <c r="H1592">
        <v>2.8613136199999998</v>
      </c>
      <c r="I1592">
        <v>9.4957199999999992E-3</v>
      </c>
      <c r="J1592">
        <v>1</v>
      </c>
      <c r="K1592">
        <v>950076</v>
      </c>
      <c r="L1592">
        <f t="shared" si="216"/>
        <v>1.2710857269230769E-2</v>
      </c>
      <c r="M1592">
        <f t="shared" si="217"/>
        <v>5.1459323846153853E-3</v>
      </c>
      <c r="N1592">
        <f t="shared" si="218"/>
        <v>1.1005052384615384E-2</v>
      </c>
      <c r="O1592">
        <f t="shared" si="219"/>
        <v>8.0754923846153848E-3</v>
      </c>
      <c r="P1592">
        <f t="shared" si="215"/>
        <v>46.285134972494262</v>
      </c>
      <c r="R1592">
        <f t="shared" si="220"/>
        <v>-1.0526406929020878E-3</v>
      </c>
    </row>
    <row r="1593" spans="1:19" x14ac:dyDescent="0.2">
      <c r="A1593" t="s">
        <v>1604</v>
      </c>
      <c r="B1593">
        <v>5.8643063</v>
      </c>
      <c r="C1593">
        <v>0.70424801999999997</v>
      </c>
      <c r="D1593">
        <v>6.0367989499999997</v>
      </c>
      <c r="E1593">
        <v>0.47410824000000001</v>
      </c>
      <c r="F1593">
        <v>3.31679061</v>
      </c>
      <c r="G1593">
        <v>1.3381462399999999</v>
      </c>
      <c r="H1593">
        <v>2.8484004999999999</v>
      </c>
      <c r="I1593">
        <v>9.4957199999999992E-3</v>
      </c>
      <c r="J1593">
        <v>1</v>
      </c>
      <c r="K1593">
        <v>950076</v>
      </c>
      <c r="L1593">
        <f t="shared" si="216"/>
        <v>1.2756886961538462E-2</v>
      </c>
      <c r="M1593">
        <f t="shared" si="217"/>
        <v>5.1467163076923074E-3</v>
      </c>
      <c r="N1593">
        <f t="shared" si="218"/>
        <v>1.0955386538461538E-2</v>
      </c>
      <c r="O1593">
        <f t="shared" si="219"/>
        <v>8.0510514230769225E-3</v>
      </c>
      <c r="P1593">
        <f t="shared" si="215"/>
        <v>39.852285705130654</v>
      </c>
      <c r="R1593">
        <f t="shared" si="220"/>
        <v>-1.0468189745163235E-3</v>
      </c>
    </row>
    <row r="1594" spans="1:19" x14ac:dyDescent="0.2">
      <c r="A1594" t="s">
        <v>1605</v>
      </c>
      <c r="B1594">
        <v>5.84847436</v>
      </c>
      <c r="C1594">
        <v>0.61169499000000005</v>
      </c>
      <c r="D1594">
        <v>6.0193974099999998</v>
      </c>
      <c r="E1594">
        <v>0.47410824000000001</v>
      </c>
      <c r="F1594">
        <v>3.3273410999999999</v>
      </c>
      <c r="G1594">
        <v>1.3379424200000001</v>
      </c>
      <c r="H1594">
        <v>2.8339845600000002</v>
      </c>
      <c r="I1594">
        <v>9.3131099999999994E-3</v>
      </c>
      <c r="J1594">
        <v>1</v>
      </c>
      <c r="K1594">
        <v>950076</v>
      </c>
      <c r="L1594">
        <f t="shared" si="216"/>
        <v>1.2797465769230769E-2</v>
      </c>
      <c r="M1594">
        <f t="shared" si="217"/>
        <v>5.1459323846153853E-3</v>
      </c>
      <c r="N1594">
        <f t="shared" si="218"/>
        <v>1.0899940615384617E-2</v>
      </c>
      <c r="O1594">
        <f t="shared" si="219"/>
        <v>8.0229365000000011E-3</v>
      </c>
      <c r="P1594">
        <f t="shared" si="215"/>
        <v>34.614855581527998</v>
      </c>
      <c r="R1594">
        <f t="shared" si="220"/>
        <v>-1.2886057284251218E-3</v>
      </c>
    </row>
    <row r="1595" spans="1:19" x14ac:dyDescent="0.2">
      <c r="A1595" t="s">
        <v>1606</v>
      </c>
      <c r="B1595">
        <v>5.8240775999999999</v>
      </c>
      <c r="C1595">
        <v>0.52297083</v>
      </c>
      <c r="D1595">
        <v>5.9917596700000004</v>
      </c>
      <c r="E1595">
        <v>0.47410824000000001</v>
      </c>
      <c r="F1595">
        <v>3.3331674900000001</v>
      </c>
      <c r="G1595">
        <v>1.3373309600000001</v>
      </c>
      <c r="H1595">
        <v>2.8137243199999999</v>
      </c>
      <c r="I1595">
        <v>9.4957199999999992E-3</v>
      </c>
      <c r="J1595">
        <v>1</v>
      </c>
      <c r="K1595">
        <v>950076</v>
      </c>
      <c r="L1595">
        <f t="shared" si="216"/>
        <v>1.2819874961538462E-2</v>
      </c>
      <c r="M1595">
        <f t="shared" si="217"/>
        <v>5.1435806153846157E-3</v>
      </c>
      <c r="N1595">
        <f t="shared" si="218"/>
        <v>1.0822016615384615E-2</v>
      </c>
      <c r="O1595">
        <f t="shared" si="219"/>
        <v>7.9827986153846141E-3</v>
      </c>
      <c r="P1595">
        <f t="shared" si="215"/>
        <v>29.594095177732008</v>
      </c>
      <c r="R1595">
        <f t="shared" si="220"/>
        <v>-2.0133307426938017E-3</v>
      </c>
    </row>
    <row r="1596" spans="1:19" x14ac:dyDescent="0.2">
      <c r="A1596" t="s">
        <v>1607</v>
      </c>
      <c r="B1596">
        <v>5.7924137199999999</v>
      </c>
      <c r="C1596">
        <v>0.42025149000000001</v>
      </c>
      <c r="D1596">
        <v>5.9508148700000003</v>
      </c>
      <c r="E1596">
        <v>0.47410824000000001</v>
      </c>
      <c r="F1596">
        <v>3.33505713</v>
      </c>
      <c r="G1596">
        <v>1.3333904400000001</v>
      </c>
      <c r="H1596">
        <v>2.77843588</v>
      </c>
      <c r="I1596">
        <v>9.3131099999999994E-3</v>
      </c>
      <c r="J1596">
        <v>1</v>
      </c>
      <c r="K1596">
        <v>950076</v>
      </c>
      <c r="L1596">
        <f t="shared" si="216"/>
        <v>1.2827142807692309E-2</v>
      </c>
      <c r="M1596">
        <f t="shared" si="217"/>
        <v>5.1284247692307697E-3</v>
      </c>
      <c r="N1596">
        <f t="shared" si="218"/>
        <v>1.0686291846153845E-2</v>
      </c>
      <c r="O1596">
        <f t="shared" si="219"/>
        <v>7.9073583076923089E-3</v>
      </c>
      <c r="P1596">
        <f t="shared" si="215"/>
        <v>23.781369591194391</v>
      </c>
      <c r="R1596">
        <f t="shared" si="220"/>
        <v>-2.2473369763333843E-3</v>
      </c>
    </row>
    <row r="1597" spans="1:19" x14ac:dyDescent="0.2">
      <c r="A1597" t="s">
        <v>1608</v>
      </c>
      <c r="B1597">
        <v>5.7464751400000003</v>
      </c>
      <c r="C1597">
        <v>0.32558598</v>
      </c>
      <c r="D1597">
        <v>5.8991220599999998</v>
      </c>
      <c r="E1597">
        <v>0.47410824000000001</v>
      </c>
      <c r="F1597">
        <v>3.33647436</v>
      </c>
      <c r="G1597">
        <v>1.3251017599999999</v>
      </c>
      <c r="H1597">
        <v>2.7313475199999999</v>
      </c>
      <c r="I1597">
        <v>9.3131099999999994E-3</v>
      </c>
      <c r="J1597">
        <v>1</v>
      </c>
      <c r="K1597">
        <v>950076</v>
      </c>
      <c r="L1597">
        <f t="shared" si="216"/>
        <v>1.2832593692307692E-2</v>
      </c>
      <c r="M1597">
        <f t="shared" si="217"/>
        <v>5.0965452307692302E-3</v>
      </c>
      <c r="N1597">
        <f t="shared" si="218"/>
        <v>1.0505182769230769E-2</v>
      </c>
      <c r="O1597">
        <f t="shared" si="219"/>
        <v>7.8008639999999994E-3</v>
      </c>
      <c r="P1597">
        <f t="shared" si="215"/>
        <v>18.424397553215634</v>
      </c>
      <c r="R1597">
        <f t="shared" si="220"/>
        <v>-1.9967315461472874E-3</v>
      </c>
    </row>
    <row r="1598" spans="1:19" x14ac:dyDescent="0.2">
      <c r="A1598" t="s">
        <v>1609</v>
      </c>
      <c r="B1598">
        <v>5.6987197800000002</v>
      </c>
      <c r="C1598">
        <v>0.24095475</v>
      </c>
      <c r="D1598">
        <v>5.8479410600000001</v>
      </c>
      <c r="E1598">
        <v>0.47410824000000001</v>
      </c>
      <c r="F1598">
        <v>3.3308054399999998</v>
      </c>
      <c r="G1598">
        <v>1.31348402</v>
      </c>
      <c r="H1598">
        <v>2.6781922200000001</v>
      </c>
      <c r="I1598">
        <v>9.6783300000000006E-3</v>
      </c>
      <c r="J1598">
        <v>1</v>
      </c>
      <c r="K1598">
        <v>950076</v>
      </c>
      <c r="L1598">
        <f t="shared" si="216"/>
        <v>1.2810790153846154E-2</v>
      </c>
      <c r="M1598">
        <f t="shared" si="217"/>
        <v>5.0518616153846152E-3</v>
      </c>
      <c r="N1598">
        <f t="shared" si="218"/>
        <v>1.0300739307692309E-2</v>
      </c>
      <c r="O1598">
        <f t="shared" si="219"/>
        <v>7.6763004615384624E-3</v>
      </c>
      <c r="P1598">
        <f t="shared" si="215"/>
        <v>13.635249608523331</v>
      </c>
      <c r="R1598">
        <f t="shared" si="220"/>
        <v>-1.5156851923314872E-3</v>
      </c>
      <c r="S1598">
        <f>ABS(SUMIFS($R:$R,$K:$K,K1598))</f>
        <v>5.2475711833128895E-3</v>
      </c>
    </row>
    <row r="1599" spans="1:19" x14ac:dyDescent="0.2">
      <c r="A1599" t="s">
        <v>1610</v>
      </c>
      <c r="B1599">
        <v>5.6488880999999997</v>
      </c>
      <c r="C1599">
        <v>0.16596171000000001</v>
      </c>
      <c r="D1599">
        <v>5.7901065300000001</v>
      </c>
      <c r="E1599">
        <v>0.47410824000000001</v>
      </c>
      <c r="F1599">
        <v>3.31679061</v>
      </c>
      <c r="G1599">
        <v>1.2993524999999999</v>
      </c>
      <c r="H1599">
        <v>2.6238680599999999</v>
      </c>
      <c r="I1599">
        <v>9.6783300000000006E-3</v>
      </c>
      <c r="J1599">
        <v>1</v>
      </c>
      <c r="K1599">
        <v>950076</v>
      </c>
      <c r="L1599">
        <f t="shared" si="216"/>
        <v>1.2756886961538462E-2</v>
      </c>
      <c r="M1599">
        <f t="shared" si="217"/>
        <v>4.9975096153846155E-3</v>
      </c>
      <c r="N1599">
        <f t="shared" si="218"/>
        <v>1.009180023076923E-2</v>
      </c>
      <c r="O1599">
        <f t="shared" si="219"/>
        <v>7.5446549230769227E-3</v>
      </c>
      <c r="P1599">
        <f t="shared" si="215"/>
        <v>9.39151164817196</v>
      </c>
      <c r="R1599">
        <f t="shared" si="220"/>
        <v>-9.9684727552675281E-4</v>
      </c>
    </row>
    <row r="1600" spans="1:19" x14ac:dyDescent="0.2">
      <c r="A1600" t="s">
        <v>1611</v>
      </c>
      <c r="B1600">
        <v>5.5943847</v>
      </c>
      <c r="C1600">
        <v>9.9154530000000005E-2</v>
      </c>
      <c r="D1600">
        <v>5.7338074299999997</v>
      </c>
      <c r="E1600">
        <v>0.61238981000000003</v>
      </c>
      <c r="F1600">
        <v>3.3019884300000002</v>
      </c>
      <c r="G1600">
        <v>1.28379424</v>
      </c>
      <c r="H1600">
        <v>2.5703231400000002</v>
      </c>
      <c r="I1600">
        <v>9.8609400000000003E-3</v>
      </c>
      <c r="J1600">
        <v>1</v>
      </c>
      <c r="K1600">
        <v>950076</v>
      </c>
      <c r="L1600">
        <f t="shared" si="216"/>
        <v>1.26999555E-2</v>
      </c>
      <c r="M1600">
        <f t="shared" si="217"/>
        <v>4.9376701538461536E-3</v>
      </c>
      <c r="N1600">
        <f t="shared" si="218"/>
        <v>9.885858230769231E-3</v>
      </c>
      <c r="O1600">
        <f t="shared" si="219"/>
        <v>7.4117641923076918E-3</v>
      </c>
      <c r="P1600">
        <f t="shared" si="215"/>
        <v>5.6109986060279571</v>
      </c>
      <c r="R1600">
        <f t="shared" si="220"/>
        <v>-3.9863038399752347E-4</v>
      </c>
    </row>
    <row r="1601" spans="1:18" x14ac:dyDescent="0.2">
      <c r="A1601" t="s">
        <v>1612</v>
      </c>
      <c r="B1601">
        <v>5.55078198</v>
      </c>
      <c r="C1601">
        <v>5.4396359999999998E-2</v>
      </c>
      <c r="D1601">
        <v>5.69490987</v>
      </c>
      <c r="E1601">
        <v>0.90870746000000002</v>
      </c>
      <c r="F1601">
        <v>3.2841943200000001</v>
      </c>
      <c r="G1601">
        <v>1.2732635400000001</v>
      </c>
      <c r="H1601">
        <v>2.53314226</v>
      </c>
      <c r="I1601">
        <v>9.6783300000000006E-3</v>
      </c>
      <c r="J1601">
        <v>1</v>
      </c>
      <c r="K1601">
        <v>950076</v>
      </c>
      <c r="L1601">
        <f t="shared" si="216"/>
        <v>1.2631516615384615E-2</v>
      </c>
      <c r="M1601">
        <f t="shared" si="217"/>
        <v>4.897167461538462E-3</v>
      </c>
      <c r="N1601">
        <f t="shared" si="218"/>
        <v>9.7428548461538454E-3</v>
      </c>
      <c r="O1601">
        <f t="shared" si="219"/>
        <v>7.3200111538461541E-3</v>
      </c>
      <c r="P1601">
        <f t="shared" si="215"/>
        <v>3.0782042951844448</v>
      </c>
      <c r="R1601">
        <f t="shared" si="220"/>
        <v>-7.9435314455184603E-5</v>
      </c>
    </row>
    <row r="1602" spans="1:18" x14ac:dyDescent="0.2">
      <c r="A1602" t="s">
        <v>1613</v>
      </c>
      <c r="B1602">
        <v>5.5404003800000003</v>
      </c>
      <c r="C1602">
        <v>5.2019820000000001E-2</v>
      </c>
      <c r="D1602">
        <v>5.6821146200000001</v>
      </c>
      <c r="E1602">
        <v>1.0864980500000001</v>
      </c>
      <c r="F1602">
        <v>3.2629358700000002</v>
      </c>
      <c r="G1602">
        <v>1.26973066</v>
      </c>
      <c r="H1602">
        <v>2.5229564799999999</v>
      </c>
      <c r="I1602">
        <v>9.4957199999999992E-3</v>
      </c>
      <c r="J1602">
        <v>1</v>
      </c>
      <c r="K1602">
        <v>950076</v>
      </c>
      <c r="L1602">
        <f t="shared" si="216"/>
        <v>1.2549753346153847E-2</v>
      </c>
      <c r="M1602">
        <f t="shared" si="217"/>
        <v>4.8835794615384618E-3</v>
      </c>
      <c r="N1602">
        <f t="shared" si="218"/>
        <v>9.7036787692307697E-3</v>
      </c>
      <c r="O1602">
        <f t="shared" si="219"/>
        <v>7.2936291153846153E-3</v>
      </c>
      <c r="P1602">
        <f t="shared" si="215"/>
        <v>2.9437196415113385</v>
      </c>
      <c r="R1602">
        <f t="shared" si="220"/>
        <v>1.8142045988331636E-4</v>
      </c>
    </row>
    <row r="1603" spans="1:18" x14ac:dyDescent="0.2">
      <c r="A1603" t="s">
        <v>1614</v>
      </c>
      <c r="B1603">
        <v>5.5577895599999998</v>
      </c>
      <c r="C1603">
        <v>0.1095849</v>
      </c>
      <c r="D1603">
        <v>5.7041224499999998</v>
      </c>
      <c r="E1603">
        <v>1.0864980500000001</v>
      </c>
      <c r="F1603">
        <v>3.2441969400000001</v>
      </c>
      <c r="G1603">
        <v>1.2693230200000001</v>
      </c>
      <c r="H1603">
        <v>2.5439959600000002</v>
      </c>
      <c r="I1603">
        <v>9.6783300000000006E-3</v>
      </c>
      <c r="J1603">
        <v>1</v>
      </c>
      <c r="K1603">
        <v>950076</v>
      </c>
      <c r="L1603">
        <f t="shared" si="216"/>
        <v>1.2477680538461539E-2</v>
      </c>
      <c r="M1603">
        <f t="shared" si="217"/>
        <v>4.882011615384616E-3</v>
      </c>
      <c r="N1603">
        <f t="shared" si="218"/>
        <v>9.7845998461538464E-3</v>
      </c>
      <c r="O1603">
        <f t="shared" si="219"/>
        <v>7.3333057307692307E-3</v>
      </c>
      <c r="P1603">
        <f t="shared" ref="P1603:P1666" si="224">+C1603*4/(PI()*0.15^2)</f>
        <v>6.2012368082599254</v>
      </c>
      <c r="R1603">
        <f t="shared" si="220"/>
        <v>7.8607375805761763E-4</v>
      </c>
    </row>
    <row r="1604" spans="1:18" x14ac:dyDescent="0.2">
      <c r="A1604" t="s">
        <v>1615</v>
      </c>
      <c r="B1604">
        <v>5.5959419400000003</v>
      </c>
      <c r="C1604">
        <v>0.18853884000000001</v>
      </c>
      <c r="D1604">
        <v>5.7445554400000001</v>
      </c>
      <c r="E1604">
        <v>1.0864980500000001</v>
      </c>
      <c r="F1604">
        <v>3.2341188600000002</v>
      </c>
      <c r="G1604">
        <v>1.2759811400000001</v>
      </c>
      <c r="H1604">
        <v>2.58579662</v>
      </c>
      <c r="I1604">
        <v>9.6783300000000006E-3</v>
      </c>
      <c r="J1604">
        <v>1</v>
      </c>
      <c r="K1604">
        <v>950077</v>
      </c>
      <c r="L1604">
        <f t="shared" ref="L1604:L1667" si="225">+F1604/260</f>
        <v>1.2438918692307692E-2</v>
      </c>
      <c r="M1604">
        <f t="shared" ref="M1604:M1667" si="226">+G1604/260</f>
        <v>4.9076197692307696E-3</v>
      </c>
      <c r="N1604">
        <f t="shared" ref="N1604:N1667" si="227">+H1604/260</f>
        <v>9.9453716153846145E-3</v>
      </c>
      <c r="O1604">
        <f t="shared" ref="O1604:O1667" si="228">(+G1604+H1604)/520</f>
        <v>7.426495692307692E-3</v>
      </c>
      <c r="P1604">
        <f t="shared" si="224"/>
        <v>10.669115858066476</v>
      </c>
      <c r="Q1604">
        <f t="shared" ref="Q1604" si="229">ABS(0.5*(SUMPRODUCT(O1604:O1622,P1605:P1623)+O1623*P1604-(SUMPRODUCT(O1605:O1623,P1604:P1622)+O1604*P1623)))</f>
        <v>5.1640615907564413E-3</v>
      </c>
      <c r="R1604">
        <f t="shared" ref="R1604:R1667" si="230">+(P1604+P1605)/2*(O1605-O1604)</f>
        <v>1.8056021224414015E-3</v>
      </c>
    </row>
    <row r="1605" spans="1:18" x14ac:dyDescent="0.2">
      <c r="A1605" t="s">
        <v>1616</v>
      </c>
      <c r="B1605">
        <v>5.6512239600000003</v>
      </c>
      <c r="C1605">
        <v>0.28201608</v>
      </c>
      <c r="D1605">
        <v>5.8039253999999998</v>
      </c>
      <c r="E1605">
        <v>0.90870746000000002</v>
      </c>
      <c r="F1605">
        <v>3.22703271</v>
      </c>
      <c r="G1605">
        <v>1.29045236</v>
      </c>
      <c r="H1605">
        <v>2.64184624</v>
      </c>
      <c r="I1605">
        <v>1.004355E-2</v>
      </c>
      <c r="J1605">
        <v>1</v>
      </c>
      <c r="K1605">
        <v>950077</v>
      </c>
      <c r="L1605">
        <f t="shared" si="225"/>
        <v>1.2411664269230769E-2</v>
      </c>
      <c r="M1605">
        <f t="shared" si="226"/>
        <v>4.9632783076923072E-3</v>
      </c>
      <c r="N1605">
        <f t="shared" si="227"/>
        <v>1.0160947076923077E-2</v>
      </c>
      <c r="O1605">
        <f t="shared" si="228"/>
        <v>7.5621126923076931E-3</v>
      </c>
      <c r="P1605">
        <f t="shared" si="224"/>
        <v>15.958845569208677</v>
      </c>
      <c r="R1605">
        <f t="shared" si="230"/>
        <v>2.884757326465176E-3</v>
      </c>
    </row>
    <row r="1606" spans="1:18" x14ac:dyDescent="0.2">
      <c r="A1606" t="s">
        <v>1617</v>
      </c>
      <c r="B1606">
        <v>5.7098800000000001</v>
      </c>
      <c r="C1606">
        <v>0.39199707</v>
      </c>
      <c r="D1606">
        <v>5.8730197500000001</v>
      </c>
      <c r="E1606">
        <v>0.73091687000000005</v>
      </c>
      <c r="F1606">
        <v>3.2254580100000001</v>
      </c>
      <c r="G1606">
        <v>1.30560298</v>
      </c>
      <c r="H1606">
        <v>2.7053543000000002</v>
      </c>
      <c r="I1606">
        <v>1.004355E-2</v>
      </c>
      <c r="J1606">
        <v>1</v>
      </c>
      <c r="K1606">
        <v>950077</v>
      </c>
      <c r="L1606">
        <f t="shared" si="225"/>
        <v>1.2405607730769231E-2</v>
      </c>
      <c r="M1606">
        <f t="shared" si="226"/>
        <v>5.0215499230769232E-3</v>
      </c>
      <c r="N1606">
        <f t="shared" si="227"/>
        <v>1.0405208846153848E-2</v>
      </c>
      <c r="O1606">
        <f t="shared" si="228"/>
        <v>7.7133793846153858E-3</v>
      </c>
      <c r="P1606">
        <f t="shared" si="224"/>
        <v>22.18249648641412</v>
      </c>
      <c r="R1606">
        <f t="shared" si="230"/>
        <v>3.7999524209535061E-3</v>
      </c>
    </row>
    <row r="1607" spans="1:18" x14ac:dyDescent="0.2">
      <c r="A1607" t="s">
        <v>1618</v>
      </c>
      <c r="B1607">
        <v>5.7708719000000004</v>
      </c>
      <c r="C1607">
        <v>0.52495128000000002</v>
      </c>
      <c r="D1607">
        <v>5.9385314300000003</v>
      </c>
      <c r="E1607">
        <v>0.61238981000000003</v>
      </c>
      <c r="F1607">
        <v>3.2331740400000002</v>
      </c>
      <c r="G1607">
        <v>1.31925892</v>
      </c>
      <c r="H1607">
        <v>2.76786048</v>
      </c>
      <c r="I1607">
        <v>1.004355E-2</v>
      </c>
      <c r="J1607">
        <v>1</v>
      </c>
      <c r="K1607">
        <v>950077</v>
      </c>
      <c r="L1607">
        <f t="shared" si="225"/>
        <v>1.2435284769230771E-2</v>
      </c>
      <c r="M1607">
        <f t="shared" si="226"/>
        <v>5.0740727692307691E-3</v>
      </c>
      <c r="N1607">
        <f t="shared" si="227"/>
        <v>1.0645617230769231E-2</v>
      </c>
      <c r="O1607">
        <f t="shared" si="228"/>
        <v>7.859844999999999E-3</v>
      </c>
      <c r="P1607">
        <f t="shared" si="224"/>
        <v>29.706165722459598</v>
      </c>
      <c r="R1607">
        <f t="shared" si="230"/>
        <v>4.4446084164352553E-3</v>
      </c>
    </row>
    <row r="1608" spans="1:18" x14ac:dyDescent="0.2">
      <c r="A1608" t="s">
        <v>1619</v>
      </c>
      <c r="B1608">
        <v>5.8303065600000004</v>
      </c>
      <c r="C1608">
        <v>0.70477614</v>
      </c>
      <c r="D1608">
        <v>6.01018483</v>
      </c>
      <c r="E1608">
        <v>0.61238981000000003</v>
      </c>
      <c r="F1608">
        <v>3.2457716400000001</v>
      </c>
      <c r="G1608">
        <v>1.33046902</v>
      </c>
      <c r="H1608">
        <v>2.8230751999999999</v>
      </c>
      <c r="I1608">
        <v>9.8609400000000003E-3</v>
      </c>
      <c r="J1608">
        <v>1</v>
      </c>
      <c r="K1608">
        <v>950077</v>
      </c>
      <c r="L1608">
        <f t="shared" si="225"/>
        <v>1.2483737076923077E-2</v>
      </c>
      <c r="M1608">
        <f t="shared" si="226"/>
        <v>5.1171885384615383E-3</v>
      </c>
      <c r="N1608">
        <f t="shared" si="227"/>
        <v>1.0857981538461538E-2</v>
      </c>
      <c r="O1608">
        <f t="shared" si="228"/>
        <v>7.9875850384615379E-3</v>
      </c>
      <c r="P1608">
        <f t="shared" si="224"/>
        <v>39.88217118372468</v>
      </c>
      <c r="R1608">
        <f t="shared" si="230"/>
        <v>2.7619055852771989E-3</v>
      </c>
    </row>
    <row r="1609" spans="1:18" x14ac:dyDescent="0.2">
      <c r="A1609" t="s">
        <v>1620</v>
      </c>
      <c r="B1609">
        <v>5.8681994</v>
      </c>
      <c r="C1609">
        <v>0.82677186000000003</v>
      </c>
      <c r="D1609">
        <v>6.0460115300000004</v>
      </c>
      <c r="E1609">
        <v>0.53337177000000002</v>
      </c>
      <c r="F1609">
        <v>3.2601014099999999</v>
      </c>
      <c r="G1609">
        <v>1.3352248200000001</v>
      </c>
      <c r="H1609">
        <v>2.8514618</v>
      </c>
      <c r="I1609">
        <v>9.6783300000000006E-3</v>
      </c>
      <c r="J1609">
        <v>1</v>
      </c>
      <c r="K1609">
        <v>950077</v>
      </c>
      <c r="L1609">
        <f t="shared" si="225"/>
        <v>1.2538851576923077E-2</v>
      </c>
      <c r="M1609">
        <f t="shared" si="226"/>
        <v>5.1354800769230768E-3</v>
      </c>
      <c r="N1609">
        <f t="shared" si="227"/>
        <v>1.0967160769230769E-2</v>
      </c>
      <c r="O1609">
        <f t="shared" si="228"/>
        <v>8.0513204230769232E-3</v>
      </c>
      <c r="P1609">
        <f t="shared" si="224"/>
        <v>46.785716738944167</v>
      </c>
      <c r="R1609">
        <f t="shared" si="230"/>
        <v>9.650594566207166E-4</v>
      </c>
    </row>
    <row r="1610" spans="1:18" x14ac:dyDescent="0.2">
      <c r="A1610" t="s">
        <v>1621</v>
      </c>
      <c r="B1610">
        <v>5.8816954800000003</v>
      </c>
      <c r="C1610">
        <v>0.85463018999999996</v>
      </c>
      <c r="D1610">
        <v>6.0526650599999998</v>
      </c>
      <c r="E1610">
        <v>0.53337177000000002</v>
      </c>
      <c r="F1610">
        <v>3.2755334700000001</v>
      </c>
      <c r="G1610">
        <v>1.3369233199999999</v>
      </c>
      <c r="H1610">
        <v>2.8603117400000002</v>
      </c>
      <c r="I1610">
        <v>9.6783300000000006E-3</v>
      </c>
      <c r="J1610">
        <v>1</v>
      </c>
      <c r="K1610">
        <v>950077</v>
      </c>
      <c r="L1610">
        <f t="shared" si="225"/>
        <v>1.2598205653846154E-2</v>
      </c>
      <c r="M1610">
        <f t="shared" si="226"/>
        <v>5.142012769230769E-3</v>
      </c>
      <c r="N1610">
        <f t="shared" si="227"/>
        <v>1.1001199000000001E-2</v>
      </c>
      <c r="O1610">
        <f t="shared" si="228"/>
        <v>8.0716058846153852E-3</v>
      </c>
      <c r="P1610">
        <f t="shared" si="224"/>
        <v>48.362175734778916</v>
      </c>
      <c r="R1610">
        <f t="shared" si="230"/>
        <v>2.5538913495054999E-4</v>
      </c>
    </row>
    <row r="1611" spans="1:18" x14ac:dyDescent="0.2">
      <c r="A1611" t="s">
        <v>1622</v>
      </c>
      <c r="B1611">
        <v>5.8832527199999998</v>
      </c>
      <c r="C1611">
        <v>0.85502628000000003</v>
      </c>
      <c r="D1611">
        <v>6.0511296300000001</v>
      </c>
      <c r="E1611">
        <v>0.47410824000000001</v>
      </c>
      <c r="F1611">
        <v>3.2937999900000001</v>
      </c>
      <c r="G1611">
        <v>1.3373309600000001</v>
      </c>
      <c r="H1611">
        <v>2.8626494600000001</v>
      </c>
      <c r="I1611">
        <v>9.6783300000000006E-3</v>
      </c>
      <c r="J1611">
        <v>1</v>
      </c>
      <c r="K1611">
        <v>950077</v>
      </c>
      <c r="L1611">
        <f t="shared" si="225"/>
        <v>1.26684615E-2</v>
      </c>
      <c r="M1611">
        <f t="shared" si="226"/>
        <v>5.1435806153846157E-3</v>
      </c>
      <c r="N1611">
        <f t="shared" si="227"/>
        <v>1.1010190230769231E-2</v>
      </c>
      <c r="O1611">
        <f t="shared" si="228"/>
        <v>8.0768854230769231E-3</v>
      </c>
      <c r="P1611">
        <f t="shared" si="224"/>
        <v>48.384589843724434</v>
      </c>
      <c r="R1611">
        <f t="shared" si="230"/>
        <v>-1.2177236074835167E-4</v>
      </c>
    </row>
    <row r="1612" spans="1:18" x14ac:dyDescent="0.2">
      <c r="A1612" t="s">
        <v>1623</v>
      </c>
      <c r="B1612">
        <v>5.8816954800000003</v>
      </c>
      <c r="C1612">
        <v>0.82030239000000005</v>
      </c>
      <c r="D1612">
        <v>6.04754696</v>
      </c>
      <c r="E1612">
        <v>0.47410824000000001</v>
      </c>
      <c r="F1612">
        <v>3.3081297599999999</v>
      </c>
      <c r="G1612">
        <v>1.3373309600000001</v>
      </c>
      <c r="H1612">
        <v>2.8613136199999998</v>
      </c>
      <c r="I1612">
        <v>9.6783300000000006E-3</v>
      </c>
      <c r="J1612">
        <v>1</v>
      </c>
      <c r="K1612">
        <v>950077</v>
      </c>
      <c r="L1612">
        <f t="shared" si="225"/>
        <v>1.2723576E-2</v>
      </c>
      <c r="M1612">
        <f t="shared" si="226"/>
        <v>5.1435806153846157E-3</v>
      </c>
      <c r="N1612">
        <f t="shared" si="227"/>
        <v>1.1005052384615384E-2</v>
      </c>
      <c r="O1612">
        <f t="shared" si="228"/>
        <v>8.0743164999999995E-3</v>
      </c>
      <c r="P1612">
        <f t="shared" si="224"/>
        <v>46.419619626167375</v>
      </c>
      <c r="R1612">
        <f t="shared" si="230"/>
        <v>-1.0151850451350761E-3</v>
      </c>
    </row>
    <row r="1613" spans="1:18" x14ac:dyDescent="0.2">
      <c r="A1613" t="s">
        <v>1624</v>
      </c>
      <c r="B1613">
        <v>5.8643063</v>
      </c>
      <c r="C1613">
        <v>0.70794486000000001</v>
      </c>
      <c r="D1613">
        <v>6.03526352</v>
      </c>
      <c r="E1613">
        <v>0.47410824000000001</v>
      </c>
      <c r="F1613">
        <v>3.31679061</v>
      </c>
      <c r="G1613">
        <v>1.3375347799999999</v>
      </c>
      <c r="H1613">
        <v>2.8489014400000001</v>
      </c>
      <c r="I1613">
        <v>9.6783300000000006E-3</v>
      </c>
      <c r="J1613">
        <v>1</v>
      </c>
      <c r="K1613">
        <v>950077</v>
      </c>
      <c r="L1613">
        <f t="shared" si="225"/>
        <v>1.2756886961538462E-2</v>
      </c>
      <c r="M1613">
        <f t="shared" si="226"/>
        <v>5.1443645384615377E-3</v>
      </c>
      <c r="N1613">
        <f t="shared" si="227"/>
        <v>1.0957313230769232E-2</v>
      </c>
      <c r="O1613">
        <f t="shared" si="228"/>
        <v>8.0508388846153855E-3</v>
      </c>
      <c r="P1613">
        <f t="shared" si="224"/>
        <v>40.061484055288823</v>
      </c>
      <c r="R1613">
        <f t="shared" si="230"/>
        <v>-1.0135728860673288E-3</v>
      </c>
    </row>
    <row r="1614" spans="1:18" x14ac:dyDescent="0.2">
      <c r="A1614" t="s">
        <v>1625</v>
      </c>
      <c r="B1614">
        <v>5.8476957399999998</v>
      </c>
      <c r="C1614">
        <v>0.61486370999999995</v>
      </c>
      <c r="D1614">
        <v>6.0163265499999996</v>
      </c>
      <c r="E1614">
        <v>0.41484471000000001</v>
      </c>
      <c r="F1614">
        <v>3.3278135099999999</v>
      </c>
      <c r="G1614">
        <v>1.3375347799999999</v>
      </c>
      <c r="H1614">
        <v>2.8348194599999998</v>
      </c>
      <c r="I1614">
        <v>9.6783300000000006E-3</v>
      </c>
      <c r="J1614">
        <v>1</v>
      </c>
      <c r="K1614">
        <v>950077</v>
      </c>
      <c r="L1614">
        <f t="shared" si="225"/>
        <v>1.279928273076923E-2</v>
      </c>
      <c r="M1614">
        <f t="shared" si="226"/>
        <v>5.1443645384615377E-3</v>
      </c>
      <c r="N1614">
        <f t="shared" si="227"/>
        <v>1.0903151769230769E-2</v>
      </c>
      <c r="O1614">
        <f t="shared" si="228"/>
        <v>8.0237581538461535E-3</v>
      </c>
      <c r="P1614">
        <f t="shared" si="224"/>
        <v>34.794168453092134</v>
      </c>
      <c r="R1614">
        <f t="shared" si="230"/>
        <v>-1.4145910985397657E-3</v>
      </c>
    </row>
    <row r="1615" spans="1:18" x14ac:dyDescent="0.2">
      <c r="A1615" t="s">
        <v>1626</v>
      </c>
      <c r="B1615">
        <v>5.8271920799999997</v>
      </c>
      <c r="C1615">
        <v>0.51980210999999998</v>
      </c>
      <c r="D1615">
        <v>5.9932951000000001</v>
      </c>
      <c r="E1615">
        <v>0.41484471000000001</v>
      </c>
      <c r="F1615">
        <v>3.33647436</v>
      </c>
      <c r="G1615">
        <v>1.3367195000000001</v>
      </c>
      <c r="H1615">
        <v>2.8127224399999999</v>
      </c>
      <c r="I1615">
        <v>9.8609400000000003E-3</v>
      </c>
      <c r="J1615">
        <v>1</v>
      </c>
      <c r="K1615">
        <v>950077</v>
      </c>
      <c r="L1615">
        <f t="shared" si="225"/>
        <v>1.2832593692307692E-2</v>
      </c>
      <c r="M1615">
        <f t="shared" si="226"/>
        <v>5.1412288461538461E-3</v>
      </c>
      <c r="N1615">
        <f t="shared" si="227"/>
        <v>1.0818163230769231E-2</v>
      </c>
      <c r="O1615">
        <f t="shared" si="228"/>
        <v>7.9796960384615392E-3</v>
      </c>
      <c r="P1615">
        <f t="shared" si="224"/>
        <v>29.414782306167865</v>
      </c>
      <c r="R1615">
        <f t="shared" si="230"/>
        <v>-1.9980396305281168E-3</v>
      </c>
    </row>
    <row r="1616" spans="1:18" x14ac:dyDescent="0.2">
      <c r="A1616" t="s">
        <v>1627</v>
      </c>
      <c r="B1616">
        <v>5.7931923400000001</v>
      </c>
      <c r="C1616">
        <v>0.41668667999999998</v>
      </c>
      <c r="D1616">
        <v>5.9492794399999998</v>
      </c>
      <c r="E1616">
        <v>0.41484471000000001</v>
      </c>
      <c r="F1616">
        <v>3.3374191799999999</v>
      </c>
      <c r="G1616">
        <v>1.33318662</v>
      </c>
      <c r="H1616">
        <v>2.77704438</v>
      </c>
      <c r="I1616">
        <v>9.8609400000000003E-3</v>
      </c>
      <c r="J1616">
        <v>1</v>
      </c>
      <c r="K1616">
        <v>950077</v>
      </c>
      <c r="L1616">
        <f t="shared" si="225"/>
        <v>1.2836227615384615E-2</v>
      </c>
      <c r="M1616">
        <f t="shared" si="226"/>
        <v>5.1276408461538459E-3</v>
      </c>
      <c r="N1616">
        <f t="shared" si="227"/>
        <v>1.0680939923076923E-2</v>
      </c>
      <c r="O1616">
        <f t="shared" si="228"/>
        <v>7.9042903846153843E-3</v>
      </c>
      <c r="P1616">
        <f t="shared" si="224"/>
        <v>23.579642610684729</v>
      </c>
      <c r="R1616">
        <f t="shared" si="230"/>
        <v>-2.2011749698200274E-3</v>
      </c>
    </row>
    <row r="1617" spans="1:19" x14ac:dyDescent="0.2">
      <c r="A1617" t="s">
        <v>1628</v>
      </c>
      <c r="B1617">
        <v>5.7480323799999997</v>
      </c>
      <c r="C1617">
        <v>0.32400161999999999</v>
      </c>
      <c r="D1617">
        <v>5.9011693000000003</v>
      </c>
      <c r="E1617">
        <v>0.41484471000000001</v>
      </c>
      <c r="F1617">
        <v>3.3345847200000001</v>
      </c>
      <c r="G1617">
        <v>1.3251017599999999</v>
      </c>
      <c r="H1617">
        <v>2.7305126199999998</v>
      </c>
      <c r="I1617">
        <v>9.6783300000000006E-3</v>
      </c>
      <c r="J1617">
        <v>1</v>
      </c>
      <c r="K1617">
        <v>950077</v>
      </c>
      <c r="L1617">
        <f t="shared" si="225"/>
        <v>1.2825325846153847E-2</v>
      </c>
      <c r="M1617">
        <f t="shared" si="226"/>
        <v>5.0965452307692302E-3</v>
      </c>
      <c r="N1617">
        <f t="shared" si="227"/>
        <v>1.0501971615384615E-2</v>
      </c>
      <c r="O1617">
        <f t="shared" si="228"/>
        <v>7.7992584230769223E-3</v>
      </c>
      <c r="P1617">
        <f t="shared" si="224"/>
        <v>18.334741117433563</v>
      </c>
      <c r="R1617">
        <f t="shared" si="230"/>
        <v>-1.9977832178631996E-3</v>
      </c>
    </row>
    <row r="1618" spans="1:19" x14ac:dyDescent="0.2">
      <c r="A1618" t="s">
        <v>1629</v>
      </c>
      <c r="B1618">
        <v>5.6963839199999997</v>
      </c>
      <c r="C1618">
        <v>0.2389743</v>
      </c>
      <c r="D1618">
        <v>5.8464056299999996</v>
      </c>
      <c r="E1618">
        <v>0.41484471000000001</v>
      </c>
      <c r="F1618">
        <v>3.3308054399999998</v>
      </c>
      <c r="G1618">
        <v>1.31287256</v>
      </c>
      <c r="H1618">
        <v>2.6775243</v>
      </c>
      <c r="I1618">
        <v>9.6783300000000006E-3</v>
      </c>
      <c r="J1618">
        <v>1</v>
      </c>
      <c r="K1618">
        <v>950077</v>
      </c>
      <c r="L1618">
        <f t="shared" si="225"/>
        <v>1.2810790153846154E-2</v>
      </c>
      <c r="M1618">
        <f t="shared" si="226"/>
        <v>5.0495098461538464E-3</v>
      </c>
      <c r="N1618">
        <f t="shared" si="227"/>
        <v>1.0298170384615385E-2</v>
      </c>
      <c r="O1618">
        <f t="shared" si="228"/>
        <v>7.6738401153846145E-3</v>
      </c>
      <c r="P1618">
        <f t="shared" si="224"/>
        <v>13.523179063795741</v>
      </c>
      <c r="R1618">
        <f t="shared" si="230"/>
        <v>-1.4998684805179617E-3</v>
      </c>
    </row>
    <row r="1619" spans="1:19" x14ac:dyDescent="0.2">
      <c r="A1619" t="s">
        <v>1630</v>
      </c>
      <c r="B1619">
        <v>5.6434377600000003</v>
      </c>
      <c r="C1619">
        <v>0.16358517</v>
      </c>
      <c r="D1619">
        <v>5.7855002400000002</v>
      </c>
      <c r="E1619">
        <v>0.47410824000000001</v>
      </c>
      <c r="F1619">
        <v>3.3182078399999999</v>
      </c>
      <c r="G1619">
        <v>1.29894486</v>
      </c>
      <c r="H1619">
        <v>2.6229775000000002</v>
      </c>
      <c r="I1619">
        <v>9.8609400000000003E-3</v>
      </c>
      <c r="J1619">
        <v>1</v>
      </c>
      <c r="K1619">
        <v>950077</v>
      </c>
      <c r="L1619">
        <f t="shared" si="225"/>
        <v>1.2762337846153845E-2</v>
      </c>
      <c r="M1619">
        <f t="shared" si="226"/>
        <v>4.9959417692307688E-3</v>
      </c>
      <c r="N1619">
        <f t="shared" si="227"/>
        <v>1.0088375E-2</v>
      </c>
      <c r="O1619">
        <f t="shared" si="228"/>
        <v>7.5421583846153849E-3</v>
      </c>
      <c r="P1619">
        <f t="shared" si="224"/>
        <v>9.2570269944988528</v>
      </c>
      <c r="R1619">
        <f t="shared" si="230"/>
        <v>-9.838222330800098E-4</v>
      </c>
      <c r="S1619">
        <f>ABS(SUMIFS($R:$R,$K:$K,K1619))</f>
        <v>5.1766051649245236E-3</v>
      </c>
    </row>
    <row r="1620" spans="1:19" x14ac:dyDescent="0.2">
      <c r="A1620" t="s">
        <v>1631</v>
      </c>
      <c r="B1620">
        <v>5.5943847</v>
      </c>
      <c r="C1620">
        <v>9.9550620000000006E-2</v>
      </c>
      <c r="D1620">
        <v>5.732272</v>
      </c>
      <c r="E1620">
        <v>0.73091687000000005</v>
      </c>
      <c r="F1620">
        <v>3.3004137299999998</v>
      </c>
      <c r="G1620">
        <v>1.2833866</v>
      </c>
      <c r="H1620">
        <v>2.5698221999999999</v>
      </c>
      <c r="I1620">
        <v>9.8609400000000003E-3</v>
      </c>
      <c r="J1620">
        <v>1</v>
      </c>
      <c r="K1620">
        <v>950077</v>
      </c>
      <c r="L1620">
        <f t="shared" si="225"/>
        <v>1.269389896153846E-2</v>
      </c>
      <c r="M1620">
        <f t="shared" si="226"/>
        <v>4.9361023076923078E-3</v>
      </c>
      <c r="N1620">
        <f t="shared" si="227"/>
        <v>9.8839315384615378E-3</v>
      </c>
      <c r="O1620">
        <f t="shared" si="228"/>
        <v>7.4100169230769232E-3</v>
      </c>
      <c r="P1620">
        <f t="shared" si="224"/>
        <v>5.633412714973475</v>
      </c>
      <c r="R1620">
        <f t="shared" si="230"/>
        <v>-3.9863038399752347E-4</v>
      </c>
    </row>
    <row r="1621" spans="1:19" x14ac:dyDescent="0.2">
      <c r="A1621" t="s">
        <v>1632</v>
      </c>
      <c r="B1621">
        <v>5.5515606000000002</v>
      </c>
      <c r="C1621">
        <v>5.4000270000000003E-2</v>
      </c>
      <c r="D1621">
        <v>5.6933744400000004</v>
      </c>
      <c r="E1621">
        <v>0.96797098999999998</v>
      </c>
      <c r="F1621">
        <v>3.2823046800000002</v>
      </c>
      <c r="G1621">
        <v>1.2728558999999999</v>
      </c>
      <c r="H1621">
        <v>2.5326413200000002</v>
      </c>
      <c r="I1621">
        <v>9.8609400000000003E-3</v>
      </c>
      <c r="J1621">
        <v>1</v>
      </c>
      <c r="K1621">
        <v>950077</v>
      </c>
      <c r="L1621">
        <f t="shared" si="225"/>
        <v>1.262424876923077E-2</v>
      </c>
      <c r="M1621">
        <f t="shared" si="226"/>
        <v>4.8955996153846153E-3</v>
      </c>
      <c r="N1621">
        <f t="shared" si="227"/>
        <v>9.740928153846154E-3</v>
      </c>
      <c r="O1621">
        <f t="shared" si="228"/>
        <v>7.3182638846153855E-3</v>
      </c>
      <c r="P1621">
        <f t="shared" si="224"/>
        <v>3.0557901862389274</v>
      </c>
      <c r="R1621">
        <f t="shared" si="230"/>
        <v>-7.5258243526207761E-5</v>
      </c>
    </row>
    <row r="1622" spans="1:19" x14ac:dyDescent="0.2">
      <c r="A1622" t="s">
        <v>1633</v>
      </c>
      <c r="B1622">
        <v>5.5372858999999996</v>
      </c>
      <c r="C1622">
        <v>5.1227639999999998E-2</v>
      </c>
      <c r="D1622">
        <v>5.6851854800000003</v>
      </c>
      <c r="E1622">
        <v>1.1457615800000001</v>
      </c>
      <c r="F1622">
        <v>3.2629358700000002</v>
      </c>
      <c r="G1622">
        <v>1.26973066</v>
      </c>
      <c r="H1622">
        <v>2.5226225200000001</v>
      </c>
      <c r="I1622">
        <v>9.8609400000000003E-3</v>
      </c>
      <c r="J1622">
        <v>1</v>
      </c>
      <c r="K1622">
        <v>950077</v>
      </c>
      <c r="L1622">
        <f t="shared" si="225"/>
        <v>1.2549753346153847E-2</v>
      </c>
      <c r="M1622">
        <f t="shared" si="226"/>
        <v>4.8835794615384618E-3</v>
      </c>
      <c r="N1622">
        <f t="shared" si="227"/>
        <v>9.7023943076923087E-3</v>
      </c>
      <c r="O1622">
        <f t="shared" si="228"/>
        <v>7.2929868846153849E-3</v>
      </c>
      <c r="P1622">
        <f t="shared" si="224"/>
        <v>2.8988914236203027</v>
      </c>
      <c r="R1622">
        <f t="shared" si="230"/>
        <v>1.760584196704746E-4</v>
      </c>
    </row>
    <row r="1623" spans="1:19" x14ac:dyDescent="0.2">
      <c r="A1623" t="s">
        <v>1634</v>
      </c>
      <c r="B1623">
        <v>5.5577895599999998</v>
      </c>
      <c r="C1623">
        <v>0.10760445</v>
      </c>
      <c r="D1623">
        <v>5.7010515899999996</v>
      </c>
      <c r="E1623">
        <v>1.1457615800000001</v>
      </c>
      <c r="F1623">
        <v>3.2441969400000001</v>
      </c>
      <c r="G1623">
        <v>1.26973066</v>
      </c>
      <c r="H1623">
        <v>2.5429940800000002</v>
      </c>
      <c r="I1623">
        <v>1.004355E-2</v>
      </c>
      <c r="J1623">
        <v>1</v>
      </c>
      <c r="K1623">
        <v>950077</v>
      </c>
      <c r="L1623">
        <f t="shared" si="225"/>
        <v>1.2477680538461539E-2</v>
      </c>
      <c r="M1623">
        <f t="shared" si="226"/>
        <v>4.8835794615384618E-3</v>
      </c>
      <c r="N1623">
        <f t="shared" si="227"/>
        <v>9.7807464615384618E-3</v>
      </c>
      <c r="O1623">
        <f t="shared" si="228"/>
        <v>7.3321629615384623E-3</v>
      </c>
      <c r="P1623">
        <f t="shared" si="224"/>
        <v>6.0891662635323369</v>
      </c>
      <c r="R1623">
        <f t="shared" si="230"/>
        <v>8.0297083193380957E-4</v>
      </c>
    </row>
    <row r="1624" spans="1:19" x14ac:dyDescent="0.2">
      <c r="A1624" t="s">
        <v>1635</v>
      </c>
      <c r="B1624">
        <v>5.5951633200000002</v>
      </c>
      <c r="C1624">
        <v>0.18853884000000001</v>
      </c>
      <c r="D1624">
        <v>5.7414845799999998</v>
      </c>
      <c r="E1624">
        <v>1.0272345199999999</v>
      </c>
      <c r="F1624">
        <v>3.2312843999999998</v>
      </c>
      <c r="G1624">
        <v>1.2765926000000001</v>
      </c>
      <c r="H1624">
        <v>2.5859635999999999</v>
      </c>
      <c r="I1624">
        <v>9.6783300000000006E-3</v>
      </c>
      <c r="J1624">
        <v>1</v>
      </c>
      <c r="K1624">
        <v>950078</v>
      </c>
      <c r="L1624">
        <f t="shared" si="225"/>
        <v>1.2428016923076922E-2</v>
      </c>
      <c r="M1624">
        <f t="shared" si="226"/>
        <v>4.9099715384615383E-3</v>
      </c>
      <c r="N1624">
        <f t="shared" si="227"/>
        <v>9.946013846153845E-3</v>
      </c>
      <c r="O1624">
        <f t="shared" si="228"/>
        <v>7.4279926923076925E-3</v>
      </c>
      <c r="P1624">
        <f t="shared" si="224"/>
        <v>10.669115858066476</v>
      </c>
      <c r="Q1624">
        <f t="shared" ref="Q1624" si="231">ABS(0.5*(SUMPRODUCT(O1624:O1642,P1625:P1643)+O1643*P1624-(SUMPRODUCT(O1625:O1643,P1624:P1642)+O1624*P1643)))</f>
        <v>5.1324840838653518E-3</v>
      </c>
      <c r="R1624">
        <f t="shared" si="230"/>
        <v>1.7921874920336128E-3</v>
      </c>
    </row>
    <row r="1625" spans="1:19" x14ac:dyDescent="0.2">
      <c r="A1625" t="s">
        <v>1636</v>
      </c>
      <c r="B1625">
        <v>5.6473308600000003</v>
      </c>
      <c r="C1625">
        <v>0.28360044000000001</v>
      </c>
      <c r="D1625">
        <v>5.8039253999999998</v>
      </c>
      <c r="E1625">
        <v>0.79018040000000001</v>
      </c>
      <c r="F1625">
        <v>3.2265603</v>
      </c>
      <c r="G1625">
        <v>1.2896370800000001</v>
      </c>
      <c r="H1625">
        <v>2.6426811400000001</v>
      </c>
      <c r="I1625">
        <v>9.6783300000000006E-3</v>
      </c>
      <c r="J1625">
        <v>1</v>
      </c>
      <c r="K1625">
        <v>950078</v>
      </c>
      <c r="L1625">
        <f t="shared" si="225"/>
        <v>1.2409847307692307E-2</v>
      </c>
      <c r="M1625">
        <f t="shared" si="226"/>
        <v>4.9601426153846155E-3</v>
      </c>
      <c r="N1625">
        <f t="shared" si="227"/>
        <v>1.0164158230769231E-2</v>
      </c>
      <c r="O1625">
        <f t="shared" si="228"/>
        <v>7.5621504230769234E-3</v>
      </c>
      <c r="P1625">
        <f t="shared" si="224"/>
        <v>16.048502004990748</v>
      </c>
      <c r="R1625">
        <f t="shared" si="230"/>
        <v>2.9024312364315853E-3</v>
      </c>
    </row>
    <row r="1626" spans="1:19" x14ac:dyDescent="0.2">
      <c r="A1626" t="s">
        <v>1637</v>
      </c>
      <c r="B1626">
        <v>5.7075441400000004</v>
      </c>
      <c r="C1626">
        <v>0.39199707</v>
      </c>
      <c r="D1626">
        <v>5.8699488899999999</v>
      </c>
      <c r="E1626">
        <v>0.53337177000000002</v>
      </c>
      <c r="F1626">
        <v>3.2254580100000001</v>
      </c>
      <c r="G1626">
        <v>1.30519534</v>
      </c>
      <c r="H1626">
        <v>2.70607788</v>
      </c>
      <c r="I1626">
        <v>9.8609400000000003E-3</v>
      </c>
      <c r="J1626">
        <v>1</v>
      </c>
      <c r="K1626">
        <v>950078</v>
      </c>
      <c r="L1626">
        <f t="shared" si="225"/>
        <v>1.2405607730769231E-2</v>
      </c>
      <c r="M1626">
        <f t="shared" si="226"/>
        <v>5.0199820769230774E-3</v>
      </c>
      <c r="N1626">
        <f t="shared" si="227"/>
        <v>1.0407991846153847E-2</v>
      </c>
      <c r="O1626">
        <f t="shared" si="228"/>
        <v>7.7139869615384608E-3</v>
      </c>
      <c r="P1626">
        <f t="shared" si="224"/>
        <v>22.18249648641412</v>
      </c>
      <c r="R1626">
        <f t="shared" si="230"/>
        <v>3.8089068594888099E-3</v>
      </c>
    </row>
    <row r="1627" spans="1:19" x14ac:dyDescent="0.2">
      <c r="A1627" t="s">
        <v>1638</v>
      </c>
      <c r="B1627">
        <v>5.7700932800000002</v>
      </c>
      <c r="C1627">
        <v>0.52666767000000003</v>
      </c>
      <c r="D1627">
        <v>5.9431377200000002</v>
      </c>
      <c r="E1627">
        <v>0.47410824000000001</v>
      </c>
      <c r="F1627">
        <v>3.2308119899999999</v>
      </c>
      <c r="G1627">
        <v>1.3190550999999999</v>
      </c>
      <c r="H1627">
        <v>2.7684170799999999</v>
      </c>
      <c r="I1627">
        <v>9.4957199999999992E-3</v>
      </c>
      <c r="J1627">
        <v>1</v>
      </c>
      <c r="K1627">
        <v>950078</v>
      </c>
      <c r="L1627">
        <f t="shared" si="225"/>
        <v>1.2426199961538461E-2</v>
      </c>
      <c r="M1627">
        <f t="shared" si="226"/>
        <v>5.0732888461538462E-3</v>
      </c>
      <c r="N1627">
        <f t="shared" si="227"/>
        <v>1.0647758E-2</v>
      </c>
      <c r="O1627">
        <f t="shared" si="228"/>
        <v>7.8605234230769219E-3</v>
      </c>
      <c r="P1627">
        <f t="shared" si="224"/>
        <v>29.803293527890176</v>
      </c>
      <c r="R1627">
        <f t="shared" si="230"/>
        <v>4.3831147746276793E-3</v>
      </c>
    </row>
    <row r="1628" spans="1:19" x14ac:dyDescent="0.2">
      <c r="A1628" t="s">
        <v>1639</v>
      </c>
      <c r="B1628">
        <v>5.8279706999999998</v>
      </c>
      <c r="C1628">
        <v>0.70636049999999995</v>
      </c>
      <c r="D1628">
        <v>6.01018483</v>
      </c>
      <c r="E1628">
        <v>0.47410824000000001</v>
      </c>
      <c r="F1628">
        <v>3.2457716400000001</v>
      </c>
      <c r="G1628">
        <v>1.3300613800000001</v>
      </c>
      <c r="H1628">
        <v>2.82274124</v>
      </c>
      <c r="I1628">
        <v>1.004355E-2</v>
      </c>
      <c r="J1628">
        <v>1</v>
      </c>
      <c r="K1628">
        <v>950078</v>
      </c>
      <c r="L1628">
        <f t="shared" si="225"/>
        <v>1.2483737076923077E-2</v>
      </c>
      <c r="M1628">
        <f t="shared" si="226"/>
        <v>5.1156206923076925E-3</v>
      </c>
      <c r="N1628">
        <f t="shared" si="227"/>
        <v>1.0856697076923078E-2</v>
      </c>
      <c r="O1628">
        <f t="shared" si="228"/>
        <v>7.9861588846153846E-3</v>
      </c>
      <c r="P1628">
        <f t="shared" si="224"/>
        <v>39.971827619506747</v>
      </c>
      <c r="R1628">
        <f t="shared" si="230"/>
        <v>2.8092239826543971E-3</v>
      </c>
    </row>
    <row r="1629" spans="1:19" x14ac:dyDescent="0.2">
      <c r="A1629" t="s">
        <v>1640</v>
      </c>
      <c r="B1629">
        <v>5.8658635400000003</v>
      </c>
      <c r="C1629">
        <v>0.82320705000000005</v>
      </c>
      <c r="D1629">
        <v>6.0429406700000001</v>
      </c>
      <c r="E1629">
        <v>0.47410824000000001</v>
      </c>
      <c r="F1629">
        <v>3.2619910499999998</v>
      </c>
      <c r="G1629">
        <v>1.3354286399999999</v>
      </c>
      <c r="H1629">
        <v>2.8511278400000002</v>
      </c>
      <c r="I1629">
        <v>9.6783300000000006E-3</v>
      </c>
      <c r="J1629">
        <v>1</v>
      </c>
      <c r="K1629">
        <v>950078</v>
      </c>
      <c r="L1629">
        <f t="shared" si="225"/>
        <v>1.2546119423076922E-2</v>
      </c>
      <c r="M1629">
        <f t="shared" si="226"/>
        <v>5.1362639999999998E-3</v>
      </c>
      <c r="N1629">
        <f t="shared" si="227"/>
        <v>1.0965876307692309E-2</v>
      </c>
      <c r="O1629">
        <f t="shared" si="228"/>
        <v>8.0510701538461533E-3</v>
      </c>
      <c r="P1629">
        <f t="shared" si="224"/>
        <v>46.583989758434505</v>
      </c>
      <c r="R1629">
        <f t="shared" si="230"/>
        <v>9.1018905555640274E-4</v>
      </c>
    </row>
    <row r="1630" spans="1:19" x14ac:dyDescent="0.2">
      <c r="A1630" t="s">
        <v>1641</v>
      </c>
      <c r="B1630">
        <v>5.8832527199999998</v>
      </c>
      <c r="C1630">
        <v>0.85093335000000003</v>
      </c>
      <c r="D1630">
        <v>6.05573592</v>
      </c>
      <c r="E1630">
        <v>0.47410824000000001</v>
      </c>
      <c r="F1630">
        <v>3.2741162400000001</v>
      </c>
      <c r="G1630">
        <v>1.33712714</v>
      </c>
      <c r="H1630">
        <v>2.85942118</v>
      </c>
      <c r="I1630">
        <v>9.6783300000000006E-3</v>
      </c>
      <c r="J1630">
        <v>1</v>
      </c>
      <c r="K1630">
        <v>950078</v>
      </c>
      <c r="L1630">
        <f t="shared" si="225"/>
        <v>1.2592754769230771E-2</v>
      </c>
      <c r="M1630">
        <f t="shared" si="226"/>
        <v>5.1427966923076919E-3</v>
      </c>
      <c r="N1630">
        <f t="shared" si="227"/>
        <v>1.099777376923077E-2</v>
      </c>
      <c r="O1630">
        <f t="shared" si="228"/>
        <v>8.0702852307692301E-3</v>
      </c>
      <c r="P1630">
        <f t="shared" si="224"/>
        <v>48.152977384620748</v>
      </c>
      <c r="R1630">
        <f t="shared" si="230"/>
        <v>2.0979164673687274E-4</v>
      </c>
    </row>
    <row r="1631" spans="1:19" x14ac:dyDescent="0.2">
      <c r="A1631" t="s">
        <v>1642</v>
      </c>
      <c r="B1631">
        <v>5.8850695000000002</v>
      </c>
      <c r="C1631">
        <v>0.85264974000000004</v>
      </c>
      <c r="D1631">
        <v>6.0511296300000001</v>
      </c>
      <c r="E1631">
        <v>0.47410824000000001</v>
      </c>
      <c r="F1631">
        <v>3.2912804699999998</v>
      </c>
      <c r="G1631">
        <v>1.3373309600000001</v>
      </c>
      <c r="H1631">
        <v>2.8614806000000002</v>
      </c>
      <c r="I1631">
        <v>9.6783300000000006E-3</v>
      </c>
      <c r="J1631">
        <v>1</v>
      </c>
      <c r="K1631">
        <v>950078</v>
      </c>
      <c r="L1631">
        <f t="shared" si="225"/>
        <v>1.2658771038461537E-2</v>
      </c>
      <c r="M1631">
        <f t="shared" si="226"/>
        <v>5.1435806153846157E-3</v>
      </c>
      <c r="N1631">
        <f t="shared" si="227"/>
        <v>1.1005694615384616E-2</v>
      </c>
      <c r="O1631">
        <f t="shared" si="228"/>
        <v>8.0746376153846156E-3</v>
      </c>
      <c r="P1631">
        <f t="shared" si="224"/>
        <v>48.250105190051329</v>
      </c>
      <c r="R1631">
        <f t="shared" si="230"/>
        <v>-5.7364710924837515E-5</v>
      </c>
    </row>
    <row r="1632" spans="1:19" x14ac:dyDescent="0.2">
      <c r="A1632" t="s">
        <v>1643</v>
      </c>
      <c r="B1632">
        <v>5.8785809999999996</v>
      </c>
      <c r="C1632">
        <v>0.81792584999999995</v>
      </c>
      <c r="D1632">
        <v>6.0490823899999997</v>
      </c>
      <c r="E1632">
        <v>0.47410824000000001</v>
      </c>
      <c r="F1632">
        <v>3.30576771</v>
      </c>
      <c r="G1632">
        <v>1.3375347799999999</v>
      </c>
      <c r="H1632">
        <v>2.8606457000000001</v>
      </c>
      <c r="I1632">
        <v>9.6783300000000006E-3</v>
      </c>
      <c r="J1632">
        <v>1</v>
      </c>
      <c r="K1632">
        <v>950078</v>
      </c>
      <c r="L1632">
        <f t="shared" si="225"/>
        <v>1.2714491192307692E-2</v>
      </c>
      <c r="M1632">
        <f t="shared" si="226"/>
        <v>5.1443645384615377E-3</v>
      </c>
      <c r="N1632">
        <f t="shared" si="227"/>
        <v>1.1002483461538462E-2</v>
      </c>
      <c r="O1632">
        <f t="shared" si="228"/>
        <v>8.0734239999999992E-3</v>
      </c>
      <c r="P1632">
        <f t="shared" si="224"/>
        <v>46.285134972494262</v>
      </c>
      <c r="R1632">
        <f t="shared" si="230"/>
        <v>-1.0504494034033879E-3</v>
      </c>
    </row>
    <row r="1633" spans="1:19" x14ac:dyDescent="0.2">
      <c r="A1633" t="s">
        <v>1644</v>
      </c>
      <c r="B1633">
        <v>5.8604132</v>
      </c>
      <c r="C1633">
        <v>0.70107929999999996</v>
      </c>
      <c r="D1633">
        <v>6.0337280900000003</v>
      </c>
      <c r="E1633">
        <v>0.47410824000000001</v>
      </c>
      <c r="F1633">
        <v>3.31726302</v>
      </c>
      <c r="G1633">
        <v>1.3377386</v>
      </c>
      <c r="H1633">
        <v>2.8477325800000002</v>
      </c>
      <c r="I1633">
        <v>9.6783300000000006E-3</v>
      </c>
      <c r="J1633">
        <v>1</v>
      </c>
      <c r="K1633">
        <v>950078</v>
      </c>
      <c r="L1633">
        <f t="shared" si="225"/>
        <v>1.2758703923076924E-2</v>
      </c>
      <c r="M1633">
        <f t="shared" si="226"/>
        <v>5.1451484615384615E-3</v>
      </c>
      <c r="N1633">
        <f t="shared" si="227"/>
        <v>1.0952817615384617E-2</v>
      </c>
      <c r="O1633">
        <f t="shared" si="228"/>
        <v>8.0489830384615386E-3</v>
      </c>
      <c r="P1633">
        <f t="shared" si="224"/>
        <v>39.672972833566511</v>
      </c>
      <c r="R1633">
        <f t="shared" si="230"/>
        <v>-9.1348623879930751E-4</v>
      </c>
    </row>
    <row r="1634" spans="1:19" x14ac:dyDescent="0.2">
      <c r="A1634" t="s">
        <v>1645</v>
      </c>
      <c r="B1634">
        <v>5.8476957399999998</v>
      </c>
      <c r="C1634">
        <v>0.61605198000000005</v>
      </c>
      <c r="D1634">
        <v>6.0178619800000002</v>
      </c>
      <c r="E1634">
        <v>0.47410824000000001</v>
      </c>
      <c r="F1634">
        <v>3.32497905</v>
      </c>
      <c r="G1634">
        <v>1.3377386</v>
      </c>
      <c r="H1634">
        <v>2.8349864400000002</v>
      </c>
      <c r="I1634">
        <v>9.6783300000000006E-3</v>
      </c>
      <c r="J1634">
        <v>1</v>
      </c>
      <c r="K1634">
        <v>950078</v>
      </c>
      <c r="L1634">
        <f t="shared" si="225"/>
        <v>1.2788380961538462E-2</v>
      </c>
      <c r="M1634">
        <f t="shared" si="226"/>
        <v>5.1451484615384615E-3</v>
      </c>
      <c r="N1634">
        <f t="shared" si="227"/>
        <v>1.0903794000000001E-2</v>
      </c>
      <c r="O1634">
        <f t="shared" si="228"/>
        <v>8.0244712307692319E-3</v>
      </c>
      <c r="P1634">
        <f t="shared" si="224"/>
        <v>34.861410779928697</v>
      </c>
      <c r="R1634">
        <f t="shared" si="230"/>
        <v>-1.365995621529088E-3</v>
      </c>
    </row>
    <row r="1635" spans="1:19" x14ac:dyDescent="0.2">
      <c r="A1635" t="s">
        <v>1646</v>
      </c>
      <c r="B1635">
        <v>5.82485622</v>
      </c>
      <c r="C1635">
        <v>0.52297083</v>
      </c>
      <c r="D1635">
        <v>5.9948305299999998</v>
      </c>
      <c r="E1635">
        <v>0.47410824000000001</v>
      </c>
      <c r="F1635">
        <v>3.3341123100000001</v>
      </c>
      <c r="G1635">
        <v>1.33712714</v>
      </c>
      <c r="H1635">
        <v>2.81355734</v>
      </c>
      <c r="I1635">
        <v>9.4957199999999992E-3</v>
      </c>
      <c r="J1635">
        <v>1</v>
      </c>
      <c r="K1635">
        <v>950078</v>
      </c>
      <c r="L1635">
        <f t="shared" si="225"/>
        <v>1.2823508884615385E-2</v>
      </c>
      <c r="M1635">
        <f t="shared" si="226"/>
        <v>5.1427966923076919E-3</v>
      </c>
      <c r="N1635">
        <f t="shared" si="227"/>
        <v>1.0821374384615385E-2</v>
      </c>
      <c r="O1635">
        <f t="shared" si="228"/>
        <v>7.9820855384615374E-3</v>
      </c>
      <c r="P1635">
        <f t="shared" si="224"/>
        <v>29.594095177732008</v>
      </c>
      <c r="R1635">
        <f t="shared" si="230"/>
        <v>-2.054248168695452E-3</v>
      </c>
    </row>
    <row r="1636" spans="1:19" x14ac:dyDescent="0.2">
      <c r="A1636" t="s">
        <v>1647</v>
      </c>
      <c r="B1636">
        <v>5.7898183200000002</v>
      </c>
      <c r="C1636">
        <v>0.42025149000000001</v>
      </c>
      <c r="D1636">
        <v>5.9492794399999998</v>
      </c>
      <c r="E1636">
        <v>0.47410824000000001</v>
      </c>
      <c r="F1636">
        <v>3.3374191799999999</v>
      </c>
      <c r="G1636">
        <v>1.3327789800000001</v>
      </c>
      <c r="H1636">
        <v>2.7778792800000001</v>
      </c>
      <c r="I1636">
        <v>9.4957199999999992E-3</v>
      </c>
      <c r="J1636">
        <v>1</v>
      </c>
      <c r="K1636">
        <v>950078</v>
      </c>
      <c r="L1636">
        <f t="shared" si="225"/>
        <v>1.2836227615384615E-2</v>
      </c>
      <c r="M1636">
        <f t="shared" si="226"/>
        <v>5.1260730000000001E-3</v>
      </c>
      <c r="N1636">
        <f t="shared" si="227"/>
        <v>1.0684151076923077E-2</v>
      </c>
      <c r="O1636">
        <f t="shared" si="228"/>
        <v>7.9051120384615384E-3</v>
      </c>
      <c r="P1636">
        <f t="shared" si="224"/>
        <v>23.781369591194391</v>
      </c>
      <c r="R1636">
        <f t="shared" si="230"/>
        <v>-2.2208923209373569E-3</v>
      </c>
    </row>
    <row r="1637" spans="1:19" x14ac:dyDescent="0.2">
      <c r="A1637" t="s">
        <v>1648</v>
      </c>
      <c r="B1637">
        <v>5.7464751400000003</v>
      </c>
      <c r="C1637">
        <v>0.32479380000000002</v>
      </c>
      <c r="D1637">
        <v>5.8975866300000002</v>
      </c>
      <c r="E1637">
        <v>0.47410824000000001</v>
      </c>
      <c r="F1637">
        <v>3.3331674900000001</v>
      </c>
      <c r="G1637">
        <v>1.32469412</v>
      </c>
      <c r="H1637">
        <v>2.73118054</v>
      </c>
      <c r="I1637">
        <v>9.6783300000000006E-3</v>
      </c>
      <c r="J1637">
        <v>1</v>
      </c>
      <c r="K1637">
        <v>950078</v>
      </c>
      <c r="L1637">
        <f t="shared" si="225"/>
        <v>1.2819874961538462E-2</v>
      </c>
      <c r="M1637">
        <f t="shared" si="226"/>
        <v>5.0949773846153843E-3</v>
      </c>
      <c r="N1637">
        <f t="shared" si="227"/>
        <v>1.0504540538461539E-2</v>
      </c>
      <c r="O1637">
        <f t="shared" si="228"/>
        <v>7.7997589615384612E-3</v>
      </c>
      <c r="P1637">
        <f t="shared" si="224"/>
        <v>18.3795693353246</v>
      </c>
      <c r="R1637">
        <f t="shared" si="230"/>
        <v>-1.9929765147860667E-3</v>
      </c>
    </row>
    <row r="1638" spans="1:19" x14ac:dyDescent="0.2">
      <c r="A1638" t="s">
        <v>1649</v>
      </c>
      <c r="B1638">
        <v>5.6979411600000001</v>
      </c>
      <c r="C1638">
        <v>0.24214301999999999</v>
      </c>
      <c r="D1638">
        <v>5.8433347700000002</v>
      </c>
      <c r="E1638">
        <v>0.47410824000000001</v>
      </c>
      <c r="F1638">
        <v>3.3289157999999999</v>
      </c>
      <c r="G1638">
        <v>1.31307638</v>
      </c>
      <c r="H1638">
        <v>2.6781922200000001</v>
      </c>
      <c r="I1638">
        <v>9.6783300000000006E-3</v>
      </c>
      <c r="J1638">
        <v>1</v>
      </c>
      <c r="K1638">
        <v>950078</v>
      </c>
      <c r="L1638">
        <f t="shared" si="225"/>
        <v>1.2803522307692307E-2</v>
      </c>
      <c r="M1638">
        <f t="shared" si="226"/>
        <v>5.0502937692307693E-3</v>
      </c>
      <c r="N1638">
        <f t="shared" si="227"/>
        <v>1.0300739307692309E-2</v>
      </c>
      <c r="O1638">
        <f t="shared" si="228"/>
        <v>7.6755165384615387E-3</v>
      </c>
      <c r="P1638">
        <f t="shared" si="224"/>
        <v>13.702491935359884</v>
      </c>
      <c r="R1638">
        <f t="shared" si="230"/>
        <v>-1.527596751990191E-3</v>
      </c>
    </row>
    <row r="1639" spans="1:19" x14ac:dyDescent="0.2">
      <c r="A1639" t="s">
        <v>1650</v>
      </c>
      <c r="B1639">
        <v>5.6449949999999998</v>
      </c>
      <c r="C1639">
        <v>0.16675388999999999</v>
      </c>
      <c r="D1639">
        <v>5.7839648099999996</v>
      </c>
      <c r="E1639">
        <v>0.47410824000000001</v>
      </c>
      <c r="F1639">
        <v>3.3197825399999998</v>
      </c>
      <c r="G1639">
        <v>1.2987410399999999</v>
      </c>
      <c r="H1639">
        <v>2.6238680599999999</v>
      </c>
      <c r="I1639">
        <v>9.8609400000000003E-3</v>
      </c>
      <c r="J1639">
        <v>1</v>
      </c>
      <c r="K1639">
        <v>950078</v>
      </c>
      <c r="L1639">
        <f t="shared" si="225"/>
        <v>1.2768394384615384E-2</v>
      </c>
      <c r="M1639">
        <f t="shared" si="226"/>
        <v>4.9951578461538458E-3</v>
      </c>
      <c r="N1639">
        <f t="shared" si="227"/>
        <v>1.009180023076923E-2</v>
      </c>
      <c r="O1639">
        <f t="shared" si="228"/>
        <v>7.5434790384615383E-3</v>
      </c>
      <c r="P1639">
        <f t="shared" si="224"/>
        <v>9.436339866062994</v>
      </c>
      <c r="R1639">
        <f t="shared" si="230"/>
        <v>-1.0037645255854301E-3</v>
      </c>
    </row>
    <row r="1640" spans="1:19" x14ac:dyDescent="0.2">
      <c r="A1640" t="s">
        <v>1651</v>
      </c>
      <c r="B1640">
        <v>5.5943847</v>
      </c>
      <c r="C1640">
        <v>0.10113498</v>
      </c>
      <c r="D1640">
        <v>5.7292011399999998</v>
      </c>
      <c r="E1640">
        <v>0.61238981000000003</v>
      </c>
      <c r="F1640">
        <v>3.3019884300000002</v>
      </c>
      <c r="G1640">
        <v>1.2835904199999999</v>
      </c>
      <c r="H1640">
        <v>2.5701561599999998</v>
      </c>
      <c r="I1640">
        <v>9.8609400000000003E-3</v>
      </c>
      <c r="J1640">
        <v>1</v>
      </c>
      <c r="K1640">
        <v>950078</v>
      </c>
      <c r="L1640">
        <f t="shared" si="225"/>
        <v>1.26999555E-2</v>
      </c>
      <c r="M1640">
        <f t="shared" si="226"/>
        <v>4.9368862307692307E-3</v>
      </c>
      <c r="N1640">
        <f t="shared" si="227"/>
        <v>9.8852159999999988E-3</v>
      </c>
      <c r="O1640">
        <f t="shared" si="228"/>
        <v>7.4110511153846152E-3</v>
      </c>
      <c r="P1640">
        <f t="shared" si="224"/>
        <v>5.7230691507555456</v>
      </c>
      <c r="R1640">
        <f t="shared" si="230"/>
        <v>-4.0235867834407298E-4</v>
      </c>
      <c r="S1640">
        <f>ABS(SUMIFS($R:$R,$K:$K,K1640))</f>
        <v>5.102015171044666E-3</v>
      </c>
    </row>
    <row r="1641" spans="1:19" x14ac:dyDescent="0.2">
      <c r="A1641" t="s">
        <v>1652</v>
      </c>
      <c r="B1641">
        <v>5.55078198</v>
      </c>
      <c r="C1641">
        <v>5.4396359999999998E-2</v>
      </c>
      <c r="D1641">
        <v>5.6933744400000004</v>
      </c>
      <c r="E1641">
        <v>1.0864980500000001</v>
      </c>
      <c r="F1641">
        <v>3.2827770900000002</v>
      </c>
      <c r="G1641">
        <v>1.27305972</v>
      </c>
      <c r="H1641">
        <v>2.53314226</v>
      </c>
      <c r="I1641">
        <v>9.6783300000000006E-3</v>
      </c>
      <c r="J1641">
        <v>1</v>
      </c>
      <c r="K1641">
        <v>950078</v>
      </c>
      <c r="L1641">
        <f t="shared" si="225"/>
        <v>1.2626065730769232E-2</v>
      </c>
      <c r="M1641">
        <f t="shared" si="226"/>
        <v>4.8963835384615382E-3</v>
      </c>
      <c r="N1641">
        <f t="shared" si="227"/>
        <v>9.7428548461538454E-3</v>
      </c>
      <c r="O1641">
        <f t="shared" si="228"/>
        <v>7.3196191923076926E-3</v>
      </c>
      <c r="P1641">
        <f t="shared" si="224"/>
        <v>3.0782042951844448</v>
      </c>
      <c r="R1641">
        <f t="shared" si="230"/>
        <v>-8.0718946192543772E-5</v>
      </c>
    </row>
    <row r="1642" spans="1:19" x14ac:dyDescent="0.2">
      <c r="A1642" t="s">
        <v>1653</v>
      </c>
      <c r="B1642">
        <v>5.5404003800000003</v>
      </c>
      <c r="C1642">
        <v>4.8719070000000003E-2</v>
      </c>
      <c r="D1642">
        <v>5.6836500499999998</v>
      </c>
      <c r="E1642">
        <v>1.20502511</v>
      </c>
      <c r="F1642">
        <v>3.2645105700000001</v>
      </c>
      <c r="G1642">
        <v>1.2695268399999999</v>
      </c>
      <c r="H1642">
        <v>2.5222885599999998</v>
      </c>
      <c r="I1642">
        <v>9.8609400000000003E-3</v>
      </c>
      <c r="J1642">
        <v>1</v>
      </c>
      <c r="K1642">
        <v>950078</v>
      </c>
      <c r="L1642">
        <f t="shared" si="225"/>
        <v>1.2555809884615386E-2</v>
      </c>
      <c r="M1642">
        <f t="shared" si="226"/>
        <v>4.882795538461538E-3</v>
      </c>
      <c r="N1642">
        <f t="shared" si="227"/>
        <v>9.7011098461538461E-3</v>
      </c>
      <c r="O1642">
        <f t="shared" si="228"/>
        <v>7.2919526923076921E-3</v>
      </c>
      <c r="P1642">
        <f t="shared" si="224"/>
        <v>2.7569354002986901</v>
      </c>
      <c r="R1642">
        <f t="shared" si="230"/>
        <v>1.6938018504877785E-4</v>
      </c>
    </row>
    <row r="1643" spans="1:19" x14ac:dyDescent="0.2">
      <c r="A1643" t="s">
        <v>1654</v>
      </c>
      <c r="B1643">
        <v>5.5562323200000003</v>
      </c>
      <c r="C1643">
        <v>0.10720836</v>
      </c>
      <c r="D1643">
        <v>5.7025870200000002</v>
      </c>
      <c r="E1643">
        <v>1.1457615800000001</v>
      </c>
      <c r="F1643">
        <v>3.24624405</v>
      </c>
      <c r="G1643">
        <v>1.2691192</v>
      </c>
      <c r="H1643">
        <v>2.5426601199999999</v>
      </c>
      <c r="I1643">
        <v>9.6783300000000006E-3</v>
      </c>
      <c r="J1643">
        <v>1</v>
      </c>
      <c r="K1643">
        <v>950078</v>
      </c>
      <c r="L1643">
        <f t="shared" si="225"/>
        <v>1.2485554038461539E-2</v>
      </c>
      <c r="M1643">
        <f t="shared" si="226"/>
        <v>4.8812276923076922E-3</v>
      </c>
      <c r="N1643">
        <f t="shared" si="227"/>
        <v>9.7794619999999992E-3</v>
      </c>
      <c r="O1643">
        <f t="shared" si="228"/>
        <v>7.3303448461538457E-3</v>
      </c>
      <c r="P1643">
        <f t="shared" si="224"/>
        <v>6.066752154586819</v>
      </c>
      <c r="R1643">
        <f t="shared" si="230"/>
        <v>7.866418196542629E-4</v>
      </c>
    </row>
    <row r="1644" spans="1:19" x14ac:dyDescent="0.2">
      <c r="A1644" t="s">
        <v>1655</v>
      </c>
      <c r="B1644">
        <v>5.5959419400000003</v>
      </c>
      <c r="C1644">
        <v>0.18893493</v>
      </c>
      <c r="D1644">
        <v>5.7414845799999998</v>
      </c>
      <c r="E1644">
        <v>1.0272345199999999</v>
      </c>
      <c r="F1644">
        <v>3.2308119899999999</v>
      </c>
      <c r="G1644">
        <v>1.27530174</v>
      </c>
      <c r="H1644">
        <v>2.5852956800000002</v>
      </c>
      <c r="I1644">
        <v>9.8609400000000003E-3</v>
      </c>
      <c r="J1644">
        <v>1</v>
      </c>
      <c r="K1644">
        <v>950079</v>
      </c>
      <c r="L1644">
        <f t="shared" si="225"/>
        <v>1.2426199961538461E-2</v>
      </c>
      <c r="M1644">
        <f t="shared" si="226"/>
        <v>4.905006692307692E-3</v>
      </c>
      <c r="N1644">
        <f t="shared" si="227"/>
        <v>9.9434449230769231E-3</v>
      </c>
      <c r="O1644">
        <f t="shared" si="228"/>
        <v>7.4242258076923084E-3</v>
      </c>
      <c r="P1644">
        <f t="shared" si="224"/>
        <v>10.691529967011993</v>
      </c>
      <c r="Q1644">
        <f t="shared" ref="Q1644" si="232">ABS(0.5*(SUMPRODUCT(O1644:O1662,P1645:P1663)+O1663*P1644-(SUMPRODUCT(O1645:O1663,P1644:P1662)+O1644*P1663)))</f>
        <v>5.1661063712939992E-3</v>
      </c>
      <c r="R1644">
        <f t="shared" si="230"/>
        <v>1.8100920391580495E-3</v>
      </c>
    </row>
    <row r="1645" spans="1:19" x14ac:dyDescent="0.2">
      <c r="A1645" t="s">
        <v>1656</v>
      </c>
      <c r="B1645">
        <v>5.6504453400000001</v>
      </c>
      <c r="C1645">
        <v>0.28122390000000003</v>
      </c>
      <c r="D1645">
        <v>5.8023899700000001</v>
      </c>
      <c r="E1645">
        <v>0.84944392999999996</v>
      </c>
      <c r="F1645">
        <v>3.2265603</v>
      </c>
      <c r="G1645">
        <v>1.2898409</v>
      </c>
      <c r="H1645">
        <v>2.6415122800000002</v>
      </c>
      <c r="I1645">
        <v>9.6783300000000006E-3</v>
      </c>
      <c r="J1645">
        <v>1</v>
      </c>
      <c r="K1645">
        <v>950079</v>
      </c>
      <c r="L1645">
        <f t="shared" si="225"/>
        <v>1.2409847307692307E-2</v>
      </c>
      <c r="M1645">
        <f t="shared" si="226"/>
        <v>4.9609265384615384E-3</v>
      </c>
      <c r="N1645">
        <f t="shared" si="227"/>
        <v>1.0159662615384616E-2</v>
      </c>
      <c r="O1645">
        <f t="shared" si="228"/>
        <v>7.5602945769230774E-3</v>
      </c>
      <c r="P1645">
        <f t="shared" si="224"/>
        <v>15.914017351317643</v>
      </c>
      <c r="R1645">
        <f t="shared" si="230"/>
        <v>2.8681373793388505E-3</v>
      </c>
    </row>
    <row r="1646" spans="1:19" x14ac:dyDescent="0.2">
      <c r="A1646" t="s">
        <v>1657</v>
      </c>
      <c r="B1646">
        <v>5.7075441400000004</v>
      </c>
      <c r="C1646">
        <v>0.39001661999999998</v>
      </c>
      <c r="D1646">
        <v>5.8699488899999999</v>
      </c>
      <c r="E1646">
        <v>0.73091687000000005</v>
      </c>
      <c r="F1646">
        <v>3.22750512</v>
      </c>
      <c r="G1646">
        <v>1.30519534</v>
      </c>
      <c r="H1646">
        <v>2.7046863800000001</v>
      </c>
      <c r="I1646">
        <v>9.8609400000000003E-3</v>
      </c>
      <c r="J1646">
        <v>1</v>
      </c>
      <c r="K1646">
        <v>950079</v>
      </c>
      <c r="L1646">
        <f t="shared" si="225"/>
        <v>1.2413481230769231E-2</v>
      </c>
      <c r="M1646">
        <f t="shared" si="226"/>
        <v>5.0199820769230774E-3</v>
      </c>
      <c r="N1646">
        <f t="shared" si="227"/>
        <v>1.0402639923076924E-2</v>
      </c>
      <c r="O1646">
        <f t="shared" si="228"/>
        <v>7.7113110000000002E-3</v>
      </c>
      <c r="P1646">
        <f t="shared" si="224"/>
        <v>22.07042594168653</v>
      </c>
      <c r="R1646">
        <f t="shared" si="230"/>
        <v>3.7969548739730627E-3</v>
      </c>
    </row>
    <row r="1647" spans="1:19" x14ac:dyDescent="0.2">
      <c r="A1647" t="s">
        <v>1658</v>
      </c>
      <c r="B1647">
        <v>5.7700932800000002</v>
      </c>
      <c r="C1647">
        <v>0.52376301000000003</v>
      </c>
      <c r="D1647">
        <v>5.9385314300000003</v>
      </c>
      <c r="E1647">
        <v>0.53337177000000002</v>
      </c>
      <c r="F1647">
        <v>3.2317568099999998</v>
      </c>
      <c r="G1647">
        <v>1.3190550999999999</v>
      </c>
      <c r="H1647">
        <v>2.7671925599999998</v>
      </c>
      <c r="I1647">
        <v>9.8609400000000003E-3</v>
      </c>
      <c r="J1647">
        <v>1</v>
      </c>
      <c r="K1647">
        <v>950079</v>
      </c>
      <c r="L1647">
        <f t="shared" si="225"/>
        <v>1.2429833884615384E-2</v>
      </c>
      <c r="M1647">
        <f t="shared" si="226"/>
        <v>5.0732888461538462E-3</v>
      </c>
      <c r="N1647">
        <f t="shared" si="227"/>
        <v>1.0643048307692306E-2</v>
      </c>
      <c r="O1647">
        <f t="shared" si="228"/>
        <v>7.8581685769230757E-3</v>
      </c>
      <c r="P1647">
        <f t="shared" si="224"/>
        <v>29.638923395623046</v>
      </c>
      <c r="R1647">
        <f t="shared" si="230"/>
        <v>4.4438214564954826E-3</v>
      </c>
    </row>
    <row r="1648" spans="1:19" x14ac:dyDescent="0.2">
      <c r="A1648" t="s">
        <v>1659</v>
      </c>
      <c r="B1648">
        <v>5.8295279400000002</v>
      </c>
      <c r="C1648">
        <v>0.70266366000000002</v>
      </c>
      <c r="D1648">
        <v>6.0055785400000001</v>
      </c>
      <c r="E1648">
        <v>0.53337177000000002</v>
      </c>
      <c r="F1648">
        <v>3.2437245300000002</v>
      </c>
      <c r="G1648">
        <v>1.3302651999999999</v>
      </c>
      <c r="H1648">
        <v>2.8225742600000001</v>
      </c>
      <c r="I1648">
        <v>9.6783300000000006E-3</v>
      </c>
      <c r="J1648">
        <v>1</v>
      </c>
      <c r="K1648">
        <v>950079</v>
      </c>
      <c r="L1648">
        <f t="shared" si="225"/>
        <v>1.2475863576923077E-2</v>
      </c>
      <c r="M1648">
        <f t="shared" si="226"/>
        <v>5.1164046153846154E-3</v>
      </c>
      <c r="N1648">
        <f t="shared" si="227"/>
        <v>1.0856054846153847E-2</v>
      </c>
      <c r="O1648">
        <f t="shared" si="228"/>
        <v>7.9862297307692308E-3</v>
      </c>
      <c r="P1648">
        <f t="shared" si="224"/>
        <v>39.762629269348587</v>
      </c>
      <c r="R1648">
        <f t="shared" si="230"/>
        <v>2.7705562936704902E-3</v>
      </c>
    </row>
    <row r="1649" spans="1:19" x14ac:dyDescent="0.2">
      <c r="A1649" t="s">
        <v>1660</v>
      </c>
      <c r="B1649">
        <v>5.8700161800000004</v>
      </c>
      <c r="C1649">
        <v>0.82597967999999999</v>
      </c>
      <c r="D1649">
        <v>6.0429406700000001</v>
      </c>
      <c r="E1649">
        <v>0.47410824000000001</v>
      </c>
      <c r="F1649">
        <v>3.2624634600000002</v>
      </c>
      <c r="G1649">
        <v>1.335021</v>
      </c>
      <c r="H1649">
        <v>2.8511278400000002</v>
      </c>
      <c r="I1649">
        <v>9.8609400000000003E-3</v>
      </c>
      <c r="J1649">
        <v>1</v>
      </c>
      <c r="K1649">
        <v>950079</v>
      </c>
      <c r="L1649">
        <f t="shared" si="225"/>
        <v>1.2547936384615386E-2</v>
      </c>
      <c r="M1649">
        <f t="shared" si="226"/>
        <v>5.1346961538461539E-3</v>
      </c>
      <c r="N1649">
        <f t="shared" si="227"/>
        <v>1.0965876307692309E-2</v>
      </c>
      <c r="O1649">
        <f t="shared" si="228"/>
        <v>8.0502862307692321E-3</v>
      </c>
      <c r="P1649">
        <f t="shared" si="224"/>
        <v>46.74088852105313</v>
      </c>
      <c r="R1649">
        <f t="shared" si="230"/>
        <v>9.8152214808269484E-4</v>
      </c>
    </row>
    <row r="1650" spans="1:19" x14ac:dyDescent="0.2">
      <c r="A1650" t="s">
        <v>1661</v>
      </c>
      <c r="B1650">
        <v>5.8816954800000003</v>
      </c>
      <c r="C1650">
        <v>0.85463018999999996</v>
      </c>
      <c r="D1650">
        <v>6.0526650599999998</v>
      </c>
      <c r="E1650">
        <v>0.47410824000000001</v>
      </c>
      <c r="F1650">
        <v>3.27742311</v>
      </c>
      <c r="G1650">
        <v>1.33712714</v>
      </c>
      <c r="H1650">
        <v>2.8597551399999999</v>
      </c>
      <c r="I1650">
        <v>9.6783300000000006E-3</v>
      </c>
      <c r="J1650">
        <v>1</v>
      </c>
      <c r="K1650">
        <v>950079</v>
      </c>
      <c r="L1650">
        <f t="shared" si="225"/>
        <v>1.26054735E-2</v>
      </c>
      <c r="M1650">
        <f t="shared" si="226"/>
        <v>5.1427966923076919E-3</v>
      </c>
      <c r="N1650">
        <f t="shared" si="227"/>
        <v>1.0999058230769231E-2</v>
      </c>
      <c r="O1650">
        <f t="shared" si="228"/>
        <v>8.0709274615384605E-3</v>
      </c>
      <c r="P1650">
        <f t="shared" si="224"/>
        <v>48.362175734778916</v>
      </c>
      <c r="R1650">
        <f t="shared" si="230"/>
        <v>2.8820675414368912E-4</v>
      </c>
    </row>
    <row r="1651" spans="1:19" x14ac:dyDescent="0.2">
      <c r="A1651" t="s">
        <v>1662</v>
      </c>
      <c r="B1651">
        <v>5.8824740999999996</v>
      </c>
      <c r="C1651">
        <v>0.85502628000000003</v>
      </c>
      <c r="D1651">
        <v>6.0542004900000004</v>
      </c>
      <c r="E1651">
        <v>0.47410824000000001</v>
      </c>
      <c r="F1651">
        <v>3.2908080599999998</v>
      </c>
      <c r="G1651">
        <v>1.3373309600000001</v>
      </c>
      <c r="H1651">
        <v>2.8626494600000001</v>
      </c>
      <c r="I1651">
        <v>9.8609400000000003E-3</v>
      </c>
      <c r="J1651">
        <v>1</v>
      </c>
      <c r="K1651">
        <v>950079</v>
      </c>
      <c r="L1651">
        <f t="shared" si="225"/>
        <v>1.2656954076923077E-2</v>
      </c>
      <c r="M1651">
        <f t="shared" si="226"/>
        <v>5.1435806153846157E-3</v>
      </c>
      <c r="N1651">
        <f t="shared" si="227"/>
        <v>1.1010190230769231E-2</v>
      </c>
      <c r="O1651">
        <f t="shared" si="228"/>
        <v>8.0768854230769231E-3</v>
      </c>
      <c r="P1651">
        <f t="shared" si="224"/>
        <v>48.384589843724434</v>
      </c>
      <c r="R1651">
        <f t="shared" si="230"/>
        <v>-1.4850525813704291E-4</v>
      </c>
    </row>
    <row r="1652" spans="1:19" x14ac:dyDescent="0.2">
      <c r="A1652" t="s">
        <v>1663</v>
      </c>
      <c r="B1652">
        <v>5.87624514</v>
      </c>
      <c r="C1652">
        <v>0.81634149</v>
      </c>
      <c r="D1652">
        <v>6.0511296300000001</v>
      </c>
      <c r="E1652">
        <v>0.47410824000000001</v>
      </c>
      <c r="F1652">
        <v>3.30671253</v>
      </c>
      <c r="G1652">
        <v>1.3375347799999999</v>
      </c>
      <c r="H1652">
        <v>2.86081268</v>
      </c>
      <c r="I1652">
        <v>9.8609400000000003E-3</v>
      </c>
      <c r="J1652">
        <v>1</v>
      </c>
      <c r="K1652">
        <v>950079</v>
      </c>
      <c r="L1652">
        <f t="shared" si="225"/>
        <v>1.2718125115384615E-2</v>
      </c>
      <c r="M1652">
        <f t="shared" si="226"/>
        <v>5.1443645384615377E-3</v>
      </c>
      <c r="N1652">
        <f t="shared" si="227"/>
        <v>1.1003125692307693E-2</v>
      </c>
      <c r="O1652">
        <f t="shared" si="228"/>
        <v>8.0737451153846153E-3</v>
      </c>
      <c r="P1652">
        <f t="shared" si="224"/>
        <v>46.195478536712194</v>
      </c>
      <c r="R1652">
        <f t="shared" si="230"/>
        <v>-1.0233803598987483E-3</v>
      </c>
    </row>
    <row r="1653" spans="1:19" x14ac:dyDescent="0.2">
      <c r="A1653" t="s">
        <v>1664</v>
      </c>
      <c r="B1653">
        <v>5.8619704400000003</v>
      </c>
      <c r="C1653">
        <v>0.70345584000000005</v>
      </c>
      <c r="D1653">
        <v>6.0367989499999997</v>
      </c>
      <c r="E1653">
        <v>0.47410824000000001</v>
      </c>
      <c r="F1653">
        <v>3.31726302</v>
      </c>
      <c r="G1653">
        <v>1.3377386</v>
      </c>
      <c r="H1653">
        <v>2.84823352</v>
      </c>
      <c r="I1653">
        <v>9.6783300000000006E-3</v>
      </c>
      <c r="J1653">
        <v>1</v>
      </c>
      <c r="K1653">
        <v>950079</v>
      </c>
      <c r="L1653">
        <f t="shared" si="225"/>
        <v>1.2758703923076924E-2</v>
      </c>
      <c r="M1653">
        <f t="shared" si="226"/>
        <v>5.1451484615384615E-3</v>
      </c>
      <c r="N1653">
        <f t="shared" si="227"/>
        <v>1.0954744307692308E-2</v>
      </c>
      <c r="O1653">
        <f t="shared" si="228"/>
        <v>8.0499463846153835E-3</v>
      </c>
      <c r="P1653">
        <f t="shared" si="224"/>
        <v>39.807457487239624</v>
      </c>
      <c r="R1653">
        <f t="shared" si="230"/>
        <v>-9.0185236969149191E-4</v>
      </c>
    </row>
    <row r="1654" spans="1:19" x14ac:dyDescent="0.2">
      <c r="A1654" t="s">
        <v>1665</v>
      </c>
      <c r="B1654">
        <v>5.84847436</v>
      </c>
      <c r="C1654">
        <v>0.61803242999999997</v>
      </c>
      <c r="D1654">
        <v>6.0178619800000002</v>
      </c>
      <c r="E1654">
        <v>0.47410824000000001</v>
      </c>
      <c r="F1654">
        <v>3.32545146</v>
      </c>
      <c r="G1654">
        <v>1.3379424200000001</v>
      </c>
      <c r="H1654">
        <v>2.83548738</v>
      </c>
      <c r="I1654">
        <v>9.4957199999999992E-3</v>
      </c>
      <c r="J1654">
        <v>1</v>
      </c>
      <c r="K1654">
        <v>950079</v>
      </c>
      <c r="L1654">
        <f t="shared" si="225"/>
        <v>1.2790197923076924E-2</v>
      </c>
      <c r="M1654">
        <f t="shared" si="226"/>
        <v>5.1459323846153853E-3</v>
      </c>
      <c r="N1654">
        <f t="shared" si="227"/>
        <v>1.0905720692307693E-2</v>
      </c>
      <c r="O1654">
        <f t="shared" si="228"/>
        <v>8.025826538461539E-3</v>
      </c>
      <c r="P1654">
        <f t="shared" si="224"/>
        <v>34.973481324656277</v>
      </c>
      <c r="R1654">
        <f t="shared" si="230"/>
        <v>-1.3886221412263426E-3</v>
      </c>
    </row>
    <row r="1655" spans="1:19" x14ac:dyDescent="0.2">
      <c r="A1655" t="s">
        <v>1666</v>
      </c>
      <c r="B1655">
        <v>5.8271920799999997</v>
      </c>
      <c r="C1655">
        <v>0.52257474000000004</v>
      </c>
      <c r="D1655">
        <v>5.98971243</v>
      </c>
      <c r="E1655">
        <v>0.47410824000000001</v>
      </c>
      <c r="F1655">
        <v>3.3322226700000002</v>
      </c>
      <c r="G1655">
        <v>1.3373309600000001</v>
      </c>
      <c r="H1655">
        <v>2.8137243199999999</v>
      </c>
      <c r="I1655">
        <v>9.4957199999999992E-3</v>
      </c>
      <c r="J1655">
        <v>1</v>
      </c>
      <c r="K1655">
        <v>950079</v>
      </c>
      <c r="L1655">
        <f t="shared" si="225"/>
        <v>1.2816241038461539E-2</v>
      </c>
      <c r="M1655">
        <f t="shared" si="226"/>
        <v>5.1435806153846157E-3</v>
      </c>
      <c r="N1655">
        <f t="shared" si="227"/>
        <v>1.0822016615384615E-2</v>
      </c>
      <c r="O1655">
        <f t="shared" si="228"/>
        <v>7.9827986153846141E-3</v>
      </c>
      <c r="P1655">
        <f t="shared" si="224"/>
        <v>29.571681068786493</v>
      </c>
      <c r="R1655">
        <f t="shared" si="230"/>
        <v>-2.068778320425721E-3</v>
      </c>
    </row>
    <row r="1656" spans="1:19" x14ac:dyDescent="0.2">
      <c r="A1656" t="s">
        <v>1667</v>
      </c>
      <c r="B1656">
        <v>5.7931923400000001</v>
      </c>
      <c r="C1656">
        <v>0.41945930999999997</v>
      </c>
      <c r="D1656">
        <v>5.9508148700000003</v>
      </c>
      <c r="E1656">
        <v>0.47410824000000001</v>
      </c>
      <c r="F1656">
        <v>3.3374191799999999</v>
      </c>
      <c r="G1656">
        <v>1.3329827999999999</v>
      </c>
      <c r="H1656">
        <v>2.7777123000000001</v>
      </c>
      <c r="I1656">
        <v>9.4957199999999992E-3</v>
      </c>
      <c r="J1656">
        <v>1</v>
      </c>
      <c r="K1656">
        <v>950079</v>
      </c>
      <c r="L1656">
        <f t="shared" si="225"/>
        <v>1.2836227615384615E-2</v>
      </c>
      <c r="M1656">
        <f t="shared" si="226"/>
        <v>5.126856923076923E-3</v>
      </c>
      <c r="N1656">
        <f t="shared" si="227"/>
        <v>1.0683508846153846E-2</v>
      </c>
      <c r="O1656">
        <f t="shared" si="228"/>
        <v>7.9051828846153846E-3</v>
      </c>
      <c r="P1656">
        <f t="shared" si="224"/>
        <v>23.736541373303353</v>
      </c>
      <c r="R1656">
        <f t="shared" si="230"/>
        <v>-2.2197116232653699E-3</v>
      </c>
    </row>
    <row r="1657" spans="1:19" x14ac:dyDescent="0.2">
      <c r="A1657" t="s">
        <v>1668</v>
      </c>
      <c r="B1657">
        <v>5.7488109999999999</v>
      </c>
      <c r="C1657">
        <v>0.32518988999999998</v>
      </c>
      <c r="D1657">
        <v>5.8975866300000002</v>
      </c>
      <c r="E1657">
        <v>0.47410824000000001</v>
      </c>
      <c r="F1657">
        <v>3.3336399000000001</v>
      </c>
      <c r="G1657">
        <v>1.3248979400000001</v>
      </c>
      <c r="H1657">
        <v>2.7310135600000001</v>
      </c>
      <c r="I1657">
        <v>9.8609400000000003E-3</v>
      </c>
      <c r="J1657">
        <v>1</v>
      </c>
      <c r="K1657">
        <v>950079</v>
      </c>
      <c r="L1657">
        <f t="shared" si="225"/>
        <v>1.2821691923076924E-2</v>
      </c>
      <c r="M1657">
        <f t="shared" si="226"/>
        <v>5.0957613076923081E-3</v>
      </c>
      <c r="N1657">
        <f t="shared" si="227"/>
        <v>1.0503898307692308E-2</v>
      </c>
      <c r="O1657">
        <f t="shared" si="228"/>
        <v>7.7998298076923092E-3</v>
      </c>
      <c r="P1657">
        <f t="shared" si="224"/>
        <v>18.401983444270115</v>
      </c>
      <c r="R1657">
        <f t="shared" si="230"/>
        <v>-1.9910674667646113E-3</v>
      </c>
    </row>
    <row r="1658" spans="1:19" x14ac:dyDescent="0.2">
      <c r="A1658" t="s">
        <v>1669</v>
      </c>
      <c r="B1658">
        <v>5.6987197800000002</v>
      </c>
      <c r="C1658">
        <v>0.24055866000000001</v>
      </c>
      <c r="D1658">
        <v>5.8433347700000002</v>
      </c>
      <c r="E1658">
        <v>0.47410824000000001</v>
      </c>
      <c r="F1658">
        <v>3.3273410999999999</v>
      </c>
      <c r="G1658">
        <v>1.31287256</v>
      </c>
      <c r="H1658">
        <v>2.6783592000000001</v>
      </c>
      <c r="I1658">
        <v>9.8609400000000003E-3</v>
      </c>
      <c r="J1658">
        <v>1</v>
      </c>
      <c r="K1658">
        <v>950079</v>
      </c>
      <c r="L1658">
        <f t="shared" si="225"/>
        <v>1.2797465769230769E-2</v>
      </c>
      <c r="M1658">
        <f t="shared" si="226"/>
        <v>5.0495098461538464E-3</v>
      </c>
      <c r="N1658">
        <f t="shared" si="227"/>
        <v>1.0301381538461539E-2</v>
      </c>
      <c r="O1658">
        <f t="shared" si="228"/>
        <v>7.6754456923076916E-3</v>
      </c>
      <c r="P1658">
        <f t="shared" si="224"/>
        <v>13.612835499577812</v>
      </c>
      <c r="R1658">
        <f t="shared" si="230"/>
        <v>-1.5421105675707144E-3</v>
      </c>
    </row>
    <row r="1659" spans="1:19" x14ac:dyDescent="0.2">
      <c r="A1659" t="s">
        <v>1670</v>
      </c>
      <c r="B1659">
        <v>5.6457736199999999</v>
      </c>
      <c r="C1659">
        <v>0.16596171000000001</v>
      </c>
      <c r="D1659">
        <v>5.78242938</v>
      </c>
      <c r="E1659">
        <v>0.47410824000000001</v>
      </c>
      <c r="F1659">
        <v>3.3177354299999999</v>
      </c>
      <c r="G1659">
        <v>1.29853722</v>
      </c>
      <c r="H1659">
        <v>2.6229775000000002</v>
      </c>
      <c r="I1659">
        <v>9.8609400000000003E-3</v>
      </c>
      <c r="J1659">
        <v>1</v>
      </c>
      <c r="K1659">
        <v>950079</v>
      </c>
      <c r="L1659">
        <f t="shared" si="225"/>
        <v>1.2760520884615384E-2</v>
      </c>
      <c r="M1659">
        <f t="shared" si="226"/>
        <v>4.9943739230769229E-3</v>
      </c>
      <c r="N1659">
        <f t="shared" si="227"/>
        <v>1.0088375E-2</v>
      </c>
      <c r="O1659">
        <f t="shared" si="228"/>
        <v>7.541374461538462E-3</v>
      </c>
      <c r="P1659">
        <f t="shared" si="224"/>
        <v>9.39151164817196</v>
      </c>
      <c r="R1659">
        <f t="shared" si="230"/>
        <v>-9.9756058873912297E-4</v>
      </c>
    </row>
    <row r="1660" spans="1:19" x14ac:dyDescent="0.2">
      <c r="A1660" t="s">
        <v>1671</v>
      </c>
      <c r="B1660">
        <v>5.5910106800000001</v>
      </c>
      <c r="C1660">
        <v>0.10113498</v>
      </c>
      <c r="D1660">
        <v>5.7276657100000001</v>
      </c>
      <c r="E1660">
        <v>0.73091687000000005</v>
      </c>
      <c r="F1660">
        <v>3.3019884300000002</v>
      </c>
      <c r="G1660">
        <v>1.2833866</v>
      </c>
      <c r="H1660">
        <v>2.5694882400000001</v>
      </c>
      <c r="I1660">
        <v>9.6783300000000006E-3</v>
      </c>
      <c r="J1660">
        <v>1</v>
      </c>
      <c r="K1660">
        <v>950079</v>
      </c>
      <c r="L1660">
        <f t="shared" si="225"/>
        <v>1.26999555E-2</v>
      </c>
      <c r="M1660">
        <f t="shared" si="226"/>
        <v>4.9361023076923078E-3</v>
      </c>
      <c r="N1660">
        <f t="shared" si="227"/>
        <v>9.8826470769230769E-3</v>
      </c>
      <c r="O1660">
        <f t="shared" si="228"/>
        <v>7.4093746923076928E-3</v>
      </c>
      <c r="P1660">
        <f t="shared" si="224"/>
        <v>5.7230691507555456</v>
      </c>
      <c r="R1660">
        <f t="shared" si="230"/>
        <v>-4.0468551515502991E-4</v>
      </c>
    </row>
    <row r="1661" spans="1:19" x14ac:dyDescent="0.2">
      <c r="A1661" t="s">
        <v>1672</v>
      </c>
      <c r="B1661">
        <v>5.5523392200000004</v>
      </c>
      <c r="C1661">
        <v>5.3604180000000001E-2</v>
      </c>
      <c r="D1661">
        <v>5.68672091</v>
      </c>
      <c r="E1661">
        <v>1.0864980500000001</v>
      </c>
      <c r="F1661">
        <v>3.2807299799999998</v>
      </c>
      <c r="G1661">
        <v>1.27305972</v>
      </c>
      <c r="H1661">
        <v>2.53175076</v>
      </c>
      <c r="I1661">
        <v>9.6783300000000006E-3</v>
      </c>
      <c r="J1661">
        <v>1</v>
      </c>
      <c r="K1661">
        <v>950079</v>
      </c>
      <c r="L1661">
        <f t="shared" si="225"/>
        <v>1.261819223076923E-2</v>
      </c>
      <c r="M1661">
        <f t="shared" si="226"/>
        <v>4.8963835384615382E-3</v>
      </c>
      <c r="N1661">
        <f t="shared" si="227"/>
        <v>9.7375029230769225E-3</v>
      </c>
      <c r="O1661">
        <f t="shared" si="228"/>
        <v>7.3169432307692303E-3</v>
      </c>
      <c r="P1661">
        <f t="shared" si="224"/>
        <v>3.0333760772934095</v>
      </c>
      <c r="R1661">
        <f t="shared" si="230"/>
        <v>-7.7908316501143219E-5</v>
      </c>
      <c r="S1661">
        <f>ABS(SUMIFS($R:$R,$K:$K,K1661))</f>
        <v>5.1716848859653542E-3</v>
      </c>
    </row>
    <row r="1662" spans="1:19" x14ac:dyDescent="0.2">
      <c r="A1662" t="s">
        <v>1673</v>
      </c>
      <c r="B1662">
        <v>5.53884314</v>
      </c>
      <c r="C1662">
        <v>4.951125E-2</v>
      </c>
      <c r="D1662">
        <v>5.6775083300000002</v>
      </c>
      <c r="E1662">
        <v>1.1457615800000001</v>
      </c>
      <c r="F1662">
        <v>3.2624634600000002</v>
      </c>
      <c r="G1662">
        <v>1.2695268399999999</v>
      </c>
      <c r="H1662">
        <v>2.521398</v>
      </c>
      <c r="I1662">
        <v>9.6783300000000006E-3</v>
      </c>
      <c r="J1662">
        <v>1</v>
      </c>
      <c r="K1662">
        <v>950079</v>
      </c>
      <c r="L1662">
        <f t="shared" si="225"/>
        <v>1.2547936384615386E-2</v>
      </c>
      <c r="M1662">
        <f t="shared" si="226"/>
        <v>4.882795538461538E-3</v>
      </c>
      <c r="N1662">
        <f t="shared" si="227"/>
        <v>9.6976846153846163E-3</v>
      </c>
      <c r="O1662">
        <f t="shared" si="228"/>
        <v>7.2902400769230763E-3</v>
      </c>
      <c r="P1662">
        <f t="shared" si="224"/>
        <v>2.8017636181897254</v>
      </c>
      <c r="R1662">
        <f t="shared" si="230"/>
        <v>1.683901383391988E-4</v>
      </c>
    </row>
    <row r="1663" spans="1:19" x14ac:dyDescent="0.2">
      <c r="A1663" t="s">
        <v>1674</v>
      </c>
      <c r="B1663">
        <v>5.55467508</v>
      </c>
      <c r="C1663">
        <v>0.10681227</v>
      </c>
      <c r="D1663">
        <v>5.6964452999999997</v>
      </c>
      <c r="E1663">
        <v>1.1457615800000001</v>
      </c>
      <c r="F1663">
        <v>3.2457716400000001</v>
      </c>
      <c r="G1663">
        <v>1.2691192</v>
      </c>
      <c r="H1663">
        <v>2.5416025800000002</v>
      </c>
      <c r="I1663">
        <v>9.6783300000000006E-3</v>
      </c>
      <c r="J1663">
        <v>1</v>
      </c>
      <c r="K1663">
        <v>950079</v>
      </c>
      <c r="L1663">
        <f t="shared" si="225"/>
        <v>1.2483737076923077E-2</v>
      </c>
      <c r="M1663">
        <f t="shared" si="226"/>
        <v>4.8812276923076922E-3</v>
      </c>
      <c r="N1663">
        <f t="shared" si="227"/>
        <v>9.775394538461539E-3</v>
      </c>
      <c r="O1663">
        <f t="shared" si="228"/>
        <v>7.3283111153846156E-3</v>
      </c>
      <c r="P1663">
        <f t="shared" si="224"/>
        <v>6.0443380456413012</v>
      </c>
      <c r="R1663">
        <f t="shared" si="230"/>
        <v>8.0818633013917545E-4</v>
      </c>
    </row>
    <row r="1664" spans="1:19" x14ac:dyDescent="0.2">
      <c r="A1664" t="s">
        <v>1675</v>
      </c>
      <c r="B1664">
        <v>5.5951633200000002</v>
      </c>
      <c r="C1664">
        <v>0.18774666000000001</v>
      </c>
      <c r="D1664">
        <v>5.7414845799999998</v>
      </c>
      <c r="E1664">
        <v>1.0272345199999999</v>
      </c>
      <c r="F1664">
        <v>3.2293947599999999</v>
      </c>
      <c r="G1664">
        <v>1.2761849599999999</v>
      </c>
      <c r="H1664">
        <v>2.5849617199999999</v>
      </c>
      <c r="I1664">
        <v>9.8609400000000003E-3</v>
      </c>
      <c r="J1664">
        <v>1</v>
      </c>
      <c r="K1664">
        <v>950080</v>
      </c>
      <c r="L1664">
        <f t="shared" si="225"/>
        <v>1.2420749076923077E-2</v>
      </c>
      <c r="M1664">
        <f t="shared" si="226"/>
        <v>4.9084036923076916E-3</v>
      </c>
      <c r="N1664">
        <f t="shared" si="227"/>
        <v>9.9421604615384605E-3</v>
      </c>
      <c r="O1664">
        <f t="shared" si="228"/>
        <v>7.4252820769230773E-3</v>
      </c>
      <c r="P1664">
        <f t="shared" si="224"/>
        <v>10.62428764017544</v>
      </c>
      <c r="Q1664">
        <f t="shared" ref="Q1664" si="233">ABS(0.5*(SUMPRODUCT(O1664:O1682,P1665:P1683)+O1683*P1664-(SUMPRODUCT(O1665:O1683,P1664:P1682)+O1664*P1683)))</f>
        <v>5.185147323942596E-3</v>
      </c>
      <c r="R1664">
        <f t="shared" si="230"/>
        <v>1.8219926137481612E-3</v>
      </c>
    </row>
    <row r="1665" spans="1:18" x14ac:dyDescent="0.2">
      <c r="A1665" t="s">
        <v>1676</v>
      </c>
      <c r="B1665">
        <v>5.6481094799999996</v>
      </c>
      <c r="C1665">
        <v>0.28360044000000001</v>
      </c>
      <c r="D1665">
        <v>5.7977836800000002</v>
      </c>
      <c r="E1665">
        <v>0.79018040000000001</v>
      </c>
      <c r="F1665">
        <v>3.2226235499999998</v>
      </c>
      <c r="G1665">
        <v>1.2898409</v>
      </c>
      <c r="H1665">
        <v>2.6423471799999998</v>
      </c>
      <c r="I1665">
        <v>9.8609400000000003E-3</v>
      </c>
      <c r="J1665">
        <v>1</v>
      </c>
      <c r="K1665">
        <v>950080</v>
      </c>
      <c r="L1665">
        <f t="shared" si="225"/>
        <v>1.2394705961538461E-2</v>
      </c>
      <c r="M1665">
        <f t="shared" si="226"/>
        <v>4.9609265384615384E-3</v>
      </c>
      <c r="N1665">
        <f t="shared" si="227"/>
        <v>1.0162873769230769E-2</v>
      </c>
      <c r="O1665">
        <f t="shared" si="228"/>
        <v>7.5619001538461527E-3</v>
      </c>
      <c r="P1665">
        <f t="shared" si="224"/>
        <v>16.048502004990748</v>
      </c>
      <c r="R1665">
        <f t="shared" si="230"/>
        <v>2.8940882682943494E-3</v>
      </c>
    </row>
    <row r="1666" spans="1:18" x14ac:dyDescent="0.2">
      <c r="A1666" t="s">
        <v>1677</v>
      </c>
      <c r="B1666">
        <v>5.7083227599999997</v>
      </c>
      <c r="C1666">
        <v>0.39371346000000002</v>
      </c>
      <c r="D1666">
        <v>5.8714843200000004</v>
      </c>
      <c r="E1666">
        <v>0.73091687000000005</v>
      </c>
      <c r="F1666">
        <v>3.2259304200000001</v>
      </c>
      <c r="G1666">
        <v>1.30519534</v>
      </c>
      <c r="H1666">
        <v>2.7055212800000001</v>
      </c>
      <c r="I1666">
        <v>9.8609400000000003E-3</v>
      </c>
      <c r="J1666">
        <v>1</v>
      </c>
      <c r="K1666">
        <v>950080</v>
      </c>
      <c r="L1666">
        <f t="shared" si="225"/>
        <v>1.2407424692307692E-2</v>
      </c>
      <c r="M1666">
        <f t="shared" si="226"/>
        <v>5.0199820769230774E-3</v>
      </c>
      <c r="N1666">
        <f t="shared" si="227"/>
        <v>1.0405851076923078E-2</v>
      </c>
      <c r="O1666">
        <f t="shared" si="228"/>
        <v>7.7129165769230772E-3</v>
      </c>
      <c r="P1666">
        <f t="shared" si="224"/>
        <v>22.279624291844698</v>
      </c>
      <c r="R1666">
        <f t="shared" si="230"/>
        <v>3.8676381663947032E-3</v>
      </c>
    </row>
    <row r="1667" spans="1:18" x14ac:dyDescent="0.2">
      <c r="A1667" t="s">
        <v>1678</v>
      </c>
      <c r="B1667">
        <v>5.7724291399999998</v>
      </c>
      <c r="C1667">
        <v>0.52745984999999995</v>
      </c>
      <c r="D1667">
        <v>5.9400668599999999</v>
      </c>
      <c r="E1667">
        <v>0.67165333999999999</v>
      </c>
      <c r="F1667">
        <v>3.2327016300000002</v>
      </c>
      <c r="G1667">
        <v>1.3194627400000001</v>
      </c>
      <c r="H1667">
        <v>2.7684170799999999</v>
      </c>
      <c r="I1667">
        <v>9.8609400000000003E-3</v>
      </c>
      <c r="J1667">
        <v>1</v>
      </c>
      <c r="K1667">
        <v>950080</v>
      </c>
      <c r="L1667">
        <f t="shared" si="225"/>
        <v>1.2433467807692309E-2</v>
      </c>
      <c r="M1667">
        <f t="shared" si="226"/>
        <v>5.0748566923076929E-3</v>
      </c>
      <c r="N1667">
        <f t="shared" si="227"/>
        <v>1.0647758E-2</v>
      </c>
      <c r="O1667">
        <f t="shared" si="228"/>
        <v>7.8613073461538448E-3</v>
      </c>
      <c r="P1667">
        <f t="shared" ref="P1667:P1730" si="234">+C1667*4/(PI()*0.15^2)</f>
        <v>29.848121745781206</v>
      </c>
      <c r="R1667">
        <f t="shared" si="230"/>
        <v>4.3673009392914625E-3</v>
      </c>
    </row>
    <row r="1668" spans="1:18" x14ac:dyDescent="0.2">
      <c r="A1668" t="s">
        <v>1679</v>
      </c>
      <c r="B1668">
        <v>5.83264242</v>
      </c>
      <c r="C1668">
        <v>0.70636049999999995</v>
      </c>
      <c r="D1668">
        <v>6.0040431099999996</v>
      </c>
      <c r="E1668">
        <v>0.61238981000000003</v>
      </c>
      <c r="F1668">
        <v>3.2418348899999998</v>
      </c>
      <c r="G1668">
        <v>1.32985756</v>
      </c>
      <c r="H1668">
        <v>2.8230751999999999</v>
      </c>
      <c r="I1668">
        <v>9.8609400000000003E-3</v>
      </c>
      <c r="J1668">
        <v>1</v>
      </c>
      <c r="K1668">
        <v>950080</v>
      </c>
      <c r="L1668">
        <f t="shared" ref="L1668:L1731" si="235">+F1668/260</f>
        <v>1.2468595730769231E-2</v>
      </c>
      <c r="M1668">
        <f t="shared" ref="M1668:M1731" si="236">+G1668/260</f>
        <v>5.1148367692307696E-3</v>
      </c>
      <c r="N1668">
        <f t="shared" ref="N1668:N1731" si="237">+H1668/260</f>
        <v>1.0857981538461538E-2</v>
      </c>
      <c r="O1668">
        <f t="shared" ref="O1668:O1731" si="238">(+G1668+H1668)/520</f>
        <v>7.9864091538461527E-3</v>
      </c>
      <c r="P1668">
        <f t="shared" si="234"/>
        <v>39.971827619506747</v>
      </c>
      <c r="R1668">
        <f t="shared" ref="R1668:R1731" si="239">+(P1668+P1669)/2*(O1669-O1668)</f>
        <v>2.7850309111412956E-3</v>
      </c>
    </row>
    <row r="1669" spans="1:18" x14ac:dyDescent="0.2">
      <c r="A1669" t="s">
        <v>1680</v>
      </c>
      <c r="B1669">
        <v>5.8681994</v>
      </c>
      <c r="C1669">
        <v>0.82518749999999996</v>
      </c>
      <c r="D1669">
        <v>6.0414052399999996</v>
      </c>
      <c r="E1669">
        <v>0.41484471000000001</v>
      </c>
      <c r="F1669">
        <v>3.2591565899999999</v>
      </c>
      <c r="G1669">
        <v>1.3352248200000001</v>
      </c>
      <c r="H1669">
        <v>2.8511278400000002</v>
      </c>
      <c r="I1669">
        <v>9.6783300000000006E-3</v>
      </c>
      <c r="J1669">
        <v>1</v>
      </c>
      <c r="K1669">
        <v>950080</v>
      </c>
      <c r="L1669">
        <f t="shared" si="235"/>
        <v>1.2535217653846154E-2</v>
      </c>
      <c r="M1669">
        <f t="shared" si="236"/>
        <v>5.1354800769230768E-3</v>
      </c>
      <c r="N1669">
        <f t="shared" si="237"/>
        <v>1.0965876307692309E-2</v>
      </c>
      <c r="O1669">
        <f t="shared" si="238"/>
        <v>8.0506781923076944E-3</v>
      </c>
      <c r="P1669">
        <f t="shared" si="234"/>
        <v>46.696060303162092</v>
      </c>
      <c r="R1669">
        <f t="shared" si="239"/>
        <v>8.9267719025830903E-4</v>
      </c>
    </row>
    <row r="1670" spans="1:18" x14ac:dyDescent="0.2">
      <c r="A1670" t="s">
        <v>1681</v>
      </c>
      <c r="B1670">
        <v>5.8793596199999998</v>
      </c>
      <c r="C1670">
        <v>0.85093335000000003</v>
      </c>
      <c r="D1670">
        <v>6.0490823899999997</v>
      </c>
      <c r="E1670">
        <v>0.41484471000000001</v>
      </c>
      <c r="F1670">
        <v>3.27789552</v>
      </c>
      <c r="G1670">
        <v>1.3367195000000001</v>
      </c>
      <c r="H1670">
        <v>2.85942118</v>
      </c>
      <c r="I1670">
        <v>9.4957199999999992E-3</v>
      </c>
      <c r="J1670">
        <v>1</v>
      </c>
      <c r="K1670">
        <v>950080</v>
      </c>
      <c r="L1670">
        <f t="shared" si="235"/>
        <v>1.2607290461538462E-2</v>
      </c>
      <c r="M1670">
        <f t="shared" si="236"/>
        <v>5.1412288461538461E-3</v>
      </c>
      <c r="N1670">
        <f t="shared" si="237"/>
        <v>1.099777376923077E-2</v>
      </c>
      <c r="O1670">
        <f t="shared" si="238"/>
        <v>8.0695013076923072E-3</v>
      </c>
      <c r="P1670">
        <f t="shared" si="234"/>
        <v>48.152977384620748</v>
      </c>
      <c r="R1670">
        <f t="shared" si="239"/>
        <v>2.7853446023432812E-4</v>
      </c>
    </row>
    <row r="1671" spans="1:18" x14ac:dyDescent="0.2">
      <c r="A1671" t="s">
        <v>1682</v>
      </c>
      <c r="B1671">
        <v>5.8850695000000002</v>
      </c>
      <c r="C1671">
        <v>0.85264974000000004</v>
      </c>
      <c r="D1671">
        <v>6.04754696</v>
      </c>
      <c r="E1671">
        <v>0.41484471000000001</v>
      </c>
      <c r="F1671">
        <v>3.2893908299999999</v>
      </c>
      <c r="G1671">
        <v>1.3373309600000001</v>
      </c>
      <c r="H1671">
        <v>2.86181456</v>
      </c>
      <c r="I1671">
        <v>9.6783300000000006E-3</v>
      </c>
      <c r="J1671">
        <v>1</v>
      </c>
      <c r="K1671">
        <v>950080</v>
      </c>
      <c r="L1671">
        <f t="shared" si="235"/>
        <v>1.2651503192307692E-2</v>
      </c>
      <c r="M1671">
        <f t="shared" si="236"/>
        <v>5.1435806153846157E-3</v>
      </c>
      <c r="N1671">
        <f t="shared" si="237"/>
        <v>1.1006979076923077E-2</v>
      </c>
      <c r="O1671">
        <f t="shared" si="238"/>
        <v>8.0752798461538461E-3</v>
      </c>
      <c r="P1671">
        <f t="shared" si="234"/>
        <v>48.250105190051329</v>
      </c>
      <c r="R1671">
        <f t="shared" si="239"/>
        <v>-1.0315189663917887E-4</v>
      </c>
    </row>
    <row r="1672" spans="1:18" x14ac:dyDescent="0.2">
      <c r="A1672" t="s">
        <v>1683</v>
      </c>
      <c r="B1672">
        <v>5.88013824</v>
      </c>
      <c r="C1672">
        <v>0.82201877999999995</v>
      </c>
      <c r="D1672">
        <v>6.0429406700000001</v>
      </c>
      <c r="E1672">
        <v>0.41484471000000001</v>
      </c>
      <c r="F1672">
        <v>3.3038780700000001</v>
      </c>
      <c r="G1672">
        <v>1.3375347799999999</v>
      </c>
      <c r="H1672">
        <v>2.8604787200000001</v>
      </c>
      <c r="I1672">
        <v>9.6783300000000006E-3</v>
      </c>
      <c r="J1672">
        <v>1</v>
      </c>
      <c r="K1672">
        <v>950080</v>
      </c>
      <c r="L1672">
        <f t="shared" si="235"/>
        <v>1.2707223346153847E-2</v>
      </c>
      <c r="M1672">
        <f t="shared" si="236"/>
        <v>5.1443645384615377E-3</v>
      </c>
      <c r="N1672">
        <f t="shared" si="237"/>
        <v>1.1001841230769232E-2</v>
      </c>
      <c r="O1672">
        <f t="shared" si="238"/>
        <v>8.0731028846153848E-3</v>
      </c>
      <c r="P1672">
        <f t="shared" si="234"/>
        <v>46.516747431597949</v>
      </c>
      <c r="R1672">
        <f t="shared" si="239"/>
        <v>-1.0702633543015745E-3</v>
      </c>
    </row>
    <row r="1673" spans="1:18" x14ac:dyDescent="0.2">
      <c r="A1673" t="s">
        <v>1684</v>
      </c>
      <c r="B1673">
        <v>5.8627490599999996</v>
      </c>
      <c r="C1673">
        <v>0.70556832000000003</v>
      </c>
      <c r="D1673">
        <v>6.0275863699999999</v>
      </c>
      <c r="E1673">
        <v>0.41484471000000001</v>
      </c>
      <c r="F1673">
        <v>3.31726302</v>
      </c>
      <c r="G1673">
        <v>1.3377386</v>
      </c>
      <c r="H1673">
        <v>2.8473986199999999</v>
      </c>
      <c r="I1673">
        <v>9.6783300000000006E-3</v>
      </c>
      <c r="J1673">
        <v>1</v>
      </c>
      <c r="K1673">
        <v>950080</v>
      </c>
      <c r="L1673">
        <f t="shared" si="235"/>
        <v>1.2758703923076924E-2</v>
      </c>
      <c r="M1673">
        <f t="shared" si="236"/>
        <v>5.1451484615384615E-3</v>
      </c>
      <c r="N1673">
        <f t="shared" si="237"/>
        <v>1.0951533153846154E-2</v>
      </c>
      <c r="O1673">
        <f t="shared" si="238"/>
        <v>8.0483408076923064E-3</v>
      </c>
      <c r="P1673">
        <f t="shared" si="234"/>
        <v>39.926999401615717</v>
      </c>
      <c r="R1673">
        <f t="shared" si="239"/>
        <v>-9.7672280775302459E-4</v>
      </c>
    </row>
    <row r="1674" spans="1:18" x14ac:dyDescent="0.2">
      <c r="A1674" t="s">
        <v>1685</v>
      </c>
      <c r="B1674">
        <v>5.8469171199999996</v>
      </c>
      <c r="C1674">
        <v>0.61077077999999996</v>
      </c>
      <c r="D1674">
        <v>6.0132556900000003</v>
      </c>
      <c r="E1674">
        <v>0.41484471000000001</v>
      </c>
      <c r="F1674">
        <v>3.32686869</v>
      </c>
      <c r="G1674">
        <v>1.3377386</v>
      </c>
      <c r="H1674">
        <v>2.8337619200000002</v>
      </c>
      <c r="I1674">
        <v>9.8609400000000003E-3</v>
      </c>
      <c r="J1674">
        <v>1</v>
      </c>
      <c r="K1674">
        <v>950080</v>
      </c>
      <c r="L1674">
        <f t="shared" si="235"/>
        <v>1.2795648807692307E-2</v>
      </c>
      <c r="M1674">
        <f t="shared" si="236"/>
        <v>5.1451484615384615E-3</v>
      </c>
      <c r="N1674">
        <f t="shared" si="237"/>
        <v>1.0899084307692309E-2</v>
      </c>
      <c r="O1674">
        <f t="shared" si="238"/>
        <v>8.0221163846153857E-3</v>
      </c>
      <c r="P1674">
        <f t="shared" si="234"/>
        <v>34.562555993988454</v>
      </c>
      <c r="R1674">
        <f t="shared" si="239"/>
        <v>-1.2809542226175231E-3</v>
      </c>
    </row>
    <row r="1675" spans="1:18" x14ac:dyDescent="0.2">
      <c r="A1675" t="s">
        <v>1686</v>
      </c>
      <c r="B1675">
        <v>5.8256348400000002</v>
      </c>
      <c r="C1675">
        <v>0.52217864999999997</v>
      </c>
      <c r="D1675">
        <v>5.98971243</v>
      </c>
      <c r="E1675">
        <v>0.41484471000000001</v>
      </c>
      <c r="F1675">
        <v>3.3322226700000002</v>
      </c>
      <c r="G1675">
        <v>1.3373309600000001</v>
      </c>
      <c r="H1675">
        <v>2.8133903600000001</v>
      </c>
      <c r="I1675">
        <v>9.6783300000000006E-3</v>
      </c>
      <c r="J1675">
        <v>1</v>
      </c>
      <c r="K1675">
        <v>950080</v>
      </c>
      <c r="L1675">
        <f t="shared" si="235"/>
        <v>1.2816241038461539E-2</v>
      </c>
      <c r="M1675">
        <f t="shared" si="236"/>
        <v>5.1435806153846157E-3</v>
      </c>
      <c r="N1675">
        <f t="shared" si="237"/>
        <v>1.0820732153846154E-2</v>
      </c>
      <c r="O1675">
        <f t="shared" si="238"/>
        <v>7.9821563846153853E-3</v>
      </c>
      <c r="P1675">
        <f t="shared" si="234"/>
        <v>29.549266959840971</v>
      </c>
      <c r="R1675">
        <f t="shared" si="239"/>
        <v>-1.9878410188574869E-3</v>
      </c>
    </row>
    <row r="1676" spans="1:18" x14ac:dyDescent="0.2">
      <c r="A1676" t="s">
        <v>1687</v>
      </c>
      <c r="B1676">
        <v>5.7924137199999999</v>
      </c>
      <c r="C1676">
        <v>0.42025149000000001</v>
      </c>
      <c r="D1676">
        <v>5.9446731499999999</v>
      </c>
      <c r="E1676">
        <v>0.41484471000000001</v>
      </c>
      <c r="F1676">
        <v>3.3385214699999999</v>
      </c>
      <c r="G1676">
        <v>1.33318662</v>
      </c>
      <c r="H1676">
        <v>2.7787698399999998</v>
      </c>
      <c r="I1676">
        <v>9.8609400000000003E-3</v>
      </c>
      <c r="J1676">
        <v>1</v>
      </c>
      <c r="K1676">
        <v>950080</v>
      </c>
      <c r="L1676">
        <f t="shared" si="235"/>
        <v>1.2840467192307692E-2</v>
      </c>
      <c r="M1676">
        <f t="shared" si="236"/>
        <v>5.1276408461538459E-3</v>
      </c>
      <c r="N1676">
        <f t="shared" si="237"/>
        <v>1.0687576307692306E-2</v>
      </c>
      <c r="O1676">
        <f t="shared" si="238"/>
        <v>7.907608576923077E-3</v>
      </c>
      <c r="P1676">
        <f t="shared" si="234"/>
        <v>23.781369591194391</v>
      </c>
      <c r="R1676">
        <f t="shared" si="239"/>
        <v>-2.2435119034679178E-3</v>
      </c>
    </row>
    <row r="1677" spans="1:18" x14ac:dyDescent="0.2">
      <c r="A1677" t="s">
        <v>1688</v>
      </c>
      <c r="B1677">
        <v>5.7464751400000003</v>
      </c>
      <c r="C1677">
        <v>0.32756643000000002</v>
      </c>
      <c r="D1677">
        <v>5.8975866300000002</v>
      </c>
      <c r="E1677">
        <v>0.41484471000000001</v>
      </c>
      <c r="F1677">
        <v>3.3380490599999999</v>
      </c>
      <c r="G1677">
        <v>1.32530558</v>
      </c>
      <c r="H1677">
        <v>2.7315144999999998</v>
      </c>
      <c r="I1677">
        <v>9.8609400000000003E-3</v>
      </c>
      <c r="J1677">
        <v>1</v>
      </c>
      <c r="K1677">
        <v>950080</v>
      </c>
      <c r="L1677">
        <f t="shared" si="235"/>
        <v>1.283865023076923E-2</v>
      </c>
      <c r="M1677">
        <f t="shared" si="236"/>
        <v>5.097329153846154E-3</v>
      </c>
      <c r="N1677">
        <f t="shared" si="237"/>
        <v>1.0505825E-2</v>
      </c>
      <c r="O1677">
        <f t="shared" si="238"/>
        <v>7.8015770769230761E-3</v>
      </c>
      <c r="P1677">
        <f t="shared" si="234"/>
        <v>18.536468097943224</v>
      </c>
      <c r="R1677">
        <f t="shared" si="239"/>
        <v>-2.0191311255777331E-3</v>
      </c>
    </row>
    <row r="1678" spans="1:18" x14ac:dyDescent="0.2">
      <c r="A1678" t="s">
        <v>1689</v>
      </c>
      <c r="B1678">
        <v>5.6987197800000002</v>
      </c>
      <c r="C1678">
        <v>0.24174693</v>
      </c>
      <c r="D1678">
        <v>5.8433347700000002</v>
      </c>
      <c r="E1678">
        <v>0.41484471000000001</v>
      </c>
      <c r="F1678">
        <v>3.3298606199999998</v>
      </c>
      <c r="G1678">
        <v>1.3132801999999999</v>
      </c>
      <c r="H1678">
        <v>2.6783592000000001</v>
      </c>
      <c r="I1678">
        <v>9.8609400000000003E-3</v>
      </c>
      <c r="J1678">
        <v>1</v>
      </c>
      <c r="K1678">
        <v>950080</v>
      </c>
      <c r="L1678">
        <f t="shared" si="235"/>
        <v>1.280715623076923E-2</v>
      </c>
      <c r="M1678">
        <f t="shared" si="236"/>
        <v>5.0510776923076922E-3</v>
      </c>
      <c r="N1678">
        <f t="shared" si="237"/>
        <v>1.0301381538461539E-2</v>
      </c>
      <c r="O1678">
        <f t="shared" si="238"/>
        <v>7.6762296153846154E-3</v>
      </c>
      <c r="P1678">
        <f t="shared" si="234"/>
        <v>13.680077826414367</v>
      </c>
      <c r="R1678">
        <f t="shared" si="239"/>
        <v>-1.5328711495887308E-3</v>
      </c>
    </row>
    <row r="1679" spans="1:18" x14ac:dyDescent="0.2">
      <c r="A1679" t="s">
        <v>1690</v>
      </c>
      <c r="B1679">
        <v>5.6488880999999997</v>
      </c>
      <c r="C1679">
        <v>0.1663578</v>
      </c>
      <c r="D1679">
        <v>5.7855002400000002</v>
      </c>
      <c r="E1679">
        <v>0.41484471000000001</v>
      </c>
      <c r="F1679">
        <v>3.3186802499999999</v>
      </c>
      <c r="G1679">
        <v>1.2987410399999999</v>
      </c>
      <c r="H1679">
        <v>2.6238680599999999</v>
      </c>
      <c r="I1679">
        <v>9.8609400000000003E-3</v>
      </c>
      <c r="J1679">
        <v>1</v>
      </c>
      <c r="K1679">
        <v>950080</v>
      </c>
      <c r="L1679">
        <f t="shared" si="235"/>
        <v>1.2764154807692307E-2</v>
      </c>
      <c r="M1679">
        <f t="shared" si="236"/>
        <v>4.9951578461538458E-3</v>
      </c>
      <c r="N1679">
        <f t="shared" si="237"/>
        <v>1.009180023076923E-2</v>
      </c>
      <c r="O1679">
        <f t="shared" si="238"/>
        <v>7.5434790384615383E-3</v>
      </c>
      <c r="P1679">
        <f t="shared" si="234"/>
        <v>9.413925757117477</v>
      </c>
      <c r="R1679">
        <f t="shared" si="239"/>
        <v>-9.9687691387542179E-4</v>
      </c>
    </row>
    <row r="1680" spans="1:18" x14ac:dyDescent="0.2">
      <c r="A1680" t="s">
        <v>1691</v>
      </c>
      <c r="B1680">
        <v>5.5925679199999996</v>
      </c>
      <c r="C1680">
        <v>9.9550620000000006E-2</v>
      </c>
      <c r="D1680">
        <v>5.7276657100000001</v>
      </c>
      <c r="E1680">
        <v>0.61238981000000003</v>
      </c>
      <c r="F1680">
        <v>3.3048228900000001</v>
      </c>
      <c r="G1680">
        <v>1.2833866</v>
      </c>
      <c r="H1680">
        <v>2.5703231400000002</v>
      </c>
      <c r="I1680">
        <v>9.6783300000000006E-3</v>
      </c>
      <c r="J1680">
        <v>1</v>
      </c>
      <c r="K1680">
        <v>950080</v>
      </c>
      <c r="L1680">
        <f t="shared" si="235"/>
        <v>1.2710857269230769E-2</v>
      </c>
      <c r="M1680">
        <f t="shared" si="236"/>
        <v>4.9361023076923078E-3</v>
      </c>
      <c r="N1680">
        <f t="shared" si="237"/>
        <v>9.885858230769231E-3</v>
      </c>
      <c r="O1680">
        <f t="shared" si="238"/>
        <v>7.4109802692307698E-3</v>
      </c>
      <c r="P1680">
        <f t="shared" si="234"/>
        <v>5.633412714973475</v>
      </c>
      <c r="R1680">
        <f t="shared" si="239"/>
        <v>-4.0351342565035783E-4</v>
      </c>
    </row>
    <row r="1681" spans="1:19" x14ac:dyDescent="0.2">
      <c r="A1681" t="s">
        <v>1692</v>
      </c>
      <c r="B1681">
        <v>5.5492247399999997</v>
      </c>
      <c r="C1681">
        <v>5.320809E-2</v>
      </c>
      <c r="D1681">
        <v>5.6887681499999996</v>
      </c>
      <c r="E1681">
        <v>1.0272345199999999</v>
      </c>
      <c r="F1681">
        <v>3.2832495000000002</v>
      </c>
      <c r="G1681">
        <v>1.2728558999999999</v>
      </c>
      <c r="H1681">
        <v>2.5323073599999999</v>
      </c>
      <c r="I1681">
        <v>9.6783300000000006E-3</v>
      </c>
      <c r="J1681">
        <v>1</v>
      </c>
      <c r="K1681">
        <v>950080</v>
      </c>
      <c r="L1681">
        <f t="shared" si="235"/>
        <v>1.2627882692307692E-2</v>
      </c>
      <c r="M1681">
        <f t="shared" si="236"/>
        <v>4.8955996153846153E-3</v>
      </c>
      <c r="N1681">
        <f t="shared" si="237"/>
        <v>9.7396436923076913E-3</v>
      </c>
      <c r="O1681">
        <f t="shared" si="238"/>
        <v>7.3176216538461533E-3</v>
      </c>
      <c r="P1681">
        <f t="shared" si="234"/>
        <v>3.0109619683478916</v>
      </c>
      <c r="R1681">
        <f t="shared" si="239"/>
        <v>-7.8521071974694639E-5</v>
      </c>
    </row>
    <row r="1682" spans="1:19" x14ac:dyDescent="0.2">
      <c r="A1682" t="s">
        <v>1693</v>
      </c>
      <c r="B1682">
        <v>5.5380645199999998</v>
      </c>
      <c r="C1682">
        <v>5.0303430000000003E-2</v>
      </c>
      <c r="D1682">
        <v>5.6790437599999999</v>
      </c>
      <c r="E1682">
        <v>1.1457615800000001</v>
      </c>
      <c r="F1682">
        <v>3.2605738199999998</v>
      </c>
      <c r="G1682">
        <v>1.2693230200000001</v>
      </c>
      <c r="H1682">
        <v>2.5218989399999998</v>
      </c>
      <c r="I1682">
        <v>9.8609400000000003E-3</v>
      </c>
      <c r="J1682">
        <v>1</v>
      </c>
      <c r="K1682">
        <v>950080</v>
      </c>
      <c r="L1682">
        <f t="shared" si="235"/>
        <v>1.2540668538461537E-2</v>
      </c>
      <c r="M1682">
        <f t="shared" si="236"/>
        <v>4.882011615384616E-3</v>
      </c>
      <c r="N1682">
        <f t="shared" si="237"/>
        <v>9.6996113076923077E-3</v>
      </c>
      <c r="O1682">
        <f t="shared" si="238"/>
        <v>7.2908114615384606E-3</v>
      </c>
      <c r="P1682">
        <f t="shared" si="234"/>
        <v>2.8465918360807612</v>
      </c>
      <c r="R1682">
        <f t="shared" si="239"/>
        <v>1.7519567619153078E-4</v>
      </c>
      <c r="S1682">
        <f>ABS(SUMIFS($R:$R,$K:$K,K1682))</f>
        <v>5.1731760157415745E-3</v>
      </c>
    </row>
    <row r="1683" spans="1:19" x14ac:dyDescent="0.2">
      <c r="A1683" t="s">
        <v>1694</v>
      </c>
      <c r="B1683">
        <v>5.5570109399999996</v>
      </c>
      <c r="C1683">
        <v>0.10760445</v>
      </c>
      <c r="D1683">
        <v>5.7041224499999998</v>
      </c>
      <c r="E1683">
        <v>1.0864980500000001</v>
      </c>
      <c r="F1683">
        <v>3.2457716400000001</v>
      </c>
      <c r="G1683">
        <v>1.2691192</v>
      </c>
      <c r="H1683">
        <v>2.5424931399999999</v>
      </c>
      <c r="I1683">
        <v>1.004355E-2</v>
      </c>
      <c r="J1683">
        <v>1</v>
      </c>
      <c r="K1683">
        <v>950080</v>
      </c>
      <c r="L1683">
        <f t="shared" si="235"/>
        <v>1.2483737076923077E-2</v>
      </c>
      <c r="M1683">
        <f t="shared" si="236"/>
        <v>4.8812276923076922E-3</v>
      </c>
      <c r="N1683">
        <f t="shared" si="237"/>
        <v>9.7788197692307687E-3</v>
      </c>
      <c r="O1683">
        <f t="shared" si="238"/>
        <v>7.3300237307692305E-3</v>
      </c>
      <c r="P1683">
        <f t="shared" si="234"/>
        <v>6.0891662635323369</v>
      </c>
      <c r="R1683">
        <f t="shared" si="239"/>
        <v>7.8407668049108273E-4</v>
      </c>
    </row>
    <row r="1684" spans="1:19" x14ac:dyDescent="0.2">
      <c r="A1684" t="s">
        <v>1695</v>
      </c>
      <c r="B1684">
        <v>5.5951633200000002</v>
      </c>
      <c r="C1684">
        <v>0.18735056999999999</v>
      </c>
      <c r="D1684">
        <v>5.7414845799999998</v>
      </c>
      <c r="E1684">
        <v>1.0272345199999999</v>
      </c>
      <c r="F1684">
        <v>3.2336464500000002</v>
      </c>
      <c r="G1684">
        <v>1.27550556</v>
      </c>
      <c r="H1684">
        <v>2.5849617199999999</v>
      </c>
      <c r="I1684">
        <v>9.8609400000000003E-3</v>
      </c>
      <c r="J1684">
        <v>1</v>
      </c>
      <c r="K1684">
        <v>950081</v>
      </c>
      <c r="L1684">
        <f t="shared" si="235"/>
        <v>1.2437101730769231E-2</v>
      </c>
      <c r="M1684">
        <f t="shared" si="236"/>
        <v>4.9057906153846158E-3</v>
      </c>
      <c r="N1684">
        <f t="shared" si="237"/>
        <v>9.9421604615384605E-3</v>
      </c>
      <c r="O1684">
        <f t="shared" si="238"/>
        <v>7.4239755384615386E-3</v>
      </c>
      <c r="P1684">
        <f t="shared" si="234"/>
        <v>10.601873531229922</v>
      </c>
      <c r="Q1684">
        <f t="shared" ref="Q1684" si="240">ABS(0.5*(SUMPRODUCT(O1684:O1702,P1685:P1703)+O1703*P1684-(SUMPRODUCT(O1685:O1703,P1684:P1702)+O1684*P1703)))</f>
        <v>5.1753460460326473E-3</v>
      </c>
      <c r="R1684">
        <f t="shared" si="239"/>
        <v>1.8011744953955672E-3</v>
      </c>
    </row>
    <row r="1685" spans="1:19" x14ac:dyDescent="0.2">
      <c r="A1685" t="s">
        <v>1696</v>
      </c>
      <c r="B1685">
        <v>5.6449949999999998</v>
      </c>
      <c r="C1685">
        <v>0.28122390000000003</v>
      </c>
      <c r="D1685">
        <v>5.7993191099999999</v>
      </c>
      <c r="E1685">
        <v>0.90870746000000002</v>
      </c>
      <c r="F1685">
        <v>3.2240407800000002</v>
      </c>
      <c r="G1685">
        <v>1.28943326</v>
      </c>
      <c r="H1685">
        <v>2.6416792600000001</v>
      </c>
      <c r="I1685">
        <v>9.8609400000000003E-3</v>
      </c>
      <c r="J1685">
        <v>1</v>
      </c>
      <c r="K1685">
        <v>950081</v>
      </c>
      <c r="L1685">
        <f t="shared" si="235"/>
        <v>1.2400156846153847E-2</v>
      </c>
      <c r="M1685">
        <f t="shared" si="236"/>
        <v>4.9593586923076926E-3</v>
      </c>
      <c r="N1685">
        <f t="shared" si="237"/>
        <v>1.0160304846153847E-2</v>
      </c>
      <c r="O1685">
        <f t="shared" si="238"/>
        <v>7.5598317692307697E-3</v>
      </c>
      <c r="P1685">
        <f t="shared" si="234"/>
        <v>15.914017351317643</v>
      </c>
      <c r="R1685">
        <f t="shared" si="239"/>
        <v>2.8728693917083031E-3</v>
      </c>
    </row>
    <row r="1686" spans="1:19" x14ac:dyDescent="0.2">
      <c r="A1686" t="s">
        <v>1697</v>
      </c>
      <c r="B1686">
        <v>5.7059869000000001</v>
      </c>
      <c r="C1686">
        <v>0.39080880000000001</v>
      </c>
      <c r="D1686">
        <v>5.8648307900000001</v>
      </c>
      <c r="E1686">
        <v>0.67165333999999999</v>
      </c>
      <c r="F1686">
        <v>3.2245131900000001</v>
      </c>
      <c r="G1686">
        <v>1.30499152</v>
      </c>
      <c r="H1686">
        <v>2.7046863800000001</v>
      </c>
      <c r="I1686">
        <v>9.6783300000000006E-3</v>
      </c>
      <c r="J1686">
        <v>1</v>
      </c>
      <c r="K1686">
        <v>950081</v>
      </c>
      <c r="L1686">
        <f t="shared" si="235"/>
        <v>1.2401973807692309E-2</v>
      </c>
      <c r="M1686">
        <f t="shared" si="236"/>
        <v>5.0191981538461536E-3</v>
      </c>
      <c r="N1686">
        <f t="shared" si="237"/>
        <v>1.0402639923076924E-2</v>
      </c>
      <c r="O1686">
        <f t="shared" si="238"/>
        <v>7.7109190384615379E-3</v>
      </c>
      <c r="P1686">
        <f t="shared" si="234"/>
        <v>22.115254159577567</v>
      </c>
      <c r="R1686">
        <f t="shared" si="239"/>
        <v>3.8240209152803554E-3</v>
      </c>
    </row>
    <row r="1687" spans="1:19" x14ac:dyDescent="0.2">
      <c r="A1687" t="s">
        <v>1698</v>
      </c>
      <c r="B1687">
        <v>5.7700932800000002</v>
      </c>
      <c r="C1687">
        <v>0.52415909999999999</v>
      </c>
      <c r="D1687">
        <v>5.9369959999999997</v>
      </c>
      <c r="E1687">
        <v>0.53337177000000002</v>
      </c>
      <c r="F1687">
        <v>3.2331740400000002</v>
      </c>
      <c r="G1687">
        <v>1.3194627400000001</v>
      </c>
      <c r="H1687">
        <v>2.7670255799999999</v>
      </c>
      <c r="I1687">
        <v>9.8609400000000003E-3</v>
      </c>
      <c r="J1687">
        <v>1</v>
      </c>
      <c r="K1687">
        <v>950081</v>
      </c>
      <c r="L1687">
        <f t="shared" si="235"/>
        <v>1.2435284769230771E-2</v>
      </c>
      <c r="M1687">
        <f t="shared" si="236"/>
        <v>5.0748566923076929E-3</v>
      </c>
      <c r="N1687">
        <f t="shared" si="237"/>
        <v>1.0642406076923076E-2</v>
      </c>
      <c r="O1687">
        <f t="shared" si="238"/>
        <v>7.8586313846153843E-3</v>
      </c>
      <c r="P1687">
        <f t="shared" si="234"/>
        <v>29.661337504568561</v>
      </c>
      <c r="R1687">
        <f t="shared" si="239"/>
        <v>4.4111669804058834E-3</v>
      </c>
    </row>
    <row r="1688" spans="1:19" x14ac:dyDescent="0.2">
      <c r="A1688" t="s">
        <v>1699</v>
      </c>
      <c r="B1688">
        <v>5.8295279400000002</v>
      </c>
      <c r="C1688">
        <v>0.70385193000000001</v>
      </c>
      <c r="D1688">
        <v>6.0071139699999998</v>
      </c>
      <c r="E1688">
        <v>0.47410824000000001</v>
      </c>
      <c r="F1688">
        <v>3.2427797100000002</v>
      </c>
      <c r="G1688">
        <v>1.3302651999999999</v>
      </c>
      <c r="H1688">
        <v>2.8222402999999998</v>
      </c>
      <c r="I1688">
        <v>9.8609400000000003E-3</v>
      </c>
      <c r="J1688">
        <v>1</v>
      </c>
      <c r="K1688">
        <v>950081</v>
      </c>
      <c r="L1688">
        <f t="shared" si="235"/>
        <v>1.2472229653846154E-2</v>
      </c>
      <c r="M1688">
        <f t="shared" si="236"/>
        <v>5.1164046153846154E-3</v>
      </c>
      <c r="N1688">
        <f t="shared" si="237"/>
        <v>1.0854770384615384E-2</v>
      </c>
      <c r="O1688">
        <f t="shared" si="238"/>
        <v>7.9855875000000003E-3</v>
      </c>
      <c r="P1688">
        <f t="shared" si="234"/>
        <v>39.829871596185136</v>
      </c>
      <c r="R1688">
        <f t="shared" si="239"/>
        <v>2.8852585763444669E-3</v>
      </c>
    </row>
    <row r="1689" spans="1:19" x14ac:dyDescent="0.2">
      <c r="A1689" t="s">
        <v>1700</v>
      </c>
      <c r="B1689">
        <v>5.8715734199999998</v>
      </c>
      <c r="C1689">
        <v>0.82756403999999995</v>
      </c>
      <c r="D1689">
        <v>6.0444760999999998</v>
      </c>
      <c r="E1689">
        <v>0.47410824000000001</v>
      </c>
      <c r="F1689">
        <v>3.2586841799999999</v>
      </c>
      <c r="G1689">
        <v>1.3358362800000001</v>
      </c>
      <c r="H1689">
        <v>2.8512948200000001</v>
      </c>
      <c r="I1689">
        <v>9.6783300000000006E-3</v>
      </c>
      <c r="J1689">
        <v>1</v>
      </c>
      <c r="K1689">
        <v>950081</v>
      </c>
      <c r="L1689">
        <f t="shared" si="235"/>
        <v>1.2533400692307692E-2</v>
      </c>
      <c r="M1689">
        <f t="shared" si="236"/>
        <v>5.1378318461538465E-3</v>
      </c>
      <c r="N1689">
        <f t="shared" si="237"/>
        <v>1.0966518538461539E-2</v>
      </c>
      <c r="O1689">
        <f t="shared" si="238"/>
        <v>8.0521751923076923E-3</v>
      </c>
      <c r="P1689">
        <f t="shared" si="234"/>
        <v>46.830544956835197</v>
      </c>
      <c r="R1689">
        <f t="shared" si="239"/>
        <v>9.0803744362837014E-4</v>
      </c>
    </row>
    <row r="1690" spans="1:19" x14ac:dyDescent="0.2">
      <c r="A1690" t="s">
        <v>1701</v>
      </c>
      <c r="B1690">
        <v>5.8832527199999998</v>
      </c>
      <c r="C1690">
        <v>0.85502628000000003</v>
      </c>
      <c r="D1690">
        <v>6.04754696</v>
      </c>
      <c r="E1690">
        <v>0.47410824000000001</v>
      </c>
      <c r="F1690">
        <v>3.2769507</v>
      </c>
      <c r="G1690">
        <v>1.33712714</v>
      </c>
      <c r="H1690">
        <v>2.8599221199999998</v>
      </c>
      <c r="I1690">
        <v>9.8609400000000003E-3</v>
      </c>
      <c r="J1690">
        <v>1</v>
      </c>
      <c r="K1690">
        <v>950081</v>
      </c>
      <c r="L1690">
        <f t="shared" si="235"/>
        <v>1.2603656538461539E-2</v>
      </c>
      <c r="M1690">
        <f t="shared" si="236"/>
        <v>5.1427966923076919E-3</v>
      </c>
      <c r="N1690">
        <f t="shared" si="237"/>
        <v>1.0999700461538461E-2</v>
      </c>
      <c r="O1690">
        <f t="shared" si="238"/>
        <v>8.0712485769230766E-3</v>
      </c>
      <c r="P1690">
        <f t="shared" si="234"/>
        <v>48.384589843724434</v>
      </c>
      <c r="R1690">
        <f t="shared" si="239"/>
        <v>2.5394793001578641E-4</v>
      </c>
    </row>
    <row r="1691" spans="1:19" x14ac:dyDescent="0.2">
      <c r="A1691" t="s">
        <v>1702</v>
      </c>
      <c r="B1691">
        <v>5.8874053599999998</v>
      </c>
      <c r="C1691">
        <v>0.85621455000000002</v>
      </c>
      <c r="D1691">
        <v>6.0511296300000001</v>
      </c>
      <c r="E1691">
        <v>0.41484471000000001</v>
      </c>
      <c r="F1691">
        <v>3.2933275800000001</v>
      </c>
      <c r="G1691">
        <v>1.33712714</v>
      </c>
      <c r="H1691">
        <v>2.8626494600000001</v>
      </c>
      <c r="I1691">
        <v>9.8609400000000003E-3</v>
      </c>
      <c r="J1691">
        <v>1</v>
      </c>
      <c r="K1691">
        <v>950081</v>
      </c>
      <c r="L1691">
        <f t="shared" si="235"/>
        <v>1.2666644538461539E-2</v>
      </c>
      <c r="M1691">
        <f t="shared" si="236"/>
        <v>5.1427966923076919E-3</v>
      </c>
      <c r="N1691">
        <f t="shared" si="237"/>
        <v>1.1010190230769231E-2</v>
      </c>
      <c r="O1691">
        <f t="shared" si="238"/>
        <v>8.0764934615384608E-3</v>
      </c>
      <c r="P1691">
        <f t="shared" si="234"/>
        <v>48.451832170560991</v>
      </c>
      <c r="R1691">
        <f t="shared" si="239"/>
        <v>-8.4632761544144313E-5</v>
      </c>
    </row>
    <row r="1692" spans="1:19" x14ac:dyDescent="0.2">
      <c r="A1692" t="s">
        <v>1703</v>
      </c>
      <c r="B1692">
        <v>5.8816954800000003</v>
      </c>
      <c r="C1692">
        <v>0.81951021000000002</v>
      </c>
      <c r="D1692">
        <v>6.0490823899999997</v>
      </c>
      <c r="E1692">
        <v>0.41484471000000001</v>
      </c>
      <c r="F1692">
        <v>3.3043504800000001</v>
      </c>
      <c r="G1692">
        <v>1.3375347799999999</v>
      </c>
      <c r="H1692">
        <v>2.8613136199999998</v>
      </c>
      <c r="I1692">
        <v>9.8609400000000003E-3</v>
      </c>
      <c r="J1692">
        <v>1</v>
      </c>
      <c r="K1692">
        <v>950081</v>
      </c>
      <c r="L1692">
        <f t="shared" si="235"/>
        <v>1.2709040307692309E-2</v>
      </c>
      <c r="M1692">
        <f t="shared" si="236"/>
        <v>5.1443645384615377E-3</v>
      </c>
      <c r="N1692">
        <f t="shared" si="237"/>
        <v>1.1005052384615384E-2</v>
      </c>
      <c r="O1692">
        <f t="shared" si="238"/>
        <v>8.0747084615384601E-3</v>
      </c>
      <c r="P1692">
        <f t="shared" si="234"/>
        <v>46.374791408276337</v>
      </c>
      <c r="R1692">
        <f t="shared" si="239"/>
        <v>-1.0416038958571681E-3</v>
      </c>
    </row>
    <row r="1693" spans="1:19" x14ac:dyDescent="0.2">
      <c r="A1693" t="s">
        <v>1704</v>
      </c>
      <c r="B1693">
        <v>5.8635276799999998</v>
      </c>
      <c r="C1693">
        <v>0.70675659000000002</v>
      </c>
      <c r="D1693">
        <v>6.0321926599999998</v>
      </c>
      <c r="E1693">
        <v>0.41484471000000001</v>
      </c>
      <c r="F1693">
        <v>3.31679061</v>
      </c>
      <c r="G1693">
        <v>1.3377386</v>
      </c>
      <c r="H1693">
        <v>2.8485674799999998</v>
      </c>
      <c r="I1693">
        <v>9.8609400000000003E-3</v>
      </c>
      <c r="J1693">
        <v>1</v>
      </c>
      <c r="K1693">
        <v>950081</v>
      </c>
      <c r="L1693">
        <f t="shared" si="235"/>
        <v>1.2756886961538462E-2</v>
      </c>
      <c r="M1693">
        <f t="shared" si="236"/>
        <v>5.1451484615384615E-3</v>
      </c>
      <c r="N1693">
        <f t="shared" si="237"/>
        <v>1.0956028769230769E-2</v>
      </c>
      <c r="O1693">
        <f t="shared" si="238"/>
        <v>8.0505886153846139E-3</v>
      </c>
      <c r="P1693">
        <f t="shared" si="234"/>
        <v>39.994241728452266</v>
      </c>
      <c r="R1693">
        <f t="shared" si="239"/>
        <v>-1.0866732157088035E-3</v>
      </c>
    </row>
    <row r="1694" spans="1:19" x14ac:dyDescent="0.2">
      <c r="A1694" t="s">
        <v>1705</v>
      </c>
      <c r="B1694">
        <v>5.8461385000000003</v>
      </c>
      <c r="C1694">
        <v>0.60918642000000001</v>
      </c>
      <c r="D1694">
        <v>6.0147911199999999</v>
      </c>
      <c r="E1694">
        <v>0.41484471000000001</v>
      </c>
      <c r="F1694">
        <v>3.3289157999999999</v>
      </c>
      <c r="G1694">
        <v>1.3375347799999999</v>
      </c>
      <c r="H1694">
        <v>2.8335949399999998</v>
      </c>
      <c r="I1694">
        <v>9.6783300000000006E-3</v>
      </c>
      <c r="J1694">
        <v>1</v>
      </c>
      <c r="K1694">
        <v>950081</v>
      </c>
      <c r="L1694">
        <f t="shared" si="235"/>
        <v>1.2803522307692307E-2</v>
      </c>
      <c r="M1694">
        <f t="shared" si="236"/>
        <v>5.1443645384615377E-3</v>
      </c>
      <c r="N1694">
        <f t="shared" si="237"/>
        <v>1.0898442076923077E-2</v>
      </c>
      <c r="O1694">
        <f t="shared" si="238"/>
        <v>8.0214033076923073E-3</v>
      </c>
      <c r="P1694">
        <f t="shared" si="234"/>
        <v>34.472899558206386</v>
      </c>
      <c r="R1694">
        <f t="shared" si="239"/>
        <v>-1.3108902306592158E-3</v>
      </c>
    </row>
    <row r="1695" spans="1:19" x14ac:dyDescent="0.2">
      <c r="A1695" t="s">
        <v>1706</v>
      </c>
      <c r="B1695">
        <v>5.8264134600000004</v>
      </c>
      <c r="C1695">
        <v>0.52099037999999998</v>
      </c>
      <c r="D1695">
        <v>5.9917596700000004</v>
      </c>
      <c r="E1695">
        <v>0.41484471000000001</v>
      </c>
      <c r="F1695">
        <v>3.3326950800000001</v>
      </c>
      <c r="G1695">
        <v>1.3369233199999999</v>
      </c>
      <c r="H1695">
        <v>2.8128894199999999</v>
      </c>
      <c r="I1695">
        <v>9.6783300000000006E-3</v>
      </c>
      <c r="J1695">
        <v>1</v>
      </c>
      <c r="K1695">
        <v>950081</v>
      </c>
      <c r="L1695">
        <f t="shared" si="235"/>
        <v>1.2818058E-2</v>
      </c>
      <c r="M1695">
        <f t="shared" si="236"/>
        <v>5.142012769230769E-3</v>
      </c>
      <c r="N1695">
        <f t="shared" si="237"/>
        <v>1.0818805461538461E-2</v>
      </c>
      <c r="O1695">
        <f t="shared" si="238"/>
        <v>7.9804091153846141E-3</v>
      </c>
      <c r="P1695">
        <f t="shared" si="234"/>
        <v>29.482024633004418</v>
      </c>
      <c r="R1695">
        <f t="shared" si="239"/>
        <v>-1.9827415981498253E-3</v>
      </c>
    </row>
    <row r="1696" spans="1:19" x14ac:dyDescent="0.2">
      <c r="A1696" t="s">
        <v>1707</v>
      </c>
      <c r="B1696">
        <v>5.7931923400000001</v>
      </c>
      <c r="C1696">
        <v>0.41945930999999997</v>
      </c>
      <c r="D1696">
        <v>5.9477440100000001</v>
      </c>
      <c r="E1696">
        <v>0.41484471000000001</v>
      </c>
      <c r="F1696">
        <v>3.33694677</v>
      </c>
      <c r="G1696">
        <v>1.33318662</v>
      </c>
      <c r="H1696">
        <v>2.7778792800000001</v>
      </c>
      <c r="I1696">
        <v>9.6783300000000006E-3</v>
      </c>
      <c r="J1696">
        <v>1</v>
      </c>
      <c r="K1696">
        <v>950081</v>
      </c>
      <c r="L1696">
        <f t="shared" si="235"/>
        <v>1.2834410653846154E-2</v>
      </c>
      <c r="M1696">
        <f t="shared" si="236"/>
        <v>5.1276408461538459E-3</v>
      </c>
      <c r="N1696">
        <f t="shared" si="237"/>
        <v>1.0684151076923077E-2</v>
      </c>
      <c r="O1696">
        <f t="shared" si="238"/>
        <v>7.9058959615384613E-3</v>
      </c>
      <c r="P1696">
        <f t="shared" si="234"/>
        <v>23.736541373303353</v>
      </c>
      <c r="R1696">
        <f t="shared" si="239"/>
        <v>-2.1990910615759191E-3</v>
      </c>
    </row>
    <row r="1697" spans="1:19" x14ac:dyDescent="0.2">
      <c r="A1697" t="s">
        <v>1708</v>
      </c>
      <c r="B1697">
        <v>5.7464751400000003</v>
      </c>
      <c r="C1697">
        <v>0.32558598</v>
      </c>
      <c r="D1697">
        <v>5.8945157699999999</v>
      </c>
      <c r="E1697">
        <v>0.41484471000000001</v>
      </c>
      <c r="F1697">
        <v>3.3374191799999999</v>
      </c>
      <c r="G1697">
        <v>1.32530558</v>
      </c>
      <c r="H1697">
        <v>2.7315144999999998</v>
      </c>
      <c r="I1697">
        <v>9.8609400000000003E-3</v>
      </c>
      <c r="J1697">
        <v>1</v>
      </c>
      <c r="K1697">
        <v>950081</v>
      </c>
      <c r="L1697">
        <f t="shared" si="235"/>
        <v>1.2836227615384615E-2</v>
      </c>
      <c r="M1697">
        <f t="shared" si="236"/>
        <v>5.097329153846154E-3</v>
      </c>
      <c r="N1697">
        <f t="shared" si="237"/>
        <v>1.0505825E-2</v>
      </c>
      <c r="O1697">
        <f t="shared" si="238"/>
        <v>7.8015770769230761E-3</v>
      </c>
      <c r="P1697">
        <f t="shared" si="234"/>
        <v>18.424397553215634</v>
      </c>
      <c r="R1697">
        <f t="shared" si="239"/>
        <v>-2.0126391435805633E-3</v>
      </c>
    </row>
    <row r="1698" spans="1:19" x14ac:dyDescent="0.2">
      <c r="A1698" t="s">
        <v>1709</v>
      </c>
      <c r="B1698">
        <v>5.6963839199999997</v>
      </c>
      <c r="C1698">
        <v>0.24253911</v>
      </c>
      <c r="D1698">
        <v>5.8366812399999999</v>
      </c>
      <c r="E1698">
        <v>0.41484471000000001</v>
      </c>
      <c r="F1698">
        <v>3.3308054399999998</v>
      </c>
      <c r="G1698">
        <v>1.3136878400000001</v>
      </c>
      <c r="H1698">
        <v>2.6780252400000002</v>
      </c>
      <c r="I1698">
        <v>9.6783300000000006E-3</v>
      </c>
      <c r="J1698">
        <v>1</v>
      </c>
      <c r="K1698">
        <v>950081</v>
      </c>
      <c r="L1698">
        <f t="shared" si="235"/>
        <v>1.2810790153846154E-2</v>
      </c>
      <c r="M1698">
        <f t="shared" si="236"/>
        <v>5.052645538461539E-3</v>
      </c>
      <c r="N1698">
        <f t="shared" si="237"/>
        <v>1.0300097076923078E-2</v>
      </c>
      <c r="O1698">
        <f t="shared" si="238"/>
        <v>7.6763713076923078E-3</v>
      </c>
      <c r="P1698">
        <f t="shared" si="234"/>
        <v>13.724906044305403</v>
      </c>
      <c r="R1698">
        <f t="shared" si="239"/>
        <v>-1.5364149200707499E-3</v>
      </c>
    </row>
    <row r="1699" spans="1:19" x14ac:dyDescent="0.2">
      <c r="A1699" t="s">
        <v>1710</v>
      </c>
      <c r="B1699">
        <v>5.6457736199999999</v>
      </c>
      <c r="C1699">
        <v>0.16596171000000001</v>
      </c>
      <c r="D1699">
        <v>5.78242938</v>
      </c>
      <c r="E1699">
        <v>0.41484471000000001</v>
      </c>
      <c r="F1699">
        <v>3.31726302</v>
      </c>
      <c r="G1699">
        <v>1.29894486</v>
      </c>
      <c r="H1699">
        <v>2.6236454199999999</v>
      </c>
      <c r="I1699">
        <v>9.6783300000000006E-3</v>
      </c>
      <c r="J1699">
        <v>1</v>
      </c>
      <c r="K1699">
        <v>950081</v>
      </c>
      <c r="L1699">
        <f t="shared" si="235"/>
        <v>1.2758703923076924E-2</v>
      </c>
      <c r="M1699">
        <f t="shared" si="236"/>
        <v>4.9959417692307688E-3</v>
      </c>
      <c r="N1699">
        <f t="shared" si="237"/>
        <v>1.0090943923076922E-2</v>
      </c>
      <c r="O1699">
        <f t="shared" si="238"/>
        <v>7.5434428461538458E-3</v>
      </c>
      <c r="P1699">
        <f t="shared" si="234"/>
        <v>9.39151164817196</v>
      </c>
      <c r="R1699">
        <f t="shared" si="239"/>
        <v>-9.8971439742960425E-4</v>
      </c>
    </row>
    <row r="1700" spans="1:19" x14ac:dyDescent="0.2">
      <c r="A1700" t="s">
        <v>1711</v>
      </c>
      <c r="B1700">
        <v>5.5943847</v>
      </c>
      <c r="C1700">
        <v>0.10073889</v>
      </c>
      <c r="D1700">
        <v>5.7307365700000004</v>
      </c>
      <c r="E1700">
        <v>0.73091687000000005</v>
      </c>
      <c r="F1700">
        <v>3.3034056600000001</v>
      </c>
      <c r="G1700">
        <v>1.2840659999999999</v>
      </c>
      <c r="H1700">
        <v>2.5703231400000002</v>
      </c>
      <c r="I1700">
        <v>9.6783300000000006E-3</v>
      </c>
      <c r="J1700">
        <v>1</v>
      </c>
      <c r="K1700">
        <v>950081</v>
      </c>
      <c r="L1700">
        <f t="shared" si="235"/>
        <v>1.2705406384615385E-2</v>
      </c>
      <c r="M1700">
        <f t="shared" si="236"/>
        <v>4.9387153846153845E-3</v>
      </c>
      <c r="N1700">
        <f t="shared" si="237"/>
        <v>9.885858230769231E-3</v>
      </c>
      <c r="O1700">
        <f t="shared" si="238"/>
        <v>7.4122868076923086E-3</v>
      </c>
      <c r="P1700">
        <f t="shared" si="234"/>
        <v>5.7006550418100277</v>
      </c>
      <c r="R1700">
        <f t="shared" si="239"/>
        <v>-4.1411652146892443E-4</v>
      </c>
    </row>
    <row r="1701" spans="1:19" x14ac:dyDescent="0.2">
      <c r="A1701" t="s">
        <v>1712</v>
      </c>
      <c r="B1701">
        <v>5.55078198</v>
      </c>
      <c r="C1701">
        <v>5.4396359999999998E-2</v>
      </c>
      <c r="D1701">
        <v>5.6887681499999996</v>
      </c>
      <c r="E1701">
        <v>0.96797098999999998</v>
      </c>
      <c r="F1701">
        <v>3.28561155</v>
      </c>
      <c r="G1701">
        <v>1.2728558999999999</v>
      </c>
      <c r="H1701">
        <v>2.5324743399999998</v>
      </c>
      <c r="I1701">
        <v>9.8609400000000003E-3</v>
      </c>
      <c r="J1701">
        <v>1</v>
      </c>
      <c r="K1701">
        <v>950081</v>
      </c>
      <c r="L1701">
        <f t="shared" si="235"/>
        <v>1.26369675E-2</v>
      </c>
      <c r="M1701">
        <f t="shared" si="236"/>
        <v>4.8955996153846153E-3</v>
      </c>
      <c r="N1701">
        <f t="shared" si="237"/>
        <v>9.7402859230769218E-3</v>
      </c>
      <c r="O1701">
        <f t="shared" si="238"/>
        <v>7.3179427692307694E-3</v>
      </c>
      <c r="P1701">
        <f t="shared" si="234"/>
        <v>3.0782042951844448</v>
      </c>
      <c r="R1701">
        <f t="shared" si="239"/>
        <v>-8.1226424751579E-5</v>
      </c>
    </row>
    <row r="1702" spans="1:19" x14ac:dyDescent="0.2">
      <c r="A1702" t="s">
        <v>1713</v>
      </c>
      <c r="B1702">
        <v>5.5396217600000002</v>
      </c>
      <c r="C1702">
        <v>4.9907340000000001E-2</v>
      </c>
      <c r="D1702">
        <v>5.6790437599999999</v>
      </c>
      <c r="E1702">
        <v>1.0864980500000001</v>
      </c>
      <c r="F1702">
        <v>3.2634082800000002</v>
      </c>
      <c r="G1702">
        <v>1.2691192</v>
      </c>
      <c r="H1702">
        <v>2.5218989399999998</v>
      </c>
      <c r="I1702">
        <v>1.004355E-2</v>
      </c>
      <c r="J1702">
        <v>1</v>
      </c>
      <c r="K1702">
        <v>950081</v>
      </c>
      <c r="L1702">
        <f t="shared" si="235"/>
        <v>1.2551570307692309E-2</v>
      </c>
      <c r="M1702">
        <f t="shared" si="236"/>
        <v>4.8812276923076922E-3</v>
      </c>
      <c r="N1702">
        <f t="shared" si="237"/>
        <v>9.6996113076923077E-3</v>
      </c>
      <c r="O1702">
        <f t="shared" si="238"/>
        <v>7.2904195E-3</v>
      </c>
      <c r="P1702">
        <f t="shared" si="234"/>
        <v>2.8241777271352433</v>
      </c>
      <c r="R1702">
        <f t="shared" si="239"/>
        <v>1.7016498418226281E-4</v>
      </c>
    </row>
    <row r="1703" spans="1:19" x14ac:dyDescent="0.2">
      <c r="A1703" t="s">
        <v>1714</v>
      </c>
      <c r="B1703">
        <v>5.5570109399999996</v>
      </c>
      <c r="C1703">
        <v>0.10602009</v>
      </c>
      <c r="D1703">
        <v>5.6979807300000003</v>
      </c>
      <c r="E1703">
        <v>1.0864980500000001</v>
      </c>
      <c r="F1703">
        <v>3.2446693500000001</v>
      </c>
      <c r="G1703">
        <v>1.2689153799999999</v>
      </c>
      <c r="H1703">
        <v>2.5421591800000001</v>
      </c>
      <c r="I1703">
        <v>9.8609400000000003E-3</v>
      </c>
      <c r="J1703">
        <v>1</v>
      </c>
      <c r="K1703">
        <v>950081</v>
      </c>
      <c r="L1703">
        <f t="shared" si="235"/>
        <v>1.2479497500000001E-2</v>
      </c>
      <c r="M1703">
        <f t="shared" si="236"/>
        <v>4.8804437692307693E-3</v>
      </c>
      <c r="N1703">
        <f t="shared" si="237"/>
        <v>9.7775353076923078E-3</v>
      </c>
      <c r="O1703">
        <f t="shared" si="238"/>
        <v>7.3289895384615377E-3</v>
      </c>
      <c r="P1703">
        <f t="shared" si="234"/>
        <v>5.9995098277502654</v>
      </c>
      <c r="R1703">
        <f t="shared" si="239"/>
        <v>8.0503045075520745E-4</v>
      </c>
      <c r="S1703">
        <f>ABS(SUMIFS($R:$R,$K:$K,K1703))</f>
        <v>5.1919269969197095E-3</v>
      </c>
    </row>
    <row r="1704" spans="1:19" x14ac:dyDescent="0.2">
      <c r="A1704" t="s">
        <v>1715</v>
      </c>
      <c r="B1704">
        <v>5.5982778</v>
      </c>
      <c r="C1704">
        <v>0.18735056999999999</v>
      </c>
      <c r="D1704">
        <v>5.7399491500000002</v>
      </c>
      <c r="E1704">
        <v>1.0272345199999999</v>
      </c>
      <c r="F1704">
        <v>3.2336464500000002</v>
      </c>
      <c r="G1704">
        <v>1.2757093799999999</v>
      </c>
      <c r="H1704">
        <v>2.58579662</v>
      </c>
      <c r="I1704">
        <v>9.8609400000000003E-3</v>
      </c>
      <c r="J1704">
        <v>1</v>
      </c>
      <c r="K1704">
        <v>950082</v>
      </c>
      <c r="L1704">
        <f t="shared" si="235"/>
        <v>1.2437101730769231E-2</v>
      </c>
      <c r="M1704">
        <f t="shared" si="236"/>
        <v>4.9065745384615379E-3</v>
      </c>
      <c r="N1704">
        <f t="shared" si="237"/>
        <v>9.9453716153846145E-3</v>
      </c>
      <c r="O1704">
        <f t="shared" si="238"/>
        <v>7.4259730769230771E-3</v>
      </c>
      <c r="P1704">
        <f t="shared" si="234"/>
        <v>10.601873531229922</v>
      </c>
      <c r="Q1704">
        <f t="shared" ref="Q1704" si="241">ABS(0.5*(SUMPRODUCT(O1704:O1722,P1705:P1723)+O1723*P1704-(SUMPRODUCT(O1705:O1723,P1704:P1722)+O1704*P1723)))</f>
        <v>5.152617826626571E-3</v>
      </c>
      <c r="R1704">
        <f t="shared" si="239"/>
        <v>1.8146303720742063E-3</v>
      </c>
    </row>
    <row r="1705" spans="1:19" x14ac:dyDescent="0.2">
      <c r="A1705" t="s">
        <v>1716</v>
      </c>
      <c r="B1705">
        <v>5.6481094799999996</v>
      </c>
      <c r="C1705">
        <v>0.28201608</v>
      </c>
      <c r="D1705">
        <v>5.7993191099999999</v>
      </c>
      <c r="E1705">
        <v>0.96797098999999998</v>
      </c>
      <c r="F1705">
        <v>3.22703271</v>
      </c>
      <c r="G1705">
        <v>1.29004472</v>
      </c>
      <c r="H1705">
        <v>2.6425141600000002</v>
      </c>
      <c r="I1705">
        <v>9.6783300000000006E-3</v>
      </c>
      <c r="J1705">
        <v>1</v>
      </c>
      <c r="K1705">
        <v>950082</v>
      </c>
      <c r="L1705">
        <f t="shared" si="235"/>
        <v>1.2411664269230769E-2</v>
      </c>
      <c r="M1705">
        <f t="shared" si="236"/>
        <v>4.9617104615384613E-3</v>
      </c>
      <c r="N1705">
        <f t="shared" si="237"/>
        <v>1.0163516000000001E-2</v>
      </c>
      <c r="O1705">
        <f t="shared" si="238"/>
        <v>7.5626132307692311E-3</v>
      </c>
      <c r="P1705">
        <f t="shared" si="234"/>
        <v>15.958845569208677</v>
      </c>
      <c r="R1705">
        <f t="shared" si="239"/>
        <v>2.9012968095266062E-3</v>
      </c>
    </row>
    <row r="1706" spans="1:19" x14ac:dyDescent="0.2">
      <c r="A1706" t="s">
        <v>1717</v>
      </c>
      <c r="B1706">
        <v>5.7122158599999997</v>
      </c>
      <c r="C1706">
        <v>0.39331737</v>
      </c>
      <c r="D1706">
        <v>5.8679016500000003</v>
      </c>
      <c r="E1706">
        <v>0.73091687000000005</v>
      </c>
      <c r="F1706">
        <v>3.2249856000000001</v>
      </c>
      <c r="G1706">
        <v>1.30560298</v>
      </c>
      <c r="H1706">
        <v>2.7059109000000001</v>
      </c>
      <c r="I1706">
        <v>9.8609400000000003E-3</v>
      </c>
      <c r="J1706">
        <v>1</v>
      </c>
      <c r="K1706">
        <v>950082</v>
      </c>
      <c r="L1706">
        <f t="shared" si="235"/>
        <v>1.2403790769230769E-2</v>
      </c>
      <c r="M1706">
        <f t="shared" si="236"/>
        <v>5.0215499230769232E-3</v>
      </c>
      <c r="N1706">
        <f t="shared" si="237"/>
        <v>1.0407349615384616E-2</v>
      </c>
      <c r="O1706">
        <f t="shared" si="238"/>
        <v>7.7144497692307693E-3</v>
      </c>
      <c r="P1706">
        <f t="shared" si="234"/>
        <v>22.257210182899179</v>
      </c>
      <c r="R1706">
        <f t="shared" si="239"/>
        <v>3.7997552543821058E-3</v>
      </c>
    </row>
    <row r="1707" spans="1:19" x14ac:dyDescent="0.2">
      <c r="A1707" t="s">
        <v>1718</v>
      </c>
      <c r="B1707">
        <v>5.7716505199999997</v>
      </c>
      <c r="C1707">
        <v>0.52627157999999996</v>
      </c>
      <c r="D1707">
        <v>5.9400668599999999</v>
      </c>
      <c r="E1707">
        <v>0.53337177000000002</v>
      </c>
      <c r="F1707">
        <v>3.2345912700000001</v>
      </c>
      <c r="G1707">
        <v>1.31925892</v>
      </c>
      <c r="H1707">
        <v>2.7681944399999998</v>
      </c>
      <c r="I1707">
        <v>9.6783300000000006E-3</v>
      </c>
      <c r="J1707">
        <v>1</v>
      </c>
      <c r="K1707">
        <v>950082</v>
      </c>
      <c r="L1707">
        <f t="shared" si="235"/>
        <v>1.2440735653846154E-2</v>
      </c>
      <c r="M1707">
        <f t="shared" si="236"/>
        <v>5.0740727692307691E-3</v>
      </c>
      <c r="N1707">
        <f t="shared" si="237"/>
        <v>1.0646901692307692E-2</v>
      </c>
      <c r="O1707">
        <f t="shared" si="238"/>
        <v>7.8604872307692294E-3</v>
      </c>
      <c r="P1707">
        <f t="shared" si="234"/>
        <v>29.780879418944654</v>
      </c>
      <c r="R1707">
        <f t="shared" si="239"/>
        <v>4.466306073618454E-3</v>
      </c>
    </row>
    <row r="1708" spans="1:19" x14ac:dyDescent="0.2">
      <c r="A1708" t="s">
        <v>1719</v>
      </c>
      <c r="B1708">
        <v>5.8295279400000002</v>
      </c>
      <c r="C1708">
        <v>0.70636049999999995</v>
      </c>
      <c r="D1708">
        <v>6.0055785400000001</v>
      </c>
      <c r="E1708">
        <v>0.47410824000000001</v>
      </c>
      <c r="F1708">
        <v>3.24813369</v>
      </c>
      <c r="G1708">
        <v>1.33046902</v>
      </c>
      <c r="H1708">
        <v>2.8235761400000001</v>
      </c>
      <c r="I1708">
        <v>9.4957199999999992E-3</v>
      </c>
      <c r="J1708">
        <v>1</v>
      </c>
      <c r="K1708">
        <v>950082</v>
      </c>
      <c r="L1708">
        <f t="shared" si="235"/>
        <v>1.2492821884615384E-2</v>
      </c>
      <c r="M1708">
        <f t="shared" si="236"/>
        <v>5.1171885384615383E-3</v>
      </c>
      <c r="N1708">
        <f t="shared" si="237"/>
        <v>1.0859908230769232E-2</v>
      </c>
      <c r="O1708">
        <f t="shared" si="238"/>
        <v>7.9885483846153845E-3</v>
      </c>
      <c r="P1708">
        <f t="shared" si="234"/>
        <v>39.971827619506747</v>
      </c>
      <c r="R1708">
        <f t="shared" si="239"/>
        <v>2.7531948758947448E-3</v>
      </c>
    </row>
    <row r="1709" spans="1:19" x14ac:dyDescent="0.2">
      <c r="A1709" t="s">
        <v>1720</v>
      </c>
      <c r="B1709">
        <v>5.8700161800000004</v>
      </c>
      <c r="C1709">
        <v>0.82637576999999995</v>
      </c>
      <c r="D1709">
        <v>6.0398698099999999</v>
      </c>
      <c r="E1709">
        <v>0.47410824000000001</v>
      </c>
      <c r="F1709">
        <v>3.2591565899999999</v>
      </c>
      <c r="G1709">
        <v>1.3354286399999999</v>
      </c>
      <c r="H1709">
        <v>2.85162878</v>
      </c>
      <c r="I1709">
        <v>9.4957199999999992E-3</v>
      </c>
      <c r="J1709">
        <v>1</v>
      </c>
      <c r="K1709">
        <v>950082</v>
      </c>
      <c r="L1709">
        <f t="shared" si="235"/>
        <v>1.2535217653846154E-2</v>
      </c>
      <c r="M1709">
        <f t="shared" si="236"/>
        <v>5.1362639999999998E-3</v>
      </c>
      <c r="N1709">
        <f t="shared" si="237"/>
        <v>1.0967803E-2</v>
      </c>
      <c r="O1709">
        <f t="shared" si="238"/>
        <v>8.0520334999999998E-3</v>
      </c>
      <c r="P1709">
        <f t="shared" si="234"/>
        <v>46.763302629998641</v>
      </c>
      <c r="R1709">
        <f t="shared" si="239"/>
        <v>9.3069687585842643E-4</v>
      </c>
    </row>
    <row r="1710" spans="1:19" x14ac:dyDescent="0.2">
      <c r="A1710" t="s">
        <v>1721</v>
      </c>
      <c r="B1710">
        <v>5.8785809999999996</v>
      </c>
      <c r="C1710">
        <v>0.8542341</v>
      </c>
      <c r="D1710">
        <v>6.04754696</v>
      </c>
      <c r="E1710">
        <v>0.47410824000000001</v>
      </c>
      <c r="F1710">
        <v>3.27647829</v>
      </c>
      <c r="G1710">
        <v>1.3369233199999999</v>
      </c>
      <c r="H1710">
        <v>2.8603117400000002</v>
      </c>
      <c r="I1710">
        <v>9.4957199999999992E-3</v>
      </c>
      <c r="J1710">
        <v>1</v>
      </c>
      <c r="K1710">
        <v>950082</v>
      </c>
      <c r="L1710">
        <f t="shared" si="235"/>
        <v>1.2601839576923077E-2</v>
      </c>
      <c r="M1710">
        <f t="shared" si="236"/>
        <v>5.142012769230769E-3</v>
      </c>
      <c r="N1710">
        <f t="shared" si="237"/>
        <v>1.1001199000000001E-2</v>
      </c>
      <c r="O1710">
        <f t="shared" si="238"/>
        <v>8.0716058846153852E-3</v>
      </c>
      <c r="P1710">
        <f t="shared" si="234"/>
        <v>48.339761625833397</v>
      </c>
      <c r="R1710">
        <f t="shared" si="239"/>
        <v>2.9337809957162526E-4</v>
      </c>
    </row>
    <row r="1711" spans="1:19" x14ac:dyDescent="0.2">
      <c r="A1711" t="s">
        <v>1722</v>
      </c>
      <c r="B1711">
        <v>5.8824740999999996</v>
      </c>
      <c r="C1711">
        <v>0.85581845999999995</v>
      </c>
      <c r="D1711">
        <v>6.0511296300000001</v>
      </c>
      <c r="E1711">
        <v>0.47410824000000001</v>
      </c>
      <c r="F1711">
        <v>3.2937999900000001</v>
      </c>
      <c r="G1711">
        <v>1.3377386</v>
      </c>
      <c r="H1711">
        <v>2.8626494600000001</v>
      </c>
      <c r="I1711">
        <v>9.4957199999999992E-3</v>
      </c>
      <c r="J1711">
        <v>1</v>
      </c>
      <c r="K1711">
        <v>950082</v>
      </c>
      <c r="L1711">
        <f t="shared" si="235"/>
        <v>1.26684615E-2</v>
      </c>
      <c r="M1711">
        <f t="shared" si="236"/>
        <v>5.1451484615384615E-3</v>
      </c>
      <c r="N1711">
        <f t="shared" si="237"/>
        <v>1.1010190230769231E-2</v>
      </c>
      <c r="O1711">
        <f t="shared" si="238"/>
        <v>8.077669346153846E-3</v>
      </c>
      <c r="P1711">
        <f t="shared" si="234"/>
        <v>48.429418061615465</v>
      </c>
      <c r="R1711">
        <f t="shared" si="239"/>
        <v>-1.2174357068749225E-4</v>
      </c>
    </row>
    <row r="1712" spans="1:19" x14ac:dyDescent="0.2">
      <c r="A1712" t="s">
        <v>1723</v>
      </c>
      <c r="B1712">
        <v>5.8816954800000003</v>
      </c>
      <c r="C1712">
        <v>0.81911411999999995</v>
      </c>
      <c r="D1712">
        <v>6.0460115300000004</v>
      </c>
      <c r="E1712">
        <v>0.47410824000000001</v>
      </c>
      <c r="F1712">
        <v>3.3048228900000001</v>
      </c>
      <c r="G1712">
        <v>1.3377386</v>
      </c>
      <c r="H1712">
        <v>2.8613136199999998</v>
      </c>
      <c r="I1712">
        <v>9.6783300000000006E-3</v>
      </c>
      <c r="J1712">
        <v>1</v>
      </c>
      <c r="K1712">
        <v>950082</v>
      </c>
      <c r="L1712">
        <f t="shared" si="235"/>
        <v>1.2710857269230769E-2</v>
      </c>
      <c r="M1712">
        <f t="shared" si="236"/>
        <v>5.1451484615384615E-3</v>
      </c>
      <c r="N1712">
        <f t="shared" si="237"/>
        <v>1.1005052384615384E-2</v>
      </c>
      <c r="O1712">
        <f t="shared" si="238"/>
        <v>8.0751004230769224E-3</v>
      </c>
      <c r="P1712">
        <f t="shared" si="234"/>
        <v>46.352377299330819</v>
      </c>
      <c r="R1712">
        <f t="shared" si="239"/>
        <v>-1.0862649907036023E-3</v>
      </c>
    </row>
    <row r="1713" spans="1:19" x14ac:dyDescent="0.2">
      <c r="A1713" t="s">
        <v>1724</v>
      </c>
      <c r="B1713">
        <v>5.8627490599999996</v>
      </c>
      <c r="C1713">
        <v>0.70715267999999998</v>
      </c>
      <c r="D1713">
        <v>6.0337280900000003</v>
      </c>
      <c r="E1713">
        <v>0.47410824000000001</v>
      </c>
      <c r="F1713">
        <v>3.3163182</v>
      </c>
      <c r="G1713">
        <v>1.3377386</v>
      </c>
      <c r="H1713">
        <v>2.84823352</v>
      </c>
      <c r="I1713">
        <v>9.8609400000000003E-3</v>
      </c>
      <c r="J1713">
        <v>1</v>
      </c>
      <c r="K1713">
        <v>950082</v>
      </c>
      <c r="L1713">
        <f t="shared" si="235"/>
        <v>1.275507E-2</v>
      </c>
      <c r="M1713">
        <f t="shared" si="236"/>
        <v>5.1451484615384615E-3</v>
      </c>
      <c r="N1713">
        <f t="shared" si="237"/>
        <v>1.0954744307692308E-2</v>
      </c>
      <c r="O1713">
        <f t="shared" si="238"/>
        <v>8.0499463846153835E-3</v>
      </c>
      <c r="P1713">
        <f t="shared" si="234"/>
        <v>40.016655837397785</v>
      </c>
      <c r="R1713">
        <f t="shared" si="239"/>
        <v>-1.0471021736218891E-3</v>
      </c>
    </row>
    <row r="1714" spans="1:19" x14ac:dyDescent="0.2">
      <c r="A1714" t="s">
        <v>1725</v>
      </c>
      <c r="B1714">
        <v>5.8438026399999998</v>
      </c>
      <c r="C1714">
        <v>0.61077077999999996</v>
      </c>
      <c r="D1714">
        <v>6.0147911199999999</v>
      </c>
      <c r="E1714">
        <v>0.41484471000000001</v>
      </c>
      <c r="F1714">
        <v>3.3293882099999998</v>
      </c>
      <c r="G1714">
        <v>1.3379424200000001</v>
      </c>
      <c r="H1714">
        <v>2.8334279599999999</v>
      </c>
      <c r="I1714">
        <v>9.8609400000000003E-3</v>
      </c>
      <c r="J1714">
        <v>1</v>
      </c>
      <c r="K1714">
        <v>950082</v>
      </c>
      <c r="L1714">
        <f t="shared" si="235"/>
        <v>1.2805339269230769E-2</v>
      </c>
      <c r="M1714">
        <f t="shared" si="236"/>
        <v>5.1459323846153853E-3</v>
      </c>
      <c r="N1714">
        <f t="shared" si="237"/>
        <v>1.0897799846153846E-2</v>
      </c>
      <c r="O1714">
        <f t="shared" si="238"/>
        <v>8.0218661153846158E-3</v>
      </c>
      <c r="P1714">
        <f t="shared" si="234"/>
        <v>34.562555993988454</v>
      </c>
      <c r="R1714">
        <f t="shared" si="239"/>
        <v>-1.2921622271036938E-3</v>
      </c>
    </row>
    <row r="1715" spans="1:19" x14ac:dyDescent="0.2">
      <c r="A1715" t="s">
        <v>1726</v>
      </c>
      <c r="B1715">
        <v>5.8264134600000004</v>
      </c>
      <c r="C1715">
        <v>0.52099037999999998</v>
      </c>
      <c r="D1715">
        <v>5.9866415699999997</v>
      </c>
      <c r="E1715">
        <v>0.41484471000000001</v>
      </c>
      <c r="F1715">
        <v>3.33647436</v>
      </c>
      <c r="G1715">
        <v>1.3373309600000001</v>
      </c>
      <c r="H1715">
        <v>2.8130563999999998</v>
      </c>
      <c r="I1715">
        <v>9.8609400000000003E-3</v>
      </c>
      <c r="J1715">
        <v>1</v>
      </c>
      <c r="K1715">
        <v>950082</v>
      </c>
      <c r="L1715">
        <f t="shared" si="235"/>
        <v>1.2832593692307692E-2</v>
      </c>
      <c r="M1715">
        <f t="shared" si="236"/>
        <v>5.1435806153846157E-3</v>
      </c>
      <c r="N1715">
        <f t="shared" si="237"/>
        <v>1.0819447692307691E-2</v>
      </c>
      <c r="O1715">
        <f t="shared" si="238"/>
        <v>7.9815141538461531E-3</v>
      </c>
      <c r="P1715">
        <f t="shared" si="234"/>
        <v>29.482024633004418</v>
      </c>
      <c r="R1715">
        <f t="shared" si="239"/>
        <v>-1.9955646026921544E-3</v>
      </c>
    </row>
    <row r="1716" spans="1:19" x14ac:dyDescent="0.2">
      <c r="A1716" t="s">
        <v>1727</v>
      </c>
      <c r="B1716">
        <v>5.7931923400000001</v>
      </c>
      <c r="C1716">
        <v>0.42104366999999998</v>
      </c>
      <c r="D1716">
        <v>5.9477440100000001</v>
      </c>
      <c r="E1716">
        <v>0.41484471000000001</v>
      </c>
      <c r="F1716">
        <v>3.3374191799999999</v>
      </c>
      <c r="G1716">
        <v>1.33318662</v>
      </c>
      <c r="H1716">
        <v>2.7782689</v>
      </c>
      <c r="I1716">
        <v>9.4957199999999992E-3</v>
      </c>
      <c r="J1716">
        <v>1</v>
      </c>
      <c r="K1716">
        <v>950082</v>
      </c>
      <c r="L1716">
        <f t="shared" si="235"/>
        <v>1.2836227615384615E-2</v>
      </c>
      <c r="M1716">
        <f t="shared" si="236"/>
        <v>5.1276408461538459E-3</v>
      </c>
      <c r="N1716">
        <f t="shared" si="237"/>
        <v>1.0685649615384615E-2</v>
      </c>
      <c r="O1716">
        <f t="shared" si="238"/>
        <v>7.9066452307692305E-3</v>
      </c>
      <c r="P1716">
        <f t="shared" si="234"/>
        <v>23.826197809085425</v>
      </c>
      <c r="R1716">
        <f t="shared" si="239"/>
        <v>-2.2124888344185476E-3</v>
      </c>
    </row>
    <row r="1717" spans="1:19" x14ac:dyDescent="0.2">
      <c r="A1717" t="s">
        <v>1728</v>
      </c>
      <c r="B1717">
        <v>5.7472537600000004</v>
      </c>
      <c r="C1717">
        <v>0.32598207000000001</v>
      </c>
      <c r="D1717">
        <v>5.8991220599999998</v>
      </c>
      <c r="E1717">
        <v>0.41484471000000001</v>
      </c>
      <c r="F1717">
        <v>3.33552954</v>
      </c>
      <c r="G1717">
        <v>1.3255094000000001</v>
      </c>
      <c r="H1717">
        <v>2.7315144999999998</v>
      </c>
      <c r="I1717">
        <v>9.3131099999999994E-3</v>
      </c>
      <c r="J1717">
        <v>1</v>
      </c>
      <c r="K1717">
        <v>950082</v>
      </c>
      <c r="L1717">
        <f t="shared" si="235"/>
        <v>1.2828959769230769E-2</v>
      </c>
      <c r="M1717">
        <f t="shared" si="236"/>
        <v>5.0981130769230769E-3</v>
      </c>
      <c r="N1717">
        <f t="shared" si="237"/>
        <v>1.0505825E-2</v>
      </c>
      <c r="O1717">
        <f t="shared" si="238"/>
        <v>7.8019690384615384E-3</v>
      </c>
      <c r="P1717">
        <f t="shared" si="234"/>
        <v>18.446811662161153</v>
      </c>
      <c r="R1717">
        <f t="shared" si="239"/>
        <v>-1.9906030787552745E-3</v>
      </c>
    </row>
    <row r="1718" spans="1:19" x14ac:dyDescent="0.2">
      <c r="A1718" t="s">
        <v>1729</v>
      </c>
      <c r="B1718">
        <v>5.6994984000000004</v>
      </c>
      <c r="C1718">
        <v>0.24174693</v>
      </c>
      <c r="D1718">
        <v>5.8417993399999997</v>
      </c>
      <c r="E1718">
        <v>0.41484471000000001</v>
      </c>
      <c r="F1718">
        <v>3.3322226700000002</v>
      </c>
      <c r="G1718">
        <v>1.3138916599999999</v>
      </c>
      <c r="H1718">
        <v>2.6786931599999999</v>
      </c>
      <c r="I1718">
        <v>9.4957199999999992E-3</v>
      </c>
      <c r="J1718">
        <v>1</v>
      </c>
      <c r="K1718">
        <v>950082</v>
      </c>
      <c r="L1718">
        <f t="shared" si="235"/>
        <v>1.2816241038461539E-2</v>
      </c>
      <c r="M1718">
        <f t="shared" si="236"/>
        <v>5.053429461538461E-3</v>
      </c>
      <c r="N1718">
        <f t="shared" si="237"/>
        <v>1.0302666E-2</v>
      </c>
      <c r="O1718">
        <f t="shared" si="238"/>
        <v>7.6780477307692302E-3</v>
      </c>
      <c r="P1718">
        <f t="shared" si="234"/>
        <v>13.680077826414367</v>
      </c>
      <c r="R1718">
        <f t="shared" si="239"/>
        <v>-1.5440965189747391E-3</v>
      </c>
    </row>
    <row r="1719" spans="1:19" x14ac:dyDescent="0.2">
      <c r="A1719" t="s">
        <v>1730</v>
      </c>
      <c r="B1719">
        <v>5.6496667199999999</v>
      </c>
      <c r="C1719">
        <v>0.16714998</v>
      </c>
      <c r="D1719">
        <v>5.7839648099999996</v>
      </c>
      <c r="E1719">
        <v>0.41484471000000001</v>
      </c>
      <c r="F1719">
        <v>3.31726302</v>
      </c>
      <c r="G1719">
        <v>1.2991486800000001</v>
      </c>
      <c r="H1719">
        <v>2.6240350399999999</v>
      </c>
      <c r="I1719">
        <v>9.4957199999999992E-3</v>
      </c>
      <c r="J1719">
        <v>1</v>
      </c>
      <c r="K1719">
        <v>950082</v>
      </c>
      <c r="L1719">
        <f t="shared" si="235"/>
        <v>1.2758703923076924E-2</v>
      </c>
      <c r="M1719">
        <f t="shared" si="236"/>
        <v>4.9967256923076925E-3</v>
      </c>
      <c r="N1719">
        <f t="shared" si="237"/>
        <v>1.009244246153846E-2</v>
      </c>
      <c r="O1719">
        <f t="shared" si="238"/>
        <v>7.5445840769230764E-3</v>
      </c>
      <c r="P1719">
        <f t="shared" si="234"/>
        <v>9.4587539750085128</v>
      </c>
      <c r="R1719">
        <f t="shared" si="239"/>
        <v>-1.0042568707415527E-3</v>
      </c>
    </row>
    <row r="1720" spans="1:19" x14ac:dyDescent="0.2">
      <c r="A1720" t="s">
        <v>1731</v>
      </c>
      <c r="B1720">
        <v>5.5936060799999998</v>
      </c>
      <c r="C1720">
        <v>0.10113498</v>
      </c>
      <c r="D1720">
        <v>5.7338074299999997</v>
      </c>
      <c r="E1720">
        <v>0.79018040000000001</v>
      </c>
      <c r="F1720">
        <v>3.3004137299999998</v>
      </c>
      <c r="G1720">
        <v>1.2840659999999999</v>
      </c>
      <c r="H1720">
        <v>2.5703231400000002</v>
      </c>
      <c r="I1720">
        <v>9.6783300000000006E-3</v>
      </c>
      <c r="J1720">
        <v>1</v>
      </c>
      <c r="K1720">
        <v>950082</v>
      </c>
      <c r="L1720">
        <f t="shared" si="235"/>
        <v>1.269389896153846E-2</v>
      </c>
      <c r="M1720">
        <f t="shared" si="236"/>
        <v>4.9387153846153845E-3</v>
      </c>
      <c r="N1720">
        <f t="shared" si="237"/>
        <v>9.885858230769231E-3</v>
      </c>
      <c r="O1720">
        <f t="shared" si="238"/>
        <v>7.4122868076923086E-3</v>
      </c>
      <c r="P1720">
        <f t="shared" si="234"/>
        <v>5.7230691507555456</v>
      </c>
      <c r="R1720">
        <f t="shared" si="239"/>
        <v>-4.1029018177528043E-4</v>
      </c>
    </row>
    <row r="1721" spans="1:19" x14ac:dyDescent="0.2">
      <c r="A1721" t="s">
        <v>1732</v>
      </c>
      <c r="B1721">
        <v>5.55078198</v>
      </c>
      <c r="C1721">
        <v>5.320809E-2</v>
      </c>
      <c r="D1721">
        <v>5.6903035800000001</v>
      </c>
      <c r="E1721">
        <v>1.0272345199999999</v>
      </c>
      <c r="F1721">
        <v>3.2841943200000001</v>
      </c>
      <c r="G1721">
        <v>1.27305972</v>
      </c>
      <c r="H1721">
        <v>2.5324743399999998</v>
      </c>
      <c r="I1721">
        <v>9.6783300000000006E-3</v>
      </c>
      <c r="J1721">
        <v>1</v>
      </c>
      <c r="K1721">
        <v>950082</v>
      </c>
      <c r="L1721">
        <f t="shared" si="235"/>
        <v>1.2631516615384615E-2</v>
      </c>
      <c r="M1721">
        <f t="shared" si="236"/>
        <v>4.8963835384615382E-3</v>
      </c>
      <c r="N1721">
        <f t="shared" si="237"/>
        <v>9.7402859230769218E-3</v>
      </c>
      <c r="O1721">
        <f t="shared" si="238"/>
        <v>7.3183347307692308E-3</v>
      </c>
      <c r="P1721">
        <f t="shared" si="234"/>
        <v>3.0109619683478916</v>
      </c>
      <c r="R1721">
        <f t="shared" si="239"/>
        <v>-8.3111690110364075E-5</v>
      </c>
    </row>
    <row r="1722" spans="1:19" x14ac:dyDescent="0.2">
      <c r="A1722" t="s">
        <v>1733</v>
      </c>
      <c r="B1722">
        <v>5.5380645199999998</v>
      </c>
      <c r="C1722">
        <v>4.9907340000000001E-2</v>
      </c>
      <c r="D1722">
        <v>5.6790437599999999</v>
      </c>
      <c r="E1722">
        <v>1.0864980500000001</v>
      </c>
      <c r="F1722">
        <v>3.2640381600000001</v>
      </c>
      <c r="G1722">
        <v>1.2693230200000001</v>
      </c>
      <c r="H1722">
        <v>2.521398</v>
      </c>
      <c r="I1722">
        <v>9.6783300000000006E-3</v>
      </c>
      <c r="J1722">
        <v>1</v>
      </c>
      <c r="K1722">
        <v>950082</v>
      </c>
      <c r="L1722">
        <f t="shared" si="235"/>
        <v>1.2553992923076924E-2</v>
      </c>
      <c r="M1722">
        <f t="shared" si="236"/>
        <v>4.882011615384616E-3</v>
      </c>
      <c r="N1722">
        <f t="shared" si="237"/>
        <v>9.6976846153846163E-3</v>
      </c>
      <c r="O1722">
        <f t="shared" si="238"/>
        <v>7.2898481153846157E-3</v>
      </c>
      <c r="P1722">
        <f t="shared" si="234"/>
        <v>2.8241777271352433</v>
      </c>
      <c r="R1722">
        <f t="shared" si="239"/>
        <v>1.7542933120814734E-4</v>
      </c>
    </row>
    <row r="1723" spans="1:19" x14ac:dyDescent="0.2">
      <c r="A1723" t="s">
        <v>1734</v>
      </c>
      <c r="B1723">
        <v>5.5570109399999996</v>
      </c>
      <c r="C1723">
        <v>0.10720836</v>
      </c>
      <c r="D1723">
        <v>5.7025870200000002</v>
      </c>
      <c r="E1723">
        <v>1.0864980500000001</v>
      </c>
      <c r="F1723">
        <v>3.2432521200000002</v>
      </c>
      <c r="G1723">
        <v>1.2689153799999999</v>
      </c>
      <c r="H1723">
        <v>2.54232616</v>
      </c>
      <c r="I1723">
        <v>1.004355E-2</v>
      </c>
      <c r="J1723">
        <v>1</v>
      </c>
      <c r="K1723">
        <v>950082</v>
      </c>
      <c r="L1723">
        <f t="shared" si="235"/>
        <v>1.2474046615384616E-2</v>
      </c>
      <c r="M1723">
        <f t="shared" si="236"/>
        <v>4.8804437692307693E-3</v>
      </c>
      <c r="N1723">
        <f t="shared" si="237"/>
        <v>9.7781775384615383E-3</v>
      </c>
      <c r="O1723">
        <f t="shared" si="238"/>
        <v>7.3293106538461538E-3</v>
      </c>
      <c r="P1723">
        <f t="shared" si="234"/>
        <v>6.066752154586819</v>
      </c>
      <c r="R1723">
        <f t="shared" si="239"/>
        <v>7.9108859265952466E-4</v>
      </c>
    </row>
    <row r="1724" spans="1:19" x14ac:dyDescent="0.2">
      <c r="A1724" t="s">
        <v>1735</v>
      </c>
      <c r="B1724">
        <v>5.5982778</v>
      </c>
      <c r="C1724">
        <v>0.18814275</v>
      </c>
      <c r="D1724">
        <v>5.7460908699999997</v>
      </c>
      <c r="E1724">
        <v>1.0864980500000001</v>
      </c>
      <c r="F1724">
        <v>3.2327016300000002</v>
      </c>
      <c r="G1724">
        <v>1.27550556</v>
      </c>
      <c r="H1724">
        <v>2.5849617199999999</v>
      </c>
      <c r="I1724">
        <v>1.004355E-2</v>
      </c>
      <c r="J1724">
        <v>1</v>
      </c>
      <c r="K1724">
        <v>950083</v>
      </c>
      <c r="L1724">
        <f t="shared" si="235"/>
        <v>1.2433467807692309E-2</v>
      </c>
      <c r="M1724">
        <f t="shared" si="236"/>
        <v>4.9057906153846158E-3</v>
      </c>
      <c r="N1724">
        <f t="shared" si="237"/>
        <v>9.9421604615384605E-3</v>
      </c>
      <c r="O1724">
        <f t="shared" si="238"/>
        <v>7.4239755384615386E-3</v>
      </c>
      <c r="P1724">
        <f t="shared" si="234"/>
        <v>10.646701749120957</v>
      </c>
      <c r="Q1724">
        <f t="shared" ref="Q1724" si="242">ABS(0.5*(SUMPRODUCT(O1724:O1742,P1725:P1743)+O1743*P1724-(SUMPRODUCT(O1725:O1743,P1724:P1742)+O1724*P1743)))</f>
        <v>5.1554102797690682E-3</v>
      </c>
      <c r="R1724">
        <f t="shared" si="239"/>
        <v>1.7908543249717918E-3</v>
      </c>
      <c r="S1724">
        <f>ABS(SUMIFS($R:$R,$K:$K,K1724))</f>
        <v>5.1582704807044506E-3</v>
      </c>
    </row>
    <row r="1725" spans="1:19" x14ac:dyDescent="0.2">
      <c r="A1725" t="s">
        <v>1736</v>
      </c>
      <c r="B1725">
        <v>5.6512239600000003</v>
      </c>
      <c r="C1725">
        <v>0.28082781000000001</v>
      </c>
      <c r="D1725">
        <v>5.7977836800000002</v>
      </c>
      <c r="E1725">
        <v>0.84944392999999996</v>
      </c>
      <c r="F1725">
        <v>3.22750512</v>
      </c>
      <c r="G1725">
        <v>1.2896370800000001</v>
      </c>
      <c r="H1725">
        <v>2.6410113399999999</v>
      </c>
      <c r="I1725">
        <v>1.004355E-2</v>
      </c>
      <c r="J1725">
        <v>1</v>
      </c>
      <c r="K1725">
        <v>950083</v>
      </c>
      <c r="L1725">
        <f t="shared" si="235"/>
        <v>1.2413481230769231E-2</v>
      </c>
      <c r="M1725">
        <f t="shared" si="236"/>
        <v>4.9601426153846155E-3</v>
      </c>
      <c r="N1725">
        <f t="shared" si="237"/>
        <v>1.0157735923076923E-2</v>
      </c>
      <c r="O1725">
        <f t="shared" si="238"/>
        <v>7.5589392692307685E-3</v>
      </c>
      <c r="P1725">
        <f t="shared" si="234"/>
        <v>15.891603242372124</v>
      </c>
      <c r="R1725">
        <f t="shared" si="239"/>
        <v>2.8586609837359589E-3</v>
      </c>
    </row>
    <row r="1726" spans="1:19" x14ac:dyDescent="0.2">
      <c r="A1726" t="s">
        <v>1737</v>
      </c>
      <c r="B1726">
        <v>5.7067655200000003</v>
      </c>
      <c r="C1726">
        <v>0.38962053000000002</v>
      </c>
      <c r="D1726">
        <v>5.8663662199999997</v>
      </c>
      <c r="E1726">
        <v>0.67165333999999999</v>
      </c>
      <c r="F1726">
        <v>3.2254580100000001</v>
      </c>
      <c r="G1726">
        <v>1.30499152</v>
      </c>
      <c r="H1726">
        <v>2.7040184599999999</v>
      </c>
      <c r="I1726">
        <v>9.8609400000000003E-3</v>
      </c>
      <c r="J1726">
        <v>1</v>
      </c>
      <c r="K1726">
        <v>950083</v>
      </c>
      <c r="L1726">
        <f t="shared" si="235"/>
        <v>1.2405607730769231E-2</v>
      </c>
      <c r="M1726">
        <f t="shared" si="236"/>
        <v>5.0191981538461536E-3</v>
      </c>
      <c r="N1726">
        <f t="shared" si="237"/>
        <v>1.0400071E-2</v>
      </c>
      <c r="O1726">
        <f t="shared" si="238"/>
        <v>7.709634576923077E-3</v>
      </c>
      <c r="P1726">
        <f t="shared" si="234"/>
        <v>22.048011832741015</v>
      </c>
      <c r="R1726">
        <f t="shared" si="239"/>
        <v>3.8170638551779175E-3</v>
      </c>
    </row>
    <row r="1727" spans="1:19" x14ac:dyDescent="0.2">
      <c r="A1727" t="s">
        <v>1738</v>
      </c>
      <c r="B1727">
        <v>5.7662001800000002</v>
      </c>
      <c r="C1727">
        <v>0.52257474000000004</v>
      </c>
      <c r="D1727">
        <v>5.93546057</v>
      </c>
      <c r="E1727">
        <v>0.53337177000000002</v>
      </c>
      <c r="F1727">
        <v>3.2308119899999999</v>
      </c>
      <c r="G1727">
        <v>1.3190550999999999</v>
      </c>
      <c r="H1727">
        <v>2.7668585999999999</v>
      </c>
      <c r="I1727">
        <v>9.6783300000000006E-3</v>
      </c>
      <c r="J1727">
        <v>1</v>
      </c>
      <c r="K1727">
        <v>950083</v>
      </c>
      <c r="L1727">
        <f t="shared" si="235"/>
        <v>1.2426199961538461E-2</v>
      </c>
      <c r="M1727">
        <f t="shared" si="236"/>
        <v>5.0732888461538462E-3</v>
      </c>
      <c r="N1727">
        <f t="shared" si="237"/>
        <v>1.0641763846153845E-2</v>
      </c>
      <c r="O1727">
        <f t="shared" si="238"/>
        <v>7.8575263461538453E-3</v>
      </c>
      <c r="P1727">
        <f t="shared" si="234"/>
        <v>29.571681068786493</v>
      </c>
      <c r="R1727">
        <f t="shared" si="239"/>
        <v>4.4288694208031E-3</v>
      </c>
    </row>
    <row r="1728" spans="1:19" x14ac:dyDescent="0.2">
      <c r="A1728" t="s">
        <v>1739</v>
      </c>
      <c r="B1728">
        <v>5.82874932</v>
      </c>
      <c r="C1728">
        <v>0.70107929999999996</v>
      </c>
      <c r="D1728">
        <v>6.0025076799999999</v>
      </c>
      <c r="E1728">
        <v>0.53337177000000002</v>
      </c>
      <c r="F1728">
        <v>3.24624405</v>
      </c>
      <c r="G1728">
        <v>1.32985756</v>
      </c>
      <c r="H1728">
        <v>2.8225742600000001</v>
      </c>
      <c r="I1728">
        <v>9.3131099999999994E-3</v>
      </c>
      <c r="J1728">
        <v>1</v>
      </c>
      <c r="K1728">
        <v>950083</v>
      </c>
      <c r="L1728">
        <f t="shared" si="235"/>
        <v>1.2485554038461539E-2</v>
      </c>
      <c r="M1728">
        <f t="shared" si="236"/>
        <v>5.1148367692307696E-3</v>
      </c>
      <c r="N1728">
        <f t="shared" si="237"/>
        <v>1.0856054846153847E-2</v>
      </c>
      <c r="O1728">
        <f t="shared" si="238"/>
        <v>7.9854458076923079E-3</v>
      </c>
      <c r="P1728">
        <f t="shared" si="234"/>
        <v>39.672972833566511</v>
      </c>
      <c r="R1728">
        <f t="shared" si="239"/>
        <v>2.8602047827887577E-3</v>
      </c>
    </row>
    <row r="1729" spans="1:18" x14ac:dyDescent="0.2">
      <c r="A1729" t="s">
        <v>1740</v>
      </c>
      <c r="B1729">
        <v>5.8681994</v>
      </c>
      <c r="C1729">
        <v>0.82439532000000004</v>
      </c>
      <c r="D1729">
        <v>6.0414052399999996</v>
      </c>
      <c r="E1729">
        <v>0.47410824000000001</v>
      </c>
      <c r="F1729">
        <v>3.2610462299999998</v>
      </c>
      <c r="G1729">
        <v>1.3354286399999999</v>
      </c>
      <c r="H1729">
        <v>2.8514618</v>
      </c>
      <c r="I1729">
        <v>9.4957199999999992E-3</v>
      </c>
      <c r="J1729">
        <v>1</v>
      </c>
      <c r="K1729">
        <v>950083</v>
      </c>
      <c r="L1729">
        <f t="shared" si="235"/>
        <v>1.2542485499999999E-2</v>
      </c>
      <c r="M1729">
        <f t="shared" si="236"/>
        <v>5.1362639999999998E-3</v>
      </c>
      <c r="N1729">
        <f t="shared" si="237"/>
        <v>1.0967160769230769E-2</v>
      </c>
      <c r="O1729">
        <f t="shared" si="238"/>
        <v>8.0517123846153837E-3</v>
      </c>
      <c r="P1729">
        <f t="shared" si="234"/>
        <v>46.651232085271062</v>
      </c>
      <c r="R1729">
        <f t="shared" si="239"/>
        <v>8.9316941084380361E-4</v>
      </c>
    </row>
    <row r="1730" spans="1:18" x14ac:dyDescent="0.2">
      <c r="A1730" t="s">
        <v>1741</v>
      </c>
      <c r="B1730">
        <v>5.8785809999999996</v>
      </c>
      <c r="C1730">
        <v>0.85264974000000004</v>
      </c>
      <c r="D1730">
        <v>6.0490823899999997</v>
      </c>
      <c r="E1730">
        <v>0.47410824000000001</v>
      </c>
      <c r="F1730">
        <v>3.2750610600000001</v>
      </c>
      <c r="G1730">
        <v>1.3369233199999999</v>
      </c>
      <c r="H1730">
        <v>2.8597551399999999</v>
      </c>
      <c r="I1730">
        <v>9.6783300000000006E-3</v>
      </c>
      <c r="J1730">
        <v>1</v>
      </c>
      <c r="K1730">
        <v>950083</v>
      </c>
      <c r="L1730">
        <f t="shared" si="235"/>
        <v>1.2596388692307692E-2</v>
      </c>
      <c r="M1730">
        <f t="shared" si="236"/>
        <v>5.142012769230769E-3</v>
      </c>
      <c r="N1730">
        <f t="shared" si="237"/>
        <v>1.0999058230769231E-2</v>
      </c>
      <c r="O1730">
        <f t="shared" si="238"/>
        <v>8.0705354999999982E-3</v>
      </c>
      <c r="P1730">
        <f t="shared" si="234"/>
        <v>48.250105190051329</v>
      </c>
      <c r="R1730">
        <f t="shared" si="239"/>
        <v>2.6026510911882479E-4</v>
      </c>
    </row>
    <row r="1731" spans="1:18" x14ac:dyDescent="0.2">
      <c r="A1731" t="s">
        <v>1742</v>
      </c>
      <c r="B1731">
        <v>5.8816954800000003</v>
      </c>
      <c r="C1731">
        <v>0.85502628000000003</v>
      </c>
      <c r="D1731">
        <v>6.0511296300000001</v>
      </c>
      <c r="E1731">
        <v>0.41484471000000001</v>
      </c>
      <c r="F1731">
        <v>3.2923827600000002</v>
      </c>
      <c r="G1731">
        <v>1.3373309600000001</v>
      </c>
      <c r="H1731">
        <v>2.8621485199999999</v>
      </c>
      <c r="I1731">
        <v>9.4957199999999992E-3</v>
      </c>
      <c r="J1731">
        <v>1</v>
      </c>
      <c r="K1731">
        <v>950083</v>
      </c>
      <c r="L1731">
        <f t="shared" si="235"/>
        <v>1.2663010615384615E-2</v>
      </c>
      <c r="M1731">
        <f t="shared" si="236"/>
        <v>5.1435806153846157E-3</v>
      </c>
      <c r="N1731">
        <f t="shared" si="237"/>
        <v>1.1008263538461538E-2</v>
      </c>
      <c r="O1731">
        <f t="shared" si="238"/>
        <v>8.0759220769230766E-3</v>
      </c>
      <c r="P1731">
        <f t="shared" ref="P1731:P1794" si="243">+C1731*4/(PI()*0.15^2)</f>
        <v>48.384589843724434</v>
      </c>
      <c r="R1731">
        <f t="shared" si="239"/>
        <v>-1.0329828059845869E-4</v>
      </c>
    </row>
    <row r="1732" spans="1:18" x14ac:dyDescent="0.2">
      <c r="A1732" t="s">
        <v>1743</v>
      </c>
      <c r="B1732">
        <v>5.8793596199999998</v>
      </c>
      <c r="C1732">
        <v>0.82201877999999995</v>
      </c>
      <c r="D1732">
        <v>6.04754696</v>
      </c>
      <c r="E1732">
        <v>0.41484471000000001</v>
      </c>
      <c r="F1732">
        <v>3.30718494</v>
      </c>
      <c r="G1732">
        <v>1.3375347799999999</v>
      </c>
      <c r="H1732">
        <v>2.86081268</v>
      </c>
      <c r="I1732">
        <v>9.6783300000000006E-3</v>
      </c>
      <c r="J1732">
        <v>1</v>
      </c>
      <c r="K1732">
        <v>950083</v>
      </c>
      <c r="L1732">
        <f t="shared" ref="L1732:L1795" si="244">+F1732/260</f>
        <v>1.2719942076923077E-2</v>
      </c>
      <c r="M1732">
        <f t="shared" ref="M1732:M1795" si="245">+G1732/260</f>
        <v>5.1443645384615377E-3</v>
      </c>
      <c r="N1732">
        <f t="shared" ref="N1732:N1795" si="246">+H1732/260</f>
        <v>1.1003125692307693E-2</v>
      </c>
      <c r="O1732">
        <f t="shared" ref="O1732:O1795" si="247">(+G1732+H1732)/520</f>
        <v>8.0737451153846153E-3</v>
      </c>
      <c r="P1732">
        <f t="shared" si="243"/>
        <v>46.516747431597949</v>
      </c>
      <c r="R1732">
        <f t="shared" ref="R1732:R1795" si="248">+(P1732+P1733)/2*(O1733-O1732)</f>
        <v>-1.0419643124301289E-3</v>
      </c>
    </row>
    <row r="1733" spans="1:18" x14ac:dyDescent="0.2">
      <c r="A1733" t="s">
        <v>1744</v>
      </c>
      <c r="B1733">
        <v>5.8611918200000002</v>
      </c>
      <c r="C1733">
        <v>0.70477614</v>
      </c>
      <c r="D1733">
        <v>6.0306572300000001</v>
      </c>
      <c r="E1733">
        <v>0.41484471000000001</v>
      </c>
      <c r="F1733">
        <v>3.31584579</v>
      </c>
      <c r="G1733">
        <v>1.3377386</v>
      </c>
      <c r="H1733">
        <v>2.84806654</v>
      </c>
      <c r="I1733">
        <v>9.8609400000000003E-3</v>
      </c>
      <c r="J1733">
        <v>1</v>
      </c>
      <c r="K1733">
        <v>950083</v>
      </c>
      <c r="L1733">
        <f t="shared" si="244"/>
        <v>1.2753253038461539E-2</v>
      </c>
      <c r="M1733">
        <f t="shared" si="245"/>
        <v>5.1451484615384615E-3</v>
      </c>
      <c r="N1733">
        <f t="shared" si="246"/>
        <v>1.0954102076923078E-2</v>
      </c>
      <c r="O1733">
        <f t="shared" si="247"/>
        <v>8.0496252692307691E-3</v>
      </c>
      <c r="P1733">
        <f t="shared" si="243"/>
        <v>39.88217118372468</v>
      </c>
      <c r="R1733">
        <f t="shared" si="248"/>
        <v>-9.3009170612390834E-4</v>
      </c>
    </row>
    <row r="1734" spans="1:18" x14ac:dyDescent="0.2">
      <c r="A1734" t="s">
        <v>1745</v>
      </c>
      <c r="B1734">
        <v>5.8492529800000002</v>
      </c>
      <c r="C1734">
        <v>0.61895663999999995</v>
      </c>
      <c r="D1734">
        <v>6.0147911199999999</v>
      </c>
      <c r="E1734">
        <v>0.41484471000000001</v>
      </c>
      <c r="F1734">
        <v>3.32592387</v>
      </c>
      <c r="G1734">
        <v>1.3377386</v>
      </c>
      <c r="H1734">
        <v>2.8351534200000001</v>
      </c>
      <c r="I1734">
        <v>9.6783300000000006E-3</v>
      </c>
      <c r="J1734">
        <v>1</v>
      </c>
      <c r="K1734">
        <v>950083</v>
      </c>
      <c r="L1734">
        <f t="shared" si="244"/>
        <v>1.2792014884615385E-2</v>
      </c>
      <c r="M1734">
        <f t="shared" si="245"/>
        <v>5.1451484615384615E-3</v>
      </c>
      <c r="N1734">
        <f t="shared" si="246"/>
        <v>1.0904436230769232E-2</v>
      </c>
      <c r="O1734">
        <f t="shared" si="247"/>
        <v>8.0247923461538462E-3</v>
      </c>
      <c r="P1734">
        <f t="shared" si="243"/>
        <v>35.02578091219582</v>
      </c>
      <c r="R1734">
        <f t="shared" si="248"/>
        <v>-1.369004073691899E-3</v>
      </c>
    </row>
    <row r="1735" spans="1:18" x14ac:dyDescent="0.2">
      <c r="A1735" t="s">
        <v>1746</v>
      </c>
      <c r="B1735">
        <v>5.8264134600000004</v>
      </c>
      <c r="C1735">
        <v>0.52257474000000004</v>
      </c>
      <c r="D1735">
        <v>5.9881770000000003</v>
      </c>
      <c r="E1735">
        <v>0.41484471000000001</v>
      </c>
      <c r="F1735">
        <v>3.33647436</v>
      </c>
      <c r="G1735">
        <v>1.33712714</v>
      </c>
      <c r="H1735">
        <v>2.8137243199999999</v>
      </c>
      <c r="I1735">
        <v>9.6783300000000006E-3</v>
      </c>
      <c r="J1735">
        <v>1</v>
      </c>
      <c r="K1735">
        <v>950083</v>
      </c>
      <c r="L1735">
        <f t="shared" si="244"/>
        <v>1.2832593692307692E-2</v>
      </c>
      <c r="M1735">
        <f t="shared" si="245"/>
        <v>5.1427966923076919E-3</v>
      </c>
      <c r="N1735">
        <f t="shared" si="246"/>
        <v>1.0822016615384615E-2</v>
      </c>
      <c r="O1735">
        <f t="shared" si="247"/>
        <v>7.9824066538461535E-3</v>
      </c>
      <c r="P1735">
        <f t="shared" si="243"/>
        <v>29.571681068786493</v>
      </c>
      <c r="R1735">
        <f t="shared" si="248"/>
        <v>-2.0324731786696944E-3</v>
      </c>
    </row>
    <row r="1736" spans="1:18" x14ac:dyDescent="0.2">
      <c r="A1736" t="s">
        <v>1747</v>
      </c>
      <c r="B1736">
        <v>5.7947495800000004</v>
      </c>
      <c r="C1736">
        <v>0.42025149000000001</v>
      </c>
      <c r="D1736">
        <v>5.9477440100000001</v>
      </c>
      <c r="E1736">
        <v>0.41484471000000001</v>
      </c>
      <c r="F1736">
        <v>3.3380490599999999</v>
      </c>
      <c r="G1736">
        <v>1.33318662</v>
      </c>
      <c r="H1736">
        <v>2.77804626</v>
      </c>
      <c r="I1736">
        <v>9.6783300000000006E-3</v>
      </c>
      <c r="J1736">
        <v>1</v>
      </c>
      <c r="K1736">
        <v>950083</v>
      </c>
      <c r="L1736">
        <f t="shared" si="244"/>
        <v>1.283865023076923E-2</v>
      </c>
      <c r="M1736">
        <f t="shared" si="245"/>
        <v>5.1276408461538459E-3</v>
      </c>
      <c r="N1736">
        <f t="shared" si="246"/>
        <v>1.0684793307692307E-2</v>
      </c>
      <c r="O1736">
        <f t="shared" si="247"/>
        <v>7.9062170769230774E-3</v>
      </c>
      <c r="P1736">
        <f t="shared" si="243"/>
        <v>23.781369591194391</v>
      </c>
      <c r="R1736">
        <f t="shared" si="248"/>
        <v>-2.230340144585946E-3</v>
      </c>
    </row>
    <row r="1737" spans="1:18" x14ac:dyDescent="0.2">
      <c r="A1737" t="s">
        <v>1748</v>
      </c>
      <c r="B1737">
        <v>5.7503682400000002</v>
      </c>
      <c r="C1737">
        <v>0.32518988999999998</v>
      </c>
      <c r="D1737">
        <v>5.8991220599999998</v>
      </c>
      <c r="E1737">
        <v>0.41484471000000001</v>
      </c>
      <c r="F1737">
        <v>3.3331674900000001</v>
      </c>
      <c r="G1737">
        <v>1.3248979400000001</v>
      </c>
      <c r="H1737">
        <v>2.7313475199999999</v>
      </c>
      <c r="I1737">
        <v>9.4957199999999992E-3</v>
      </c>
      <c r="J1737">
        <v>1</v>
      </c>
      <c r="K1737">
        <v>950083</v>
      </c>
      <c r="L1737">
        <f t="shared" si="244"/>
        <v>1.2819874961538462E-2</v>
      </c>
      <c r="M1737">
        <f t="shared" si="245"/>
        <v>5.0957613076923081E-3</v>
      </c>
      <c r="N1737">
        <f t="shared" si="246"/>
        <v>1.0505182769230769E-2</v>
      </c>
      <c r="O1737">
        <f t="shared" si="247"/>
        <v>7.8004720384615379E-3</v>
      </c>
      <c r="P1737">
        <f t="shared" si="243"/>
        <v>18.401983444270115</v>
      </c>
      <c r="R1737">
        <f t="shared" si="248"/>
        <v>-2.0147170469986945E-3</v>
      </c>
    </row>
    <row r="1738" spans="1:18" x14ac:dyDescent="0.2">
      <c r="A1738" t="s">
        <v>1749</v>
      </c>
      <c r="B1738">
        <v>5.6987197800000002</v>
      </c>
      <c r="C1738">
        <v>0.24174693</v>
      </c>
      <c r="D1738">
        <v>5.8433347700000002</v>
      </c>
      <c r="E1738">
        <v>0.41484471000000001</v>
      </c>
      <c r="F1738">
        <v>3.3298606199999998</v>
      </c>
      <c r="G1738">
        <v>1.31307638</v>
      </c>
      <c r="H1738">
        <v>2.6778582599999998</v>
      </c>
      <c r="I1738">
        <v>9.6783300000000006E-3</v>
      </c>
      <c r="J1738">
        <v>1</v>
      </c>
      <c r="K1738">
        <v>950083</v>
      </c>
      <c r="L1738">
        <f t="shared" si="244"/>
        <v>1.280715623076923E-2</v>
      </c>
      <c r="M1738">
        <f t="shared" si="245"/>
        <v>5.0502937692307693E-3</v>
      </c>
      <c r="N1738">
        <f t="shared" si="246"/>
        <v>1.0299454846153846E-2</v>
      </c>
      <c r="O1738">
        <f t="shared" si="247"/>
        <v>7.6748743076923073E-3</v>
      </c>
      <c r="P1738">
        <f t="shared" si="243"/>
        <v>13.680077826414367</v>
      </c>
      <c r="R1738">
        <f t="shared" si="248"/>
        <v>-1.5197990117944422E-3</v>
      </c>
    </row>
    <row r="1739" spans="1:18" x14ac:dyDescent="0.2">
      <c r="A1739" t="s">
        <v>1750</v>
      </c>
      <c r="B1739">
        <v>5.6457736199999999</v>
      </c>
      <c r="C1739">
        <v>0.16516953000000001</v>
      </c>
      <c r="D1739">
        <v>5.7839648099999996</v>
      </c>
      <c r="E1739">
        <v>0.47410824000000001</v>
      </c>
      <c r="F1739">
        <v>3.3186802499999999</v>
      </c>
      <c r="G1739">
        <v>1.2991486800000001</v>
      </c>
      <c r="H1739">
        <v>2.6231444800000001</v>
      </c>
      <c r="I1739">
        <v>9.8609400000000003E-3</v>
      </c>
      <c r="J1739">
        <v>1</v>
      </c>
      <c r="K1739">
        <v>950083</v>
      </c>
      <c r="L1739">
        <f t="shared" si="244"/>
        <v>1.2764154807692307E-2</v>
      </c>
      <c r="M1739">
        <f t="shared" si="245"/>
        <v>4.9967256923076925E-3</v>
      </c>
      <c r="N1739">
        <f t="shared" si="246"/>
        <v>1.0089017230769231E-2</v>
      </c>
      <c r="O1739">
        <f t="shared" si="247"/>
        <v>7.5428714615384616E-3</v>
      </c>
      <c r="P1739">
        <f t="shared" si="243"/>
        <v>9.3466834302809243</v>
      </c>
      <c r="R1739">
        <f t="shared" si="248"/>
        <v>-9.9122681586786719E-4</v>
      </c>
    </row>
    <row r="1740" spans="1:18" x14ac:dyDescent="0.2">
      <c r="A1740" t="s">
        <v>1751</v>
      </c>
      <c r="B1740">
        <v>5.5967205599999996</v>
      </c>
      <c r="C1740">
        <v>9.9946709999999994E-2</v>
      </c>
      <c r="D1740">
        <v>5.7292011399999998</v>
      </c>
      <c r="E1740">
        <v>0.79018040000000001</v>
      </c>
      <c r="F1740">
        <v>3.2989964999999999</v>
      </c>
      <c r="G1740">
        <v>1.2835904199999999</v>
      </c>
      <c r="H1740">
        <v>2.5699891799999999</v>
      </c>
      <c r="I1740">
        <v>9.4957199999999992E-3</v>
      </c>
      <c r="J1740">
        <v>1</v>
      </c>
      <c r="K1740">
        <v>950083</v>
      </c>
      <c r="L1740">
        <f t="shared" si="244"/>
        <v>1.2688448076923077E-2</v>
      </c>
      <c r="M1740">
        <f t="shared" si="245"/>
        <v>4.9368862307692307E-3</v>
      </c>
      <c r="N1740">
        <f t="shared" si="246"/>
        <v>9.8845737692307683E-3</v>
      </c>
      <c r="O1740">
        <f t="shared" si="247"/>
        <v>7.4107299999999999E-3</v>
      </c>
      <c r="P1740">
        <f t="shared" si="243"/>
        <v>5.6558268239189919</v>
      </c>
      <c r="R1740">
        <f t="shared" si="248"/>
        <v>-4.0556212607076103E-4</v>
      </c>
    </row>
    <row r="1741" spans="1:18" x14ac:dyDescent="0.2">
      <c r="A1741" t="s">
        <v>1752</v>
      </c>
      <c r="B1741">
        <v>5.55467508</v>
      </c>
      <c r="C1741">
        <v>5.4000270000000003E-2</v>
      </c>
      <c r="D1741">
        <v>5.6903035800000001</v>
      </c>
      <c r="E1741">
        <v>1.0272345199999999</v>
      </c>
      <c r="F1741">
        <v>3.2823046800000002</v>
      </c>
      <c r="G1741">
        <v>1.2728558999999999</v>
      </c>
      <c r="H1741">
        <v>2.5323073599999999</v>
      </c>
      <c r="I1741">
        <v>9.6783300000000006E-3</v>
      </c>
      <c r="J1741">
        <v>1</v>
      </c>
      <c r="K1741">
        <v>950083</v>
      </c>
      <c r="L1741">
        <f t="shared" si="244"/>
        <v>1.262424876923077E-2</v>
      </c>
      <c r="M1741">
        <f t="shared" si="245"/>
        <v>4.8955996153846153E-3</v>
      </c>
      <c r="N1741">
        <f t="shared" si="246"/>
        <v>9.7396436923076913E-3</v>
      </c>
      <c r="O1741">
        <f t="shared" si="247"/>
        <v>7.3176216538461533E-3</v>
      </c>
      <c r="P1741">
        <f t="shared" si="243"/>
        <v>3.0557901862389274</v>
      </c>
      <c r="R1741">
        <f t="shared" si="248"/>
        <v>-7.8388903158247444E-5</v>
      </c>
    </row>
    <row r="1742" spans="1:18" x14ac:dyDescent="0.2">
      <c r="A1742" t="s">
        <v>1753</v>
      </c>
      <c r="B1742">
        <v>5.5435148600000002</v>
      </c>
      <c r="C1742">
        <v>5.2019820000000001E-2</v>
      </c>
      <c r="D1742">
        <v>5.6775083300000002</v>
      </c>
      <c r="E1742">
        <v>1.20502511</v>
      </c>
      <c r="F1742">
        <v>3.2629358700000002</v>
      </c>
      <c r="G1742">
        <v>1.2691192</v>
      </c>
      <c r="H1742">
        <v>2.5224555400000002</v>
      </c>
      <c r="I1742">
        <v>1.004355E-2</v>
      </c>
      <c r="J1742">
        <v>1</v>
      </c>
      <c r="K1742">
        <v>950083</v>
      </c>
      <c r="L1742">
        <f t="shared" si="244"/>
        <v>1.2549753346153847E-2</v>
      </c>
      <c r="M1742">
        <f t="shared" si="245"/>
        <v>4.8812276923076922E-3</v>
      </c>
      <c r="N1742">
        <f t="shared" si="246"/>
        <v>9.7017520769230783E-3</v>
      </c>
      <c r="O1742">
        <f t="shared" si="247"/>
        <v>7.2914898846153852E-3</v>
      </c>
      <c r="P1742">
        <f t="shared" si="243"/>
        <v>2.9437196415113385</v>
      </c>
      <c r="R1742">
        <f t="shared" si="248"/>
        <v>1.7489961972087708E-4</v>
      </c>
    </row>
    <row r="1743" spans="1:18" x14ac:dyDescent="0.2">
      <c r="A1743" t="s">
        <v>1754</v>
      </c>
      <c r="B1743">
        <v>5.5601254200000003</v>
      </c>
      <c r="C1743">
        <v>0.10839662999999999</v>
      </c>
      <c r="D1743">
        <v>5.6979807300000003</v>
      </c>
      <c r="E1743">
        <v>1.26428864</v>
      </c>
      <c r="F1743">
        <v>3.2437245300000002</v>
      </c>
      <c r="G1743">
        <v>1.2691192</v>
      </c>
      <c r="H1743">
        <v>2.5424931399999999</v>
      </c>
      <c r="I1743">
        <v>9.8609400000000003E-3</v>
      </c>
      <c r="J1743">
        <v>1</v>
      </c>
      <c r="K1743">
        <v>950083</v>
      </c>
      <c r="L1743">
        <f t="shared" si="244"/>
        <v>1.2475863576923077E-2</v>
      </c>
      <c r="M1743">
        <f t="shared" si="245"/>
        <v>4.8812276923076922E-3</v>
      </c>
      <c r="N1743">
        <f t="shared" si="246"/>
        <v>9.7788197692307687E-3</v>
      </c>
      <c r="O1743">
        <f t="shared" si="247"/>
        <v>7.3300237307692305E-3</v>
      </c>
      <c r="P1743">
        <f t="shared" si="243"/>
        <v>6.1339944814233718</v>
      </c>
      <c r="R1743">
        <f t="shared" si="248"/>
        <v>7.9114857353347016E-4</v>
      </c>
    </row>
    <row r="1744" spans="1:18" x14ac:dyDescent="0.2">
      <c r="A1744" t="s">
        <v>1755</v>
      </c>
      <c r="B1744">
        <v>5.5959419400000003</v>
      </c>
      <c r="C1744">
        <v>0.18735056999999999</v>
      </c>
      <c r="D1744">
        <v>5.7445554400000001</v>
      </c>
      <c r="E1744">
        <v>1.20502511</v>
      </c>
      <c r="F1744">
        <v>3.2308119899999999</v>
      </c>
      <c r="G1744">
        <v>1.2759811400000001</v>
      </c>
      <c r="H1744">
        <v>2.58479474</v>
      </c>
      <c r="I1744">
        <v>9.8609400000000003E-3</v>
      </c>
      <c r="J1744">
        <v>1</v>
      </c>
      <c r="K1744">
        <v>950084</v>
      </c>
      <c r="L1744">
        <f t="shared" si="244"/>
        <v>1.2426199961538461E-2</v>
      </c>
      <c r="M1744">
        <f t="shared" si="245"/>
        <v>4.9076197692307696E-3</v>
      </c>
      <c r="N1744">
        <f t="shared" si="246"/>
        <v>9.94151823076923E-3</v>
      </c>
      <c r="O1744">
        <f t="shared" si="247"/>
        <v>7.4245690000000007E-3</v>
      </c>
      <c r="P1744">
        <f t="shared" si="243"/>
        <v>10.601873531229922</v>
      </c>
      <c r="Q1744">
        <f t="shared" ref="Q1744" si="249">ABS(0.5*(SUMPRODUCT(O1744:O1762,P1745:P1763)+O1763*P1744-(SUMPRODUCT(O1745:O1763,P1744:P1762)+O1744*P1763)))</f>
        <v>5.2031722364132005E-3</v>
      </c>
      <c r="R1744">
        <f t="shared" si="248"/>
        <v>1.8073320157831897E-3</v>
      </c>
    </row>
    <row r="1745" spans="1:19" x14ac:dyDescent="0.2">
      <c r="A1745" t="s">
        <v>1756</v>
      </c>
      <c r="B1745">
        <v>5.6481094799999996</v>
      </c>
      <c r="C1745">
        <v>0.28241217000000002</v>
      </c>
      <c r="D1745">
        <v>5.8008545399999996</v>
      </c>
      <c r="E1745">
        <v>0.90870746000000002</v>
      </c>
      <c r="F1745">
        <v>3.2259304200000001</v>
      </c>
      <c r="G1745">
        <v>1.2896370800000001</v>
      </c>
      <c r="H1745">
        <v>2.64184624</v>
      </c>
      <c r="I1745">
        <v>9.8609400000000003E-3</v>
      </c>
      <c r="J1745">
        <v>1</v>
      </c>
      <c r="K1745">
        <v>950084</v>
      </c>
      <c r="L1745">
        <f t="shared" si="244"/>
        <v>1.2407424692307692E-2</v>
      </c>
      <c r="M1745">
        <f t="shared" si="245"/>
        <v>4.9601426153846155E-3</v>
      </c>
      <c r="N1745">
        <f t="shared" si="246"/>
        <v>1.0160947076923077E-2</v>
      </c>
      <c r="O1745">
        <f t="shared" si="247"/>
        <v>7.5605448461538455E-3</v>
      </c>
      <c r="P1745">
        <f t="shared" si="243"/>
        <v>15.981259678154196</v>
      </c>
      <c r="R1745">
        <f t="shared" si="248"/>
        <v>2.8816769735764843E-3</v>
      </c>
      <c r="S1745">
        <f>ABS(SUMIFS($R:$R,$K:$K,K1745))</f>
        <v>5.2014883559325072E-3</v>
      </c>
    </row>
    <row r="1746" spans="1:19" x14ac:dyDescent="0.2">
      <c r="A1746" t="s">
        <v>1757</v>
      </c>
      <c r="B1746">
        <v>5.7083227599999997</v>
      </c>
      <c r="C1746">
        <v>0.39199707</v>
      </c>
      <c r="D1746">
        <v>5.8679016500000003</v>
      </c>
      <c r="E1746">
        <v>0.67165333999999999</v>
      </c>
      <c r="F1746">
        <v>3.2265603</v>
      </c>
      <c r="G1746">
        <v>1.30499152</v>
      </c>
      <c r="H1746">
        <v>2.7050203399999999</v>
      </c>
      <c r="I1746">
        <v>9.8609400000000003E-3</v>
      </c>
      <c r="J1746">
        <v>1</v>
      </c>
      <c r="K1746">
        <v>950084</v>
      </c>
      <c r="L1746">
        <f t="shared" si="244"/>
        <v>1.2409847307692307E-2</v>
      </c>
      <c r="M1746">
        <f t="shared" si="245"/>
        <v>5.0191981538461536E-3</v>
      </c>
      <c r="N1746">
        <f t="shared" si="246"/>
        <v>1.0403924384615385E-2</v>
      </c>
      <c r="O1746">
        <f t="shared" si="247"/>
        <v>7.7115612692307683E-3</v>
      </c>
      <c r="P1746">
        <f t="shared" si="243"/>
        <v>22.18249648641412</v>
      </c>
      <c r="R1746">
        <f t="shared" si="248"/>
        <v>3.8546796148275137E-3</v>
      </c>
    </row>
    <row r="1747" spans="1:19" x14ac:dyDescent="0.2">
      <c r="A1747" t="s">
        <v>1758</v>
      </c>
      <c r="B1747">
        <v>5.7677574199999997</v>
      </c>
      <c r="C1747">
        <v>0.52587549</v>
      </c>
      <c r="D1747">
        <v>5.9416022899999996</v>
      </c>
      <c r="E1747">
        <v>0.53337177000000002</v>
      </c>
      <c r="F1747">
        <v>3.2293947599999999</v>
      </c>
      <c r="G1747">
        <v>1.3196665599999999</v>
      </c>
      <c r="H1747">
        <v>2.7675265200000001</v>
      </c>
      <c r="I1747">
        <v>1.004355E-2</v>
      </c>
      <c r="J1747">
        <v>1</v>
      </c>
      <c r="K1747">
        <v>950084</v>
      </c>
      <c r="L1747">
        <f t="shared" si="244"/>
        <v>1.2420749076923077E-2</v>
      </c>
      <c r="M1747">
        <f t="shared" si="245"/>
        <v>5.075640615384615E-3</v>
      </c>
      <c r="N1747">
        <f t="shared" si="246"/>
        <v>1.0644332769230769E-2</v>
      </c>
      <c r="O1747">
        <f t="shared" si="247"/>
        <v>7.8599866923076932E-3</v>
      </c>
      <c r="P1747">
        <f t="shared" si="243"/>
        <v>29.758465309999139</v>
      </c>
      <c r="R1747">
        <f t="shared" si="248"/>
        <v>4.4434065505051809E-3</v>
      </c>
    </row>
    <row r="1748" spans="1:19" x14ac:dyDescent="0.2">
      <c r="A1748" t="s">
        <v>1759</v>
      </c>
      <c r="B1748">
        <v>5.8303065600000004</v>
      </c>
      <c r="C1748">
        <v>0.70556832000000003</v>
      </c>
      <c r="D1748">
        <v>6.0071139699999998</v>
      </c>
      <c r="E1748">
        <v>0.47410824000000001</v>
      </c>
      <c r="F1748">
        <v>3.2437245300000002</v>
      </c>
      <c r="G1748">
        <v>1.3302651999999999</v>
      </c>
      <c r="H1748">
        <v>2.8232421799999998</v>
      </c>
      <c r="I1748">
        <v>1.004355E-2</v>
      </c>
      <c r="J1748">
        <v>1</v>
      </c>
      <c r="K1748">
        <v>950084</v>
      </c>
      <c r="L1748">
        <f t="shared" si="244"/>
        <v>1.2475863576923077E-2</v>
      </c>
      <c r="M1748">
        <f t="shared" si="245"/>
        <v>5.1164046153846154E-3</v>
      </c>
      <c r="N1748">
        <f t="shared" si="246"/>
        <v>1.0858623769230769E-2</v>
      </c>
      <c r="O1748">
        <f t="shared" si="247"/>
        <v>7.9875141923076917E-3</v>
      </c>
      <c r="P1748">
        <f t="shared" si="243"/>
        <v>39.926999401615717</v>
      </c>
      <c r="R1748">
        <f t="shared" si="248"/>
        <v>2.7489259890168716E-3</v>
      </c>
    </row>
    <row r="1749" spans="1:19" x14ac:dyDescent="0.2">
      <c r="A1749" t="s">
        <v>1760</v>
      </c>
      <c r="B1749">
        <v>5.8700161800000004</v>
      </c>
      <c r="C1749">
        <v>0.82479141</v>
      </c>
      <c r="D1749">
        <v>6.0398698099999999</v>
      </c>
      <c r="E1749">
        <v>0.47410824000000001</v>
      </c>
      <c r="F1749">
        <v>3.2605738199999998</v>
      </c>
      <c r="G1749">
        <v>1.3352248200000001</v>
      </c>
      <c r="H1749">
        <v>2.8512948200000001</v>
      </c>
      <c r="I1749">
        <v>9.8609400000000003E-3</v>
      </c>
      <c r="J1749">
        <v>1</v>
      </c>
      <c r="K1749">
        <v>950084</v>
      </c>
      <c r="L1749">
        <f t="shared" si="244"/>
        <v>1.2540668538461537E-2</v>
      </c>
      <c r="M1749">
        <f t="shared" si="245"/>
        <v>5.1354800769230768E-3</v>
      </c>
      <c r="N1749">
        <f t="shared" si="246"/>
        <v>1.0966518538461539E-2</v>
      </c>
      <c r="O1749">
        <f t="shared" si="247"/>
        <v>8.0509993076923088E-3</v>
      </c>
      <c r="P1749">
        <f t="shared" si="243"/>
        <v>46.673646194216573</v>
      </c>
      <c r="R1749">
        <f t="shared" si="248"/>
        <v>9.274432739765614E-4</v>
      </c>
    </row>
    <row r="1750" spans="1:19" x14ac:dyDescent="0.2">
      <c r="A1750" t="s">
        <v>1761</v>
      </c>
      <c r="B1750">
        <v>5.8785809999999996</v>
      </c>
      <c r="C1750">
        <v>0.85304583</v>
      </c>
      <c r="D1750">
        <v>6.0460115300000004</v>
      </c>
      <c r="E1750">
        <v>0.47410824000000001</v>
      </c>
      <c r="F1750">
        <v>3.2755334700000001</v>
      </c>
      <c r="G1750">
        <v>1.3369233199999999</v>
      </c>
      <c r="H1750">
        <v>2.8597551399999999</v>
      </c>
      <c r="I1750">
        <v>9.6783300000000006E-3</v>
      </c>
      <c r="J1750">
        <v>1</v>
      </c>
      <c r="K1750">
        <v>950084</v>
      </c>
      <c r="L1750">
        <f t="shared" si="244"/>
        <v>1.2598205653846154E-2</v>
      </c>
      <c r="M1750">
        <f t="shared" si="245"/>
        <v>5.142012769230769E-3</v>
      </c>
      <c r="N1750">
        <f t="shared" si="246"/>
        <v>1.0999058230769231E-2</v>
      </c>
      <c r="O1750">
        <f t="shared" si="247"/>
        <v>8.0705354999999982E-3</v>
      </c>
      <c r="P1750">
        <f t="shared" si="243"/>
        <v>48.272519298996841</v>
      </c>
      <c r="R1750">
        <f t="shared" si="248"/>
        <v>2.7926841138127447E-4</v>
      </c>
    </row>
    <row r="1751" spans="1:19" x14ac:dyDescent="0.2">
      <c r="A1751" t="s">
        <v>1762</v>
      </c>
      <c r="B1751">
        <v>5.8809168600000001</v>
      </c>
      <c r="C1751">
        <v>0.85502628000000003</v>
      </c>
      <c r="D1751">
        <v>6.0526650599999998</v>
      </c>
      <c r="E1751">
        <v>0.47410824000000001</v>
      </c>
      <c r="F1751">
        <v>3.2903356499999998</v>
      </c>
      <c r="G1751">
        <v>1.3375347799999999</v>
      </c>
      <c r="H1751">
        <v>2.8621485199999999</v>
      </c>
      <c r="I1751">
        <v>9.6783300000000006E-3</v>
      </c>
      <c r="J1751">
        <v>1</v>
      </c>
      <c r="K1751">
        <v>950084</v>
      </c>
      <c r="L1751">
        <f t="shared" si="244"/>
        <v>1.2655137115384615E-2</v>
      </c>
      <c r="M1751">
        <f t="shared" si="245"/>
        <v>5.1443645384615377E-3</v>
      </c>
      <c r="N1751">
        <f t="shared" si="246"/>
        <v>1.1008263538461538E-2</v>
      </c>
      <c r="O1751">
        <f t="shared" si="247"/>
        <v>8.0763140384615389E-3</v>
      </c>
      <c r="P1751">
        <f t="shared" si="243"/>
        <v>48.384589843724434</v>
      </c>
      <c r="R1751">
        <f t="shared" si="248"/>
        <v>-1.2142688001803873E-4</v>
      </c>
    </row>
    <row r="1752" spans="1:19" x14ac:dyDescent="0.2">
      <c r="A1752" t="s">
        <v>1763</v>
      </c>
      <c r="B1752">
        <v>5.8785809999999996</v>
      </c>
      <c r="C1752">
        <v>0.81554930999999997</v>
      </c>
      <c r="D1752">
        <v>6.0490823899999997</v>
      </c>
      <c r="E1752">
        <v>0.47410824000000001</v>
      </c>
      <c r="F1752">
        <v>3.30671253</v>
      </c>
      <c r="G1752">
        <v>1.3375347799999999</v>
      </c>
      <c r="H1752">
        <v>2.86081268</v>
      </c>
      <c r="I1752">
        <v>9.8609400000000003E-3</v>
      </c>
      <c r="J1752">
        <v>1</v>
      </c>
      <c r="K1752">
        <v>950084</v>
      </c>
      <c r="L1752">
        <f t="shared" si="244"/>
        <v>1.2718125115384615E-2</v>
      </c>
      <c r="M1752">
        <f t="shared" si="245"/>
        <v>5.1443645384615377E-3</v>
      </c>
      <c r="N1752">
        <f t="shared" si="246"/>
        <v>1.1003125692307693E-2</v>
      </c>
      <c r="O1752">
        <f t="shared" si="247"/>
        <v>8.0737451153846153E-3</v>
      </c>
      <c r="P1752">
        <f t="shared" si="243"/>
        <v>46.150650318821157</v>
      </c>
      <c r="R1752">
        <f t="shared" si="248"/>
        <v>-1.0358372306897925E-3</v>
      </c>
    </row>
    <row r="1753" spans="1:19" x14ac:dyDescent="0.2">
      <c r="A1753" t="s">
        <v>1764</v>
      </c>
      <c r="B1753">
        <v>5.8627490599999996</v>
      </c>
      <c r="C1753">
        <v>0.70226756999999995</v>
      </c>
      <c r="D1753">
        <v>6.0383343800000002</v>
      </c>
      <c r="E1753">
        <v>0.47410824000000001</v>
      </c>
      <c r="F1753">
        <v>3.3177354299999999</v>
      </c>
      <c r="G1753">
        <v>1.3377386</v>
      </c>
      <c r="H1753">
        <v>2.84806654</v>
      </c>
      <c r="I1753">
        <v>9.6783300000000006E-3</v>
      </c>
      <c r="J1753">
        <v>1</v>
      </c>
      <c r="K1753">
        <v>950084</v>
      </c>
      <c r="L1753">
        <f t="shared" si="244"/>
        <v>1.2760520884615384E-2</v>
      </c>
      <c r="M1753">
        <f t="shared" si="245"/>
        <v>5.1451484615384615E-3</v>
      </c>
      <c r="N1753">
        <f t="shared" si="246"/>
        <v>1.0954102076923078E-2</v>
      </c>
      <c r="O1753">
        <f t="shared" si="247"/>
        <v>8.0496252692307691E-3</v>
      </c>
      <c r="P1753">
        <f t="shared" si="243"/>
        <v>39.740215160403061</v>
      </c>
      <c r="R1753">
        <f t="shared" si="248"/>
        <v>-9.045917094416151E-4</v>
      </c>
    </row>
    <row r="1754" spans="1:19" x14ac:dyDescent="0.2">
      <c r="A1754" t="s">
        <v>1765</v>
      </c>
      <c r="B1754">
        <v>5.8492529800000002</v>
      </c>
      <c r="C1754">
        <v>0.61935273000000002</v>
      </c>
      <c r="D1754">
        <v>6.0214446500000003</v>
      </c>
      <c r="E1754">
        <v>0.47410824000000001</v>
      </c>
      <c r="F1754">
        <v>3.3240342300000001</v>
      </c>
      <c r="G1754">
        <v>1.3377386</v>
      </c>
      <c r="H1754">
        <v>2.83548738</v>
      </c>
      <c r="I1754">
        <v>9.4957199999999992E-3</v>
      </c>
      <c r="J1754">
        <v>1</v>
      </c>
      <c r="K1754">
        <v>950084</v>
      </c>
      <c r="L1754">
        <f t="shared" si="244"/>
        <v>1.2784747038461539E-2</v>
      </c>
      <c r="M1754">
        <f t="shared" si="245"/>
        <v>5.1451484615384615E-3</v>
      </c>
      <c r="N1754">
        <f t="shared" si="246"/>
        <v>1.0905720692307693E-2</v>
      </c>
      <c r="O1754">
        <f t="shared" si="247"/>
        <v>8.0254345769230767E-3</v>
      </c>
      <c r="P1754">
        <f t="shared" si="243"/>
        <v>35.048195021141339</v>
      </c>
      <c r="R1754">
        <f t="shared" si="248"/>
        <v>-1.4340194363891697E-3</v>
      </c>
    </row>
    <row r="1755" spans="1:19" x14ac:dyDescent="0.2">
      <c r="A1755" t="s">
        <v>1766</v>
      </c>
      <c r="B1755">
        <v>5.8271920799999997</v>
      </c>
      <c r="C1755">
        <v>0.52257474000000004</v>
      </c>
      <c r="D1755">
        <v>5.9917596700000004</v>
      </c>
      <c r="E1755">
        <v>0.41484471000000001</v>
      </c>
      <c r="F1755">
        <v>3.3322226700000002</v>
      </c>
      <c r="G1755">
        <v>1.3369233199999999</v>
      </c>
      <c r="H1755">
        <v>2.8132233800000002</v>
      </c>
      <c r="I1755">
        <v>9.4957199999999992E-3</v>
      </c>
      <c r="J1755">
        <v>1</v>
      </c>
      <c r="K1755">
        <v>950084</v>
      </c>
      <c r="L1755">
        <f t="shared" si="244"/>
        <v>1.2816241038461539E-2</v>
      </c>
      <c r="M1755">
        <f t="shared" si="245"/>
        <v>5.142012769230769E-3</v>
      </c>
      <c r="N1755">
        <f t="shared" si="246"/>
        <v>1.0820089923076924E-2</v>
      </c>
      <c r="O1755">
        <f t="shared" si="247"/>
        <v>7.9810513461538463E-3</v>
      </c>
      <c r="P1755">
        <f t="shared" si="243"/>
        <v>29.571681068786493</v>
      </c>
      <c r="R1755">
        <f t="shared" si="248"/>
        <v>-2.0444393145285277E-3</v>
      </c>
    </row>
    <row r="1756" spans="1:19" x14ac:dyDescent="0.2">
      <c r="A1756" t="s">
        <v>1767</v>
      </c>
      <c r="B1756">
        <v>5.7913755599999996</v>
      </c>
      <c r="C1756">
        <v>0.41787495000000002</v>
      </c>
      <c r="D1756">
        <v>5.9477440100000001</v>
      </c>
      <c r="E1756">
        <v>0.41484471000000001</v>
      </c>
      <c r="F1756">
        <v>3.3374191799999999</v>
      </c>
      <c r="G1756">
        <v>1.3329827999999999</v>
      </c>
      <c r="H1756">
        <v>2.7772113599999999</v>
      </c>
      <c r="I1756">
        <v>9.3131099999999994E-3</v>
      </c>
      <c r="J1756">
        <v>1</v>
      </c>
      <c r="K1756">
        <v>950084</v>
      </c>
      <c r="L1756">
        <f t="shared" si="244"/>
        <v>1.2836227615384615E-2</v>
      </c>
      <c r="M1756">
        <f t="shared" si="245"/>
        <v>5.126856923076923E-3</v>
      </c>
      <c r="N1756">
        <f t="shared" si="246"/>
        <v>1.0681582153846153E-2</v>
      </c>
      <c r="O1756">
        <f t="shared" si="247"/>
        <v>7.904219538461538E-3</v>
      </c>
      <c r="P1756">
        <f t="shared" si="243"/>
        <v>23.646884937521286</v>
      </c>
      <c r="R1756">
        <f t="shared" si="248"/>
        <v>-2.2339613175954066E-3</v>
      </c>
    </row>
    <row r="1757" spans="1:19" x14ac:dyDescent="0.2">
      <c r="A1757" t="s">
        <v>1768</v>
      </c>
      <c r="B1757">
        <v>5.7488109999999999</v>
      </c>
      <c r="C1757">
        <v>0.32030478000000001</v>
      </c>
      <c r="D1757">
        <v>5.8975866300000002</v>
      </c>
      <c r="E1757">
        <v>0.41484471000000001</v>
      </c>
      <c r="F1757">
        <v>3.3336399000000001</v>
      </c>
      <c r="G1757">
        <v>1.3248979400000001</v>
      </c>
      <c r="H1757">
        <v>2.7296777200000002</v>
      </c>
      <c r="I1757">
        <v>9.3131099999999994E-3</v>
      </c>
      <c r="J1757">
        <v>1</v>
      </c>
      <c r="K1757">
        <v>950084</v>
      </c>
      <c r="L1757">
        <f t="shared" si="244"/>
        <v>1.2821691923076924E-2</v>
      </c>
      <c r="M1757">
        <f t="shared" si="245"/>
        <v>5.0957613076923081E-3</v>
      </c>
      <c r="N1757">
        <f t="shared" si="246"/>
        <v>1.0498760461538463E-2</v>
      </c>
      <c r="O1757">
        <f t="shared" si="247"/>
        <v>7.7972608846153847E-3</v>
      </c>
      <c r="P1757">
        <f t="shared" si="243"/>
        <v>18.125542767275398</v>
      </c>
      <c r="R1757">
        <f t="shared" si="248"/>
        <v>-1.9753772074513425E-3</v>
      </c>
    </row>
    <row r="1758" spans="1:19" x14ac:dyDescent="0.2">
      <c r="A1758" t="s">
        <v>1769</v>
      </c>
      <c r="B1758">
        <v>5.6956053000000004</v>
      </c>
      <c r="C1758">
        <v>0.23778603000000001</v>
      </c>
      <c r="D1758">
        <v>5.8417993399999997</v>
      </c>
      <c r="E1758">
        <v>0.41484471000000001</v>
      </c>
      <c r="F1758">
        <v>3.32639628</v>
      </c>
      <c r="G1758">
        <v>1.3126687399999999</v>
      </c>
      <c r="H1758">
        <v>2.6768563799999998</v>
      </c>
      <c r="I1758">
        <v>9.6783300000000006E-3</v>
      </c>
      <c r="J1758">
        <v>1</v>
      </c>
      <c r="K1758">
        <v>950084</v>
      </c>
      <c r="L1758">
        <f t="shared" si="244"/>
        <v>1.2793831846153847E-2</v>
      </c>
      <c r="M1758">
        <f t="shared" si="245"/>
        <v>5.0487259230769226E-3</v>
      </c>
      <c r="N1758">
        <f t="shared" si="246"/>
        <v>1.0295601461538462E-2</v>
      </c>
      <c r="O1758">
        <f t="shared" si="247"/>
        <v>7.6721636923076921E-3</v>
      </c>
      <c r="P1758">
        <f t="shared" si="243"/>
        <v>13.455936736959188</v>
      </c>
      <c r="R1758">
        <f t="shared" si="248"/>
        <v>-1.5117729849048625E-3</v>
      </c>
    </row>
    <row r="1759" spans="1:19" x14ac:dyDescent="0.2">
      <c r="A1759" t="s">
        <v>1770</v>
      </c>
      <c r="B1759">
        <v>5.6449949999999998</v>
      </c>
      <c r="C1759">
        <v>0.16437735000000001</v>
      </c>
      <c r="D1759">
        <v>5.7839648099999996</v>
      </c>
      <c r="E1759">
        <v>0.41484471000000001</v>
      </c>
      <c r="F1759">
        <v>3.3177354299999999</v>
      </c>
      <c r="G1759">
        <v>1.2981295799999999</v>
      </c>
      <c r="H1759">
        <v>2.62230958</v>
      </c>
      <c r="I1759">
        <v>9.6783300000000006E-3</v>
      </c>
      <c r="J1759">
        <v>1</v>
      </c>
      <c r="K1759">
        <v>950084</v>
      </c>
      <c r="L1759">
        <f t="shared" si="244"/>
        <v>1.2760520884615384E-2</v>
      </c>
      <c r="M1759">
        <f t="shared" si="245"/>
        <v>4.9928060769230762E-3</v>
      </c>
      <c r="N1759">
        <f t="shared" si="246"/>
        <v>1.0085806076923077E-2</v>
      </c>
      <c r="O1759">
        <f t="shared" si="247"/>
        <v>7.5393060769230764E-3</v>
      </c>
      <c r="P1759">
        <f t="shared" si="243"/>
        <v>9.3018552123898885</v>
      </c>
      <c r="R1759">
        <f t="shared" si="248"/>
        <v>-9.7173927057498267E-4</v>
      </c>
    </row>
    <row r="1760" spans="1:19" x14ac:dyDescent="0.2">
      <c r="A1760" t="s">
        <v>1771</v>
      </c>
      <c r="B1760">
        <v>5.5925679199999996</v>
      </c>
      <c r="C1760">
        <v>9.8362350000000001E-2</v>
      </c>
      <c r="D1760">
        <v>5.732272</v>
      </c>
      <c r="E1760">
        <v>0.73091687000000005</v>
      </c>
      <c r="F1760">
        <v>3.3015160200000002</v>
      </c>
      <c r="G1760">
        <v>1.2829789599999999</v>
      </c>
      <c r="H1760">
        <v>2.5694882400000001</v>
      </c>
      <c r="I1760">
        <v>9.8609400000000003E-3</v>
      </c>
      <c r="J1760">
        <v>1</v>
      </c>
      <c r="K1760">
        <v>950084</v>
      </c>
      <c r="L1760">
        <f t="shared" si="244"/>
        <v>1.2698138538461539E-2</v>
      </c>
      <c r="M1760">
        <f t="shared" si="245"/>
        <v>4.9345344615384611E-3</v>
      </c>
      <c r="N1760">
        <f t="shared" si="246"/>
        <v>9.8826470769230769E-3</v>
      </c>
      <c r="O1760">
        <f t="shared" si="247"/>
        <v>7.408590769230769E-3</v>
      </c>
      <c r="P1760">
        <f t="shared" si="243"/>
        <v>5.5661703881369213</v>
      </c>
      <c r="R1760">
        <f t="shared" si="248"/>
        <v>-3.8700439732839939E-4</v>
      </c>
    </row>
    <row r="1761" spans="1:19" x14ac:dyDescent="0.2">
      <c r="A1761" t="s">
        <v>1772</v>
      </c>
      <c r="B1761">
        <v>5.55078198</v>
      </c>
      <c r="C1761">
        <v>5.3604180000000001E-2</v>
      </c>
      <c r="D1761">
        <v>5.6964452999999997</v>
      </c>
      <c r="E1761">
        <v>0.96797098999999998</v>
      </c>
      <c r="F1761">
        <v>3.2797851599999999</v>
      </c>
      <c r="G1761">
        <v>1.2728558999999999</v>
      </c>
      <c r="H1761">
        <v>2.5328083000000001</v>
      </c>
      <c r="I1761">
        <v>9.6783300000000006E-3</v>
      </c>
      <c r="J1761">
        <v>1</v>
      </c>
      <c r="K1761">
        <v>950084</v>
      </c>
      <c r="L1761">
        <f t="shared" si="244"/>
        <v>1.2614558307692307E-2</v>
      </c>
      <c r="M1761">
        <f t="shared" si="245"/>
        <v>4.8955996153846153E-3</v>
      </c>
      <c r="N1761">
        <f t="shared" si="246"/>
        <v>9.7415703846153844E-3</v>
      </c>
      <c r="O1761">
        <f t="shared" si="247"/>
        <v>7.3185849999999998E-3</v>
      </c>
      <c r="P1761">
        <f t="shared" si="243"/>
        <v>3.0333760772934095</v>
      </c>
      <c r="R1761">
        <f t="shared" si="248"/>
        <v>-7.8042515518605122E-5</v>
      </c>
    </row>
    <row r="1762" spans="1:19" x14ac:dyDescent="0.2">
      <c r="A1762" t="s">
        <v>1773</v>
      </c>
      <c r="B1762">
        <v>5.5380645199999998</v>
      </c>
      <c r="C1762">
        <v>5.1227639999999998E-2</v>
      </c>
      <c r="D1762">
        <v>5.6821146200000001</v>
      </c>
      <c r="E1762">
        <v>1.1457615800000001</v>
      </c>
      <c r="F1762">
        <v>3.2624634600000002</v>
      </c>
      <c r="G1762">
        <v>1.2695268399999999</v>
      </c>
      <c r="H1762">
        <v>2.5224555400000002</v>
      </c>
      <c r="I1762">
        <v>9.6783300000000006E-3</v>
      </c>
      <c r="J1762">
        <v>1</v>
      </c>
      <c r="K1762">
        <v>950084</v>
      </c>
      <c r="L1762">
        <f t="shared" si="244"/>
        <v>1.2547936384615386E-2</v>
      </c>
      <c r="M1762">
        <f t="shared" si="245"/>
        <v>4.882795538461538E-3</v>
      </c>
      <c r="N1762">
        <f t="shared" si="246"/>
        <v>9.7017520769230783E-3</v>
      </c>
      <c r="O1762">
        <f t="shared" si="247"/>
        <v>7.2922738076923082E-3</v>
      </c>
      <c r="P1762">
        <f t="shared" si="243"/>
        <v>2.8988914236203027</v>
      </c>
      <c r="R1762">
        <f t="shared" si="248"/>
        <v>1.7183818778847672E-4</v>
      </c>
    </row>
    <row r="1763" spans="1:19" x14ac:dyDescent="0.2">
      <c r="A1763" t="s">
        <v>1774</v>
      </c>
      <c r="B1763">
        <v>5.55856818</v>
      </c>
      <c r="C1763">
        <v>0.10800054000000001</v>
      </c>
      <c r="D1763">
        <v>5.6995161599999999</v>
      </c>
      <c r="E1763">
        <v>1.1457615800000001</v>
      </c>
      <c r="F1763">
        <v>3.2457716400000001</v>
      </c>
      <c r="G1763">
        <v>1.2693230200000001</v>
      </c>
      <c r="H1763">
        <v>2.5424931399999999</v>
      </c>
      <c r="I1763">
        <v>1.004355E-2</v>
      </c>
      <c r="J1763">
        <v>1</v>
      </c>
      <c r="K1763">
        <v>950084</v>
      </c>
      <c r="L1763">
        <f t="shared" si="244"/>
        <v>1.2483737076923077E-2</v>
      </c>
      <c r="M1763">
        <f t="shared" si="245"/>
        <v>4.882011615384616E-3</v>
      </c>
      <c r="N1763">
        <f t="shared" si="246"/>
        <v>9.7788197692307687E-3</v>
      </c>
      <c r="O1763">
        <f t="shared" si="247"/>
        <v>7.3304156923076928E-3</v>
      </c>
      <c r="P1763">
        <f t="shared" si="243"/>
        <v>6.1115803724778548</v>
      </c>
      <c r="R1763">
        <f t="shared" si="248"/>
        <v>7.8512960351769738E-4</v>
      </c>
    </row>
    <row r="1764" spans="1:19" x14ac:dyDescent="0.2">
      <c r="A1764" t="s">
        <v>1775</v>
      </c>
      <c r="B1764">
        <v>5.5951633200000002</v>
      </c>
      <c r="C1764">
        <v>0.18735056999999999</v>
      </c>
      <c r="D1764">
        <v>5.7460908699999997</v>
      </c>
      <c r="E1764">
        <v>1.0864980500000001</v>
      </c>
      <c r="F1764">
        <v>3.2312843999999998</v>
      </c>
      <c r="G1764">
        <v>1.2757093799999999</v>
      </c>
      <c r="H1764">
        <v>2.5849617199999999</v>
      </c>
      <c r="I1764">
        <v>1.004355E-2</v>
      </c>
      <c r="J1764">
        <v>1</v>
      </c>
      <c r="K1764">
        <v>950085</v>
      </c>
      <c r="L1764">
        <f t="shared" si="244"/>
        <v>1.2428016923076922E-2</v>
      </c>
      <c r="M1764">
        <f t="shared" si="245"/>
        <v>4.9065745384615379E-3</v>
      </c>
      <c r="N1764">
        <f t="shared" si="246"/>
        <v>9.9421604615384605E-3</v>
      </c>
      <c r="O1764">
        <f t="shared" si="247"/>
        <v>7.4243675E-3</v>
      </c>
      <c r="P1764">
        <f t="shared" si="243"/>
        <v>10.601873531229922</v>
      </c>
      <c r="Q1764">
        <f t="shared" ref="Q1764" si="250">ABS(0.5*(SUMPRODUCT(O1764:O1782,P1765:P1783)+O1783*P1764-(SUMPRODUCT(O1765:O1783,P1764:P1782)+O1764*P1783)))</f>
        <v>5.1685003502868199E-3</v>
      </c>
      <c r="R1764">
        <f t="shared" si="248"/>
        <v>1.7774448092912744E-3</v>
      </c>
    </row>
    <row r="1765" spans="1:19" x14ac:dyDescent="0.2">
      <c r="A1765" t="s">
        <v>1776</v>
      </c>
      <c r="B1765">
        <v>5.6449949999999998</v>
      </c>
      <c r="C1765">
        <v>0.28082781000000001</v>
      </c>
      <c r="D1765">
        <v>5.7993191099999999</v>
      </c>
      <c r="E1765">
        <v>0.73091687000000005</v>
      </c>
      <c r="F1765">
        <v>3.2245131900000001</v>
      </c>
      <c r="G1765">
        <v>1.28943326</v>
      </c>
      <c r="H1765">
        <v>2.6410113399999999</v>
      </c>
      <c r="I1765">
        <v>9.8609400000000003E-3</v>
      </c>
      <c r="J1765">
        <v>1</v>
      </c>
      <c r="K1765">
        <v>950085</v>
      </c>
      <c r="L1765">
        <f t="shared" si="244"/>
        <v>1.2401973807692309E-2</v>
      </c>
      <c r="M1765">
        <f t="shared" si="245"/>
        <v>4.9593586923076926E-3</v>
      </c>
      <c r="N1765">
        <f t="shared" si="246"/>
        <v>1.0157735923076923E-2</v>
      </c>
      <c r="O1765">
        <f t="shared" si="247"/>
        <v>7.5585473076923079E-3</v>
      </c>
      <c r="P1765">
        <f t="shared" si="243"/>
        <v>15.891603242372124</v>
      </c>
      <c r="R1765">
        <f t="shared" si="248"/>
        <v>2.872540025860269E-3</v>
      </c>
    </row>
    <row r="1766" spans="1:19" x14ac:dyDescent="0.2">
      <c r="A1766" t="s">
        <v>1777</v>
      </c>
      <c r="B1766">
        <v>5.7091013799999999</v>
      </c>
      <c r="C1766">
        <v>0.39001661999999998</v>
      </c>
      <c r="D1766">
        <v>5.8648307900000001</v>
      </c>
      <c r="E1766">
        <v>0.67165333999999999</v>
      </c>
      <c r="F1766">
        <v>3.2254580100000001</v>
      </c>
      <c r="G1766">
        <v>1.3047877000000001</v>
      </c>
      <c r="H1766">
        <v>2.7043524200000002</v>
      </c>
      <c r="I1766">
        <v>9.6783300000000006E-3</v>
      </c>
      <c r="J1766">
        <v>1</v>
      </c>
      <c r="K1766">
        <v>950085</v>
      </c>
      <c r="L1766">
        <f t="shared" si="244"/>
        <v>1.2405607730769231E-2</v>
      </c>
      <c r="M1766">
        <f t="shared" si="245"/>
        <v>5.0184142307692315E-3</v>
      </c>
      <c r="N1766">
        <f t="shared" si="246"/>
        <v>1.0401355461538463E-2</v>
      </c>
      <c r="O1766">
        <f t="shared" si="247"/>
        <v>7.7098848461538468E-3</v>
      </c>
      <c r="P1766">
        <f t="shared" si="243"/>
        <v>22.07042594168653</v>
      </c>
      <c r="R1766">
        <f t="shared" si="248"/>
        <v>3.8155683237592153E-3</v>
      </c>
      <c r="S1766">
        <f>ABS(SUMIFS($R:$R,$K:$K,K1766))</f>
        <v>5.1712298325703567E-3</v>
      </c>
    </row>
    <row r="1767" spans="1:19" x14ac:dyDescent="0.2">
      <c r="A1767" t="s">
        <v>1778</v>
      </c>
      <c r="B1767">
        <v>5.7708719000000004</v>
      </c>
      <c r="C1767">
        <v>0.52336691999999996</v>
      </c>
      <c r="D1767">
        <v>5.9369959999999997</v>
      </c>
      <c r="E1767">
        <v>0.61238981000000003</v>
      </c>
      <c r="F1767">
        <v>3.2303395799999999</v>
      </c>
      <c r="G1767">
        <v>1.3190550999999999</v>
      </c>
      <c r="H1767">
        <v>2.7668585999999999</v>
      </c>
      <c r="I1767">
        <v>9.6783300000000006E-3</v>
      </c>
      <c r="J1767">
        <v>1</v>
      </c>
      <c r="K1767">
        <v>950085</v>
      </c>
      <c r="L1767">
        <f t="shared" si="244"/>
        <v>1.2424382999999999E-2</v>
      </c>
      <c r="M1767">
        <f t="shared" si="245"/>
        <v>5.0732888461538462E-3</v>
      </c>
      <c r="N1767">
        <f t="shared" si="246"/>
        <v>1.0641763846153845E-2</v>
      </c>
      <c r="O1767">
        <f t="shared" si="247"/>
        <v>7.8575263461538453E-3</v>
      </c>
      <c r="P1767">
        <f t="shared" si="243"/>
        <v>29.616509286677523</v>
      </c>
      <c r="R1767">
        <f t="shared" si="248"/>
        <v>4.4370598569059682E-3</v>
      </c>
    </row>
    <row r="1768" spans="1:19" x14ac:dyDescent="0.2">
      <c r="A1768" t="s">
        <v>1779</v>
      </c>
      <c r="B1768">
        <v>5.8303065600000004</v>
      </c>
      <c r="C1768">
        <v>0.70187147999999999</v>
      </c>
      <c r="D1768">
        <v>6.0055785400000001</v>
      </c>
      <c r="E1768">
        <v>0.41484471000000001</v>
      </c>
      <c r="F1768">
        <v>3.2413624799999998</v>
      </c>
      <c r="G1768">
        <v>1.3300613800000001</v>
      </c>
      <c r="H1768">
        <v>2.8224072800000002</v>
      </c>
      <c r="I1768">
        <v>9.6783300000000006E-3</v>
      </c>
      <c r="J1768">
        <v>1</v>
      </c>
      <c r="K1768">
        <v>950085</v>
      </c>
      <c r="L1768">
        <f t="shared" si="244"/>
        <v>1.2466778769230769E-2</v>
      </c>
      <c r="M1768">
        <f t="shared" si="245"/>
        <v>5.1156206923076925E-3</v>
      </c>
      <c r="N1768">
        <f t="shared" si="246"/>
        <v>1.0855412615384617E-2</v>
      </c>
      <c r="O1768">
        <f t="shared" si="247"/>
        <v>7.9855166538461541E-3</v>
      </c>
      <c r="P1768">
        <f t="shared" si="243"/>
        <v>39.717801051457549</v>
      </c>
      <c r="R1768">
        <f t="shared" si="248"/>
        <v>2.8609474359260569E-3</v>
      </c>
    </row>
    <row r="1769" spans="1:19" x14ac:dyDescent="0.2">
      <c r="A1769" t="s">
        <v>1780</v>
      </c>
      <c r="B1769">
        <v>5.8692375600000002</v>
      </c>
      <c r="C1769">
        <v>0.82399922999999997</v>
      </c>
      <c r="D1769">
        <v>6.0460115300000004</v>
      </c>
      <c r="E1769">
        <v>0.41484471000000001</v>
      </c>
      <c r="F1769">
        <v>3.2596289999999999</v>
      </c>
      <c r="G1769">
        <v>1.33563246</v>
      </c>
      <c r="H1769">
        <v>2.8512948200000001</v>
      </c>
      <c r="I1769">
        <v>9.3131099999999994E-3</v>
      </c>
      <c r="J1769">
        <v>1</v>
      </c>
      <c r="K1769">
        <v>950085</v>
      </c>
      <c r="L1769">
        <f t="shared" si="244"/>
        <v>1.2537034615384616E-2</v>
      </c>
      <c r="M1769">
        <f t="shared" si="245"/>
        <v>5.1370479230769235E-3</v>
      </c>
      <c r="N1769">
        <f t="shared" si="246"/>
        <v>1.0966518538461539E-2</v>
      </c>
      <c r="O1769">
        <f t="shared" si="247"/>
        <v>8.05178323076923E-3</v>
      </c>
      <c r="P1769">
        <f t="shared" si="243"/>
        <v>46.628817976325536</v>
      </c>
      <c r="R1769">
        <f t="shared" si="248"/>
        <v>8.9204433522008632E-4</v>
      </c>
    </row>
    <row r="1770" spans="1:19" x14ac:dyDescent="0.2">
      <c r="A1770" t="s">
        <v>1781</v>
      </c>
      <c r="B1770">
        <v>5.88013824</v>
      </c>
      <c r="C1770">
        <v>0.85093335000000003</v>
      </c>
      <c r="D1770">
        <v>6.0526650599999998</v>
      </c>
      <c r="E1770">
        <v>0.41484471000000001</v>
      </c>
      <c r="F1770">
        <v>3.27647829</v>
      </c>
      <c r="G1770">
        <v>1.33712714</v>
      </c>
      <c r="H1770">
        <v>2.8595881599999999</v>
      </c>
      <c r="I1770">
        <v>9.4957199999999992E-3</v>
      </c>
      <c r="J1770">
        <v>1</v>
      </c>
      <c r="K1770">
        <v>950085</v>
      </c>
      <c r="L1770">
        <f t="shared" si="244"/>
        <v>1.2601839576923077E-2</v>
      </c>
      <c r="M1770">
        <f t="shared" si="245"/>
        <v>5.1427966923076919E-3</v>
      </c>
      <c r="N1770">
        <f t="shared" si="246"/>
        <v>1.0998416E-2</v>
      </c>
      <c r="O1770">
        <f t="shared" si="247"/>
        <v>8.0706063461538462E-3</v>
      </c>
      <c r="P1770">
        <f t="shared" si="243"/>
        <v>48.152977384620748</v>
      </c>
      <c r="R1770">
        <f t="shared" si="248"/>
        <v>2.5994314826008162E-4</v>
      </c>
    </row>
    <row r="1771" spans="1:19" x14ac:dyDescent="0.2">
      <c r="A1771" t="s">
        <v>1782</v>
      </c>
      <c r="B1771">
        <v>5.8816954800000003</v>
      </c>
      <c r="C1771">
        <v>0.85463018999999996</v>
      </c>
      <c r="D1771">
        <v>6.0542004900000004</v>
      </c>
      <c r="E1771">
        <v>0.41484471000000001</v>
      </c>
      <c r="F1771">
        <v>3.2893908299999999</v>
      </c>
      <c r="G1771">
        <v>1.3375347799999999</v>
      </c>
      <c r="H1771">
        <v>2.8619815399999999</v>
      </c>
      <c r="I1771">
        <v>9.8609400000000003E-3</v>
      </c>
      <c r="J1771">
        <v>1</v>
      </c>
      <c r="K1771">
        <v>950085</v>
      </c>
      <c r="L1771">
        <f t="shared" si="244"/>
        <v>1.2651503192307692E-2</v>
      </c>
      <c r="M1771">
        <f t="shared" si="245"/>
        <v>5.1443645384615377E-3</v>
      </c>
      <c r="N1771">
        <f t="shared" si="246"/>
        <v>1.1007621307692308E-2</v>
      </c>
      <c r="O1771">
        <f t="shared" si="247"/>
        <v>8.0759929230769228E-3</v>
      </c>
      <c r="P1771">
        <f t="shared" si="243"/>
        <v>48.362175734778916</v>
      </c>
      <c r="R1771">
        <f t="shared" si="248"/>
        <v>0</v>
      </c>
    </row>
    <row r="1772" spans="1:19" x14ac:dyDescent="0.2">
      <c r="A1772" t="s">
        <v>1783</v>
      </c>
      <c r="B1772">
        <v>5.8824740999999996</v>
      </c>
      <c r="C1772">
        <v>0.83046869999999995</v>
      </c>
      <c r="D1772">
        <v>6.0542004900000004</v>
      </c>
      <c r="E1772">
        <v>0.41484471000000001</v>
      </c>
      <c r="F1772">
        <v>3.3043504800000001</v>
      </c>
      <c r="G1772">
        <v>1.3375347799999999</v>
      </c>
      <c r="H1772">
        <v>2.8619815399999999</v>
      </c>
      <c r="I1772">
        <v>1.022616E-2</v>
      </c>
      <c r="J1772">
        <v>1</v>
      </c>
      <c r="K1772">
        <v>950085</v>
      </c>
      <c r="L1772">
        <f t="shared" si="244"/>
        <v>1.2709040307692309E-2</v>
      </c>
      <c r="M1772">
        <f t="shared" si="245"/>
        <v>5.1443645384615377E-3</v>
      </c>
      <c r="N1772">
        <f t="shared" si="246"/>
        <v>1.1007621307692308E-2</v>
      </c>
      <c r="O1772">
        <f t="shared" si="247"/>
        <v>8.0759929230769228E-3</v>
      </c>
      <c r="P1772">
        <f t="shared" si="243"/>
        <v>46.994915089102328</v>
      </c>
      <c r="R1772">
        <f t="shared" si="248"/>
        <v>-1.1111715922425939E-3</v>
      </c>
    </row>
    <row r="1773" spans="1:19" x14ac:dyDescent="0.2">
      <c r="A1773" t="s">
        <v>1784</v>
      </c>
      <c r="B1773">
        <v>5.8635276799999998</v>
      </c>
      <c r="C1773">
        <v>0.71111358000000002</v>
      </c>
      <c r="D1773">
        <v>6.0383343800000002</v>
      </c>
      <c r="E1773">
        <v>0.41484471000000001</v>
      </c>
      <c r="F1773">
        <v>3.3182078399999999</v>
      </c>
      <c r="G1773">
        <v>1.3375347799999999</v>
      </c>
      <c r="H1773">
        <v>2.8487344600000002</v>
      </c>
      <c r="I1773">
        <v>1.004355E-2</v>
      </c>
      <c r="J1773">
        <v>1</v>
      </c>
      <c r="K1773">
        <v>950085</v>
      </c>
      <c r="L1773">
        <f t="shared" si="244"/>
        <v>1.2762337846153845E-2</v>
      </c>
      <c r="M1773">
        <f t="shared" si="245"/>
        <v>5.1443645384615377E-3</v>
      </c>
      <c r="N1773">
        <f t="shared" si="246"/>
        <v>1.0956671000000001E-2</v>
      </c>
      <c r="O1773">
        <f t="shared" si="247"/>
        <v>8.0505177692307694E-3</v>
      </c>
      <c r="P1773">
        <f t="shared" si="243"/>
        <v>40.240796926852965</v>
      </c>
      <c r="R1773">
        <f t="shared" si="248"/>
        <v>-1.0862799058563035E-3</v>
      </c>
    </row>
    <row r="1774" spans="1:19" x14ac:dyDescent="0.2">
      <c r="A1774" t="s">
        <v>1785</v>
      </c>
      <c r="B1774">
        <v>5.8438026399999998</v>
      </c>
      <c r="C1774">
        <v>0.61077077999999996</v>
      </c>
      <c r="D1774">
        <v>6.0132556900000003</v>
      </c>
      <c r="E1774">
        <v>0.41484471000000001</v>
      </c>
      <c r="F1774">
        <v>3.32497905</v>
      </c>
      <c r="G1774">
        <v>1.3377386</v>
      </c>
      <c r="H1774">
        <v>2.8334279599999999</v>
      </c>
      <c r="I1774">
        <v>1.004355E-2</v>
      </c>
      <c r="J1774">
        <v>1</v>
      </c>
      <c r="K1774">
        <v>950085</v>
      </c>
      <c r="L1774">
        <f t="shared" si="244"/>
        <v>1.2788380961538462E-2</v>
      </c>
      <c r="M1774">
        <f t="shared" si="245"/>
        <v>5.1451484615384615E-3</v>
      </c>
      <c r="N1774">
        <f t="shared" si="246"/>
        <v>1.0897799846153846E-2</v>
      </c>
      <c r="O1774">
        <f t="shared" si="247"/>
        <v>8.0214741538461535E-3</v>
      </c>
      <c r="P1774">
        <f t="shared" si="243"/>
        <v>34.562555993988454</v>
      </c>
      <c r="R1774">
        <f t="shared" si="248"/>
        <v>-1.2621965376092728E-3</v>
      </c>
    </row>
    <row r="1775" spans="1:19" x14ac:dyDescent="0.2">
      <c r="A1775" t="s">
        <v>1786</v>
      </c>
      <c r="B1775">
        <v>5.82485622</v>
      </c>
      <c r="C1775">
        <v>0.52178256000000001</v>
      </c>
      <c r="D1775">
        <v>5.98971243</v>
      </c>
      <c r="E1775">
        <v>0.41484471000000001</v>
      </c>
      <c r="F1775">
        <v>3.3312778500000002</v>
      </c>
      <c r="G1775">
        <v>1.33712714</v>
      </c>
      <c r="H1775">
        <v>2.81355734</v>
      </c>
      <c r="I1775">
        <v>9.8609400000000003E-3</v>
      </c>
      <c r="J1775">
        <v>1</v>
      </c>
      <c r="K1775">
        <v>950085</v>
      </c>
      <c r="L1775">
        <f t="shared" si="244"/>
        <v>1.2812607115384617E-2</v>
      </c>
      <c r="M1775">
        <f t="shared" si="245"/>
        <v>5.1427966923076919E-3</v>
      </c>
      <c r="N1775">
        <f t="shared" si="246"/>
        <v>1.0821374384615385E-2</v>
      </c>
      <c r="O1775">
        <f t="shared" si="247"/>
        <v>7.9820855384615374E-3</v>
      </c>
      <c r="P1775">
        <f t="shared" si="243"/>
        <v>29.526852850895455</v>
      </c>
      <c r="R1775">
        <f t="shared" si="248"/>
        <v>-1.9503790905422613E-3</v>
      </c>
    </row>
    <row r="1776" spans="1:19" x14ac:dyDescent="0.2">
      <c r="A1776" t="s">
        <v>1787</v>
      </c>
      <c r="B1776">
        <v>5.7905969400000004</v>
      </c>
      <c r="C1776">
        <v>0.42183585000000001</v>
      </c>
      <c r="D1776">
        <v>5.9477440100000001</v>
      </c>
      <c r="E1776">
        <v>0.41484471000000001</v>
      </c>
      <c r="F1776">
        <v>3.33600195</v>
      </c>
      <c r="G1776">
        <v>1.3335942599999999</v>
      </c>
      <c r="H1776">
        <v>2.7791038000000001</v>
      </c>
      <c r="I1776">
        <v>9.6783300000000006E-3</v>
      </c>
      <c r="J1776">
        <v>1</v>
      </c>
      <c r="K1776">
        <v>950085</v>
      </c>
      <c r="L1776">
        <f t="shared" si="244"/>
        <v>1.283077673076923E-2</v>
      </c>
      <c r="M1776">
        <f t="shared" si="245"/>
        <v>5.1292086923076918E-3</v>
      </c>
      <c r="N1776">
        <f t="shared" si="246"/>
        <v>1.0688860769230769E-2</v>
      </c>
      <c r="O1776">
        <f t="shared" si="247"/>
        <v>7.9090347307692304E-3</v>
      </c>
      <c r="P1776">
        <f t="shared" si="243"/>
        <v>23.871026026976462</v>
      </c>
      <c r="R1776">
        <f t="shared" si="248"/>
        <v>-2.225568942009017E-3</v>
      </c>
    </row>
    <row r="1777" spans="1:19" x14ac:dyDescent="0.2">
      <c r="A1777" t="s">
        <v>1788</v>
      </c>
      <c r="B1777">
        <v>5.7495896200000001</v>
      </c>
      <c r="C1777">
        <v>0.32756643000000002</v>
      </c>
      <c r="D1777">
        <v>5.8960511999999996</v>
      </c>
      <c r="E1777">
        <v>0.41484471000000001</v>
      </c>
      <c r="F1777">
        <v>3.33647436</v>
      </c>
      <c r="G1777">
        <v>1.3257132199999999</v>
      </c>
      <c r="H1777">
        <v>2.7324050600000001</v>
      </c>
      <c r="I1777">
        <v>9.6783300000000006E-3</v>
      </c>
      <c r="J1777">
        <v>1</v>
      </c>
      <c r="K1777">
        <v>950085</v>
      </c>
      <c r="L1777">
        <f t="shared" si="244"/>
        <v>1.2832593692307692E-2</v>
      </c>
      <c r="M1777">
        <f t="shared" si="245"/>
        <v>5.0988969999999998E-3</v>
      </c>
      <c r="N1777">
        <f t="shared" si="246"/>
        <v>1.0509250230769231E-2</v>
      </c>
      <c r="O1777">
        <f t="shared" si="247"/>
        <v>7.8040736153846164E-3</v>
      </c>
      <c r="P1777">
        <f t="shared" si="243"/>
        <v>18.536468097943224</v>
      </c>
      <c r="R1777">
        <f t="shared" si="248"/>
        <v>-2.0161052133987416E-3</v>
      </c>
    </row>
    <row r="1778" spans="1:19" x14ac:dyDescent="0.2">
      <c r="A1778" t="s">
        <v>1789</v>
      </c>
      <c r="B1778">
        <v>5.7005365599999998</v>
      </c>
      <c r="C1778">
        <v>0.24333129000000001</v>
      </c>
      <c r="D1778">
        <v>5.8417993399999997</v>
      </c>
      <c r="E1778">
        <v>0.41484471000000001</v>
      </c>
      <c r="F1778">
        <v>3.3289157999999999</v>
      </c>
      <c r="G1778">
        <v>1.3136878400000001</v>
      </c>
      <c r="H1778">
        <v>2.67952806</v>
      </c>
      <c r="I1778">
        <v>9.6783300000000006E-3</v>
      </c>
      <c r="J1778">
        <v>1</v>
      </c>
      <c r="K1778">
        <v>950085</v>
      </c>
      <c r="L1778">
        <f t="shared" si="244"/>
        <v>1.2803522307692307E-2</v>
      </c>
      <c r="M1778">
        <f t="shared" si="245"/>
        <v>5.052645538461539E-3</v>
      </c>
      <c r="N1778">
        <f t="shared" si="246"/>
        <v>1.0305877153846154E-2</v>
      </c>
      <c r="O1778">
        <f t="shared" si="247"/>
        <v>7.6792613461538466E-3</v>
      </c>
      <c r="P1778">
        <f t="shared" si="243"/>
        <v>13.769734262196438</v>
      </c>
      <c r="R1778">
        <f t="shared" si="248"/>
        <v>-1.5332306016366108E-3</v>
      </c>
    </row>
    <row r="1779" spans="1:19" x14ac:dyDescent="0.2">
      <c r="A1779" t="s">
        <v>1790</v>
      </c>
      <c r="B1779">
        <v>5.6465522400000001</v>
      </c>
      <c r="C1779">
        <v>0.16807419000000001</v>
      </c>
      <c r="D1779">
        <v>5.7855002400000002</v>
      </c>
      <c r="E1779">
        <v>0.41484471000000001</v>
      </c>
      <c r="F1779">
        <v>3.3177354299999999</v>
      </c>
      <c r="G1779">
        <v>1.2993524999999999</v>
      </c>
      <c r="H1779">
        <v>2.6253708800000002</v>
      </c>
      <c r="I1779">
        <v>9.8609400000000003E-3</v>
      </c>
      <c r="J1779">
        <v>1</v>
      </c>
      <c r="K1779">
        <v>950085</v>
      </c>
      <c r="L1779">
        <f t="shared" si="244"/>
        <v>1.2760520884615384E-2</v>
      </c>
      <c r="M1779">
        <f t="shared" si="245"/>
        <v>4.9975096153846155E-3</v>
      </c>
      <c r="N1779">
        <f t="shared" si="246"/>
        <v>1.0097580307692309E-2</v>
      </c>
      <c r="O1779">
        <f t="shared" si="247"/>
        <v>7.5475449615384615E-3</v>
      </c>
      <c r="P1779">
        <f t="shared" si="243"/>
        <v>9.5110535625480548</v>
      </c>
      <c r="R1779">
        <f t="shared" si="248"/>
        <v>-1.0088887360101765E-3</v>
      </c>
    </row>
    <row r="1780" spans="1:19" x14ac:dyDescent="0.2">
      <c r="A1780" t="s">
        <v>1791</v>
      </c>
      <c r="B1780">
        <v>5.5982778</v>
      </c>
      <c r="C1780">
        <v>0.10232325</v>
      </c>
      <c r="D1780">
        <v>5.7338074299999997</v>
      </c>
      <c r="E1780">
        <v>0.73091687000000005</v>
      </c>
      <c r="F1780">
        <v>3.3048228900000001</v>
      </c>
      <c r="G1780">
        <v>1.28426982</v>
      </c>
      <c r="H1780">
        <v>2.5718816200000001</v>
      </c>
      <c r="I1780">
        <v>9.8609400000000003E-3</v>
      </c>
      <c r="J1780">
        <v>1</v>
      </c>
      <c r="K1780">
        <v>950085</v>
      </c>
      <c r="L1780">
        <f t="shared" si="244"/>
        <v>1.2710857269230769E-2</v>
      </c>
      <c r="M1780">
        <f t="shared" si="245"/>
        <v>4.9394993076923074E-3</v>
      </c>
      <c r="N1780">
        <f t="shared" si="246"/>
        <v>9.8918523846153843E-3</v>
      </c>
      <c r="O1780">
        <f t="shared" si="247"/>
        <v>7.4156758461538467E-3</v>
      </c>
      <c r="P1780">
        <f t="shared" si="243"/>
        <v>5.7903114775920992</v>
      </c>
      <c r="R1780">
        <f t="shared" si="248"/>
        <v>-4.2659712851402681E-4</v>
      </c>
    </row>
    <row r="1781" spans="1:19" x14ac:dyDescent="0.2">
      <c r="A1781" t="s">
        <v>1792</v>
      </c>
      <c r="B1781">
        <v>5.5523392200000004</v>
      </c>
      <c r="C1781">
        <v>5.4000270000000003E-2</v>
      </c>
      <c r="D1781">
        <v>5.6903035800000001</v>
      </c>
      <c r="E1781">
        <v>0.96797098999999998</v>
      </c>
      <c r="F1781">
        <v>3.2846667300000001</v>
      </c>
      <c r="G1781">
        <v>1.2728558999999999</v>
      </c>
      <c r="H1781">
        <v>2.53314226</v>
      </c>
      <c r="I1781">
        <v>9.6783300000000006E-3</v>
      </c>
      <c r="J1781">
        <v>1</v>
      </c>
      <c r="K1781">
        <v>950085</v>
      </c>
      <c r="L1781">
        <f t="shared" si="244"/>
        <v>1.2633333576923077E-2</v>
      </c>
      <c r="M1781">
        <f t="shared" si="245"/>
        <v>4.8955996153846153E-3</v>
      </c>
      <c r="N1781">
        <f t="shared" si="246"/>
        <v>9.7428548461538454E-3</v>
      </c>
      <c r="O1781">
        <f t="shared" si="247"/>
        <v>7.3192272307692303E-3</v>
      </c>
      <c r="P1781">
        <f t="shared" si="243"/>
        <v>3.0557901862389274</v>
      </c>
      <c r="R1781">
        <f t="shared" si="248"/>
        <v>-8.4284972160579585E-5</v>
      </c>
    </row>
    <row r="1782" spans="1:19" x14ac:dyDescent="0.2">
      <c r="A1782" t="s">
        <v>1793</v>
      </c>
      <c r="B1782">
        <v>5.5404003800000003</v>
      </c>
      <c r="C1782">
        <v>5.0831550000000003E-2</v>
      </c>
      <c r="D1782">
        <v>5.6821146200000001</v>
      </c>
      <c r="E1782">
        <v>1.0272345199999999</v>
      </c>
      <c r="F1782">
        <v>3.2640381600000001</v>
      </c>
      <c r="G1782">
        <v>1.2693230200000001</v>
      </c>
      <c r="H1782">
        <v>2.5218989399999998</v>
      </c>
      <c r="I1782">
        <v>9.6783300000000006E-3</v>
      </c>
      <c r="J1782">
        <v>1</v>
      </c>
      <c r="K1782">
        <v>950085</v>
      </c>
      <c r="L1782">
        <f t="shared" si="244"/>
        <v>1.2553992923076924E-2</v>
      </c>
      <c r="M1782">
        <f t="shared" si="245"/>
        <v>4.882011615384616E-3</v>
      </c>
      <c r="N1782">
        <f t="shared" si="246"/>
        <v>9.6996113076923077E-3</v>
      </c>
      <c r="O1782">
        <f t="shared" si="247"/>
        <v>7.2908114615384606E-3</v>
      </c>
      <c r="P1782">
        <f t="shared" si="243"/>
        <v>2.8764773146747848</v>
      </c>
      <c r="R1782">
        <f t="shared" si="248"/>
        <v>1.7776731788886034E-4</v>
      </c>
    </row>
    <row r="1783" spans="1:19" x14ac:dyDescent="0.2">
      <c r="A1783" t="s">
        <v>1794</v>
      </c>
      <c r="B1783">
        <v>5.5577895599999998</v>
      </c>
      <c r="C1783">
        <v>0.10681227</v>
      </c>
      <c r="D1783">
        <v>5.7025870200000002</v>
      </c>
      <c r="E1783">
        <v>1.0864980500000001</v>
      </c>
      <c r="F1783">
        <v>3.24671646</v>
      </c>
      <c r="G1783">
        <v>1.2691192</v>
      </c>
      <c r="H1783">
        <v>2.5428270999999998</v>
      </c>
      <c r="I1783">
        <v>9.6783300000000006E-3</v>
      </c>
      <c r="J1783">
        <v>1</v>
      </c>
      <c r="K1783">
        <v>950085</v>
      </c>
      <c r="L1783">
        <f t="shared" si="244"/>
        <v>1.2487371000000001E-2</v>
      </c>
      <c r="M1783">
        <f t="shared" si="245"/>
        <v>4.8812276923076922E-3</v>
      </c>
      <c r="N1783">
        <f t="shared" si="246"/>
        <v>9.7801042307692296E-3</v>
      </c>
      <c r="O1783">
        <f t="shared" si="247"/>
        <v>7.3306659615384609E-3</v>
      </c>
      <c r="P1783">
        <f t="shared" si="243"/>
        <v>6.0443380456413012</v>
      </c>
      <c r="R1783">
        <f t="shared" si="248"/>
        <v>7.8261729943812923E-4</v>
      </c>
    </row>
    <row r="1784" spans="1:19" x14ac:dyDescent="0.2">
      <c r="A1784" t="s">
        <v>1795</v>
      </c>
      <c r="B1784">
        <v>5.5936060799999998</v>
      </c>
      <c r="C1784">
        <v>0.18774666000000001</v>
      </c>
      <c r="D1784">
        <v>5.7399491500000002</v>
      </c>
      <c r="E1784">
        <v>1.0864980500000001</v>
      </c>
      <c r="F1784">
        <v>3.2345912700000001</v>
      </c>
      <c r="G1784">
        <v>1.2759811400000001</v>
      </c>
      <c r="H1784">
        <v>2.58479474</v>
      </c>
      <c r="I1784">
        <v>9.6783300000000006E-3</v>
      </c>
      <c r="J1784">
        <v>1</v>
      </c>
      <c r="K1784">
        <v>950086</v>
      </c>
      <c r="L1784">
        <f t="shared" si="244"/>
        <v>1.2440735653846154E-2</v>
      </c>
      <c r="M1784">
        <f t="shared" si="245"/>
        <v>4.9076197692307696E-3</v>
      </c>
      <c r="N1784">
        <f t="shared" si="246"/>
        <v>9.94151823076923E-3</v>
      </c>
      <c r="O1784">
        <f t="shared" si="247"/>
        <v>7.4245690000000007E-3</v>
      </c>
      <c r="P1784">
        <f t="shared" si="243"/>
        <v>10.62428764017544</v>
      </c>
      <c r="Q1784">
        <f t="shared" ref="Q1784" si="251">ABS(0.5*(SUMPRODUCT(O1784:O1802,P1785:P1803)+O1803*P1784-(SUMPRODUCT(O1785:O1803,P1784:P1802)+O1784*P1803)))</f>
        <v>5.1809557949082929E-3</v>
      </c>
      <c r="R1784">
        <f t="shared" si="248"/>
        <v>1.7787569553672036E-3</v>
      </c>
    </row>
    <row r="1785" spans="1:19" x14ac:dyDescent="0.2">
      <c r="A1785" t="s">
        <v>1796</v>
      </c>
      <c r="B1785">
        <v>5.6488880999999997</v>
      </c>
      <c r="C1785">
        <v>0.27924345</v>
      </c>
      <c r="D1785">
        <v>5.7962482499999997</v>
      </c>
      <c r="E1785">
        <v>0.79018040000000001</v>
      </c>
      <c r="F1785">
        <v>3.2249856000000001</v>
      </c>
      <c r="G1785">
        <v>1.28943326</v>
      </c>
      <c r="H1785">
        <v>2.6413452999999998</v>
      </c>
      <c r="I1785">
        <v>9.4957199999999992E-3</v>
      </c>
      <c r="J1785">
        <v>1</v>
      </c>
      <c r="K1785">
        <v>950086</v>
      </c>
      <c r="L1785">
        <f t="shared" si="244"/>
        <v>1.2403790769230769E-2</v>
      </c>
      <c r="M1785">
        <f t="shared" si="245"/>
        <v>4.9593586923076926E-3</v>
      </c>
      <c r="N1785">
        <f t="shared" si="246"/>
        <v>1.0159020384615384E-2</v>
      </c>
      <c r="O1785">
        <f t="shared" si="247"/>
        <v>7.5591895384615384E-3</v>
      </c>
      <c r="P1785">
        <f t="shared" si="243"/>
        <v>15.801946806590053</v>
      </c>
      <c r="R1785">
        <f t="shared" si="248"/>
        <v>2.8792587912254996E-3</v>
      </c>
    </row>
    <row r="1786" spans="1:19" x14ac:dyDescent="0.2">
      <c r="A1786" t="s">
        <v>1797</v>
      </c>
      <c r="B1786">
        <v>5.7075441400000004</v>
      </c>
      <c r="C1786">
        <v>0.39001661999999998</v>
      </c>
      <c r="D1786">
        <v>5.8648307900000001</v>
      </c>
      <c r="E1786">
        <v>0.61238981000000003</v>
      </c>
      <c r="F1786">
        <v>3.22750512</v>
      </c>
      <c r="G1786">
        <v>1.30499152</v>
      </c>
      <c r="H1786">
        <v>2.70485336</v>
      </c>
      <c r="I1786">
        <v>9.6783300000000006E-3</v>
      </c>
      <c r="J1786">
        <v>1</v>
      </c>
      <c r="K1786">
        <v>950086</v>
      </c>
      <c r="L1786">
        <f t="shared" si="244"/>
        <v>1.2413481230769231E-2</v>
      </c>
      <c r="M1786">
        <f t="shared" si="245"/>
        <v>5.0191981538461536E-3</v>
      </c>
      <c r="N1786">
        <f t="shared" si="246"/>
        <v>1.0403282153846154E-2</v>
      </c>
      <c r="O1786">
        <f t="shared" si="247"/>
        <v>7.711240153846154E-3</v>
      </c>
      <c r="P1786">
        <f t="shared" si="243"/>
        <v>22.07042594168653</v>
      </c>
      <c r="R1786">
        <f t="shared" si="248"/>
        <v>3.7718504189276714E-3</v>
      </c>
    </row>
    <row r="1787" spans="1:19" x14ac:dyDescent="0.2">
      <c r="A1787" t="s">
        <v>1798</v>
      </c>
      <c r="B1787">
        <v>5.7700932800000002</v>
      </c>
      <c r="C1787">
        <v>0.52415909999999999</v>
      </c>
      <c r="D1787">
        <v>5.93546057</v>
      </c>
      <c r="E1787">
        <v>0.53337177000000002</v>
      </c>
      <c r="F1787">
        <v>3.2345912700000001</v>
      </c>
      <c r="G1787">
        <v>1.31864746</v>
      </c>
      <c r="H1787">
        <v>2.7670255799999999</v>
      </c>
      <c r="I1787">
        <v>9.4957199999999992E-3</v>
      </c>
      <c r="J1787">
        <v>1</v>
      </c>
      <c r="K1787">
        <v>950086</v>
      </c>
      <c r="L1787">
        <f t="shared" si="244"/>
        <v>1.2440735653846154E-2</v>
      </c>
      <c r="M1787">
        <f t="shared" si="245"/>
        <v>5.0717210000000004E-3</v>
      </c>
      <c r="N1787">
        <f t="shared" si="246"/>
        <v>1.0642406076923076E-2</v>
      </c>
      <c r="O1787">
        <f t="shared" si="247"/>
        <v>7.8570635384615384E-3</v>
      </c>
      <c r="P1787">
        <f t="shared" si="243"/>
        <v>29.661337504568561</v>
      </c>
      <c r="R1787">
        <f t="shared" si="248"/>
        <v>4.4681043353086963E-3</v>
      </c>
      <c r="S1787">
        <f>ABS(SUMIFS($R:$R,$K:$K,K1787))</f>
        <v>5.2067562929514971E-3</v>
      </c>
    </row>
    <row r="1788" spans="1:19" x14ac:dyDescent="0.2">
      <c r="A1788" t="s">
        <v>1799</v>
      </c>
      <c r="B1788">
        <v>5.8295279400000002</v>
      </c>
      <c r="C1788">
        <v>0.70385193000000001</v>
      </c>
      <c r="D1788">
        <v>6.0025076799999999</v>
      </c>
      <c r="E1788">
        <v>0.53337177000000002</v>
      </c>
      <c r="F1788">
        <v>3.2441969400000001</v>
      </c>
      <c r="G1788">
        <v>1.33046902</v>
      </c>
      <c r="H1788">
        <v>2.8220733199999999</v>
      </c>
      <c r="I1788">
        <v>9.6783300000000006E-3</v>
      </c>
      <c r="J1788">
        <v>1</v>
      </c>
      <c r="K1788">
        <v>950086</v>
      </c>
      <c r="L1788">
        <f t="shared" si="244"/>
        <v>1.2477680538461539E-2</v>
      </c>
      <c r="M1788">
        <f t="shared" si="245"/>
        <v>5.1171885384615383E-3</v>
      </c>
      <c r="N1788">
        <f t="shared" si="246"/>
        <v>1.0854128153846154E-2</v>
      </c>
      <c r="O1788">
        <f t="shared" si="247"/>
        <v>7.9856583461538466E-3</v>
      </c>
      <c r="P1788">
        <f t="shared" si="243"/>
        <v>39.829871596185136</v>
      </c>
      <c r="R1788">
        <f t="shared" si="248"/>
        <v>2.8667910829253988E-3</v>
      </c>
    </row>
    <row r="1789" spans="1:19" x14ac:dyDescent="0.2">
      <c r="A1789" t="s">
        <v>1800</v>
      </c>
      <c r="B1789">
        <v>5.8700161800000004</v>
      </c>
      <c r="C1789">
        <v>0.82677186000000003</v>
      </c>
      <c r="D1789">
        <v>6.03526352</v>
      </c>
      <c r="E1789">
        <v>0.47410824000000001</v>
      </c>
      <c r="F1789">
        <v>3.2596289999999999</v>
      </c>
      <c r="G1789">
        <v>1.3358362800000001</v>
      </c>
      <c r="H1789">
        <v>2.8511278400000002</v>
      </c>
      <c r="I1789">
        <v>9.4957199999999992E-3</v>
      </c>
      <c r="J1789">
        <v>1</v>
      </c>
      <c r="K1789">
        <v>950086</v>
      </c>
      <c r="L1789">
        <f t="shared" si="244"/>
        <v>1.2537034615384616E-2</v>
      </c>
      <c r="M1789">
        <f t="shared" si="245"/>
        <v>5.1378318461538465E-3</v>
      </c>
      <c r="N1789">
        <f t="shared" si="246"/>
        <v>1.0965876307692309E-2</v>
      </c>
      <c r="O1789">
        <f t="shared" si="247"/>
        <v>8.0518540769230779E-3</v>
      </c>
      <c r="P1789">
        <f t="shared" si="243"/>
        <v>46.785716738944167</v>
      </c>
      <c r="R1789">
        <f t="shared" si="248"/>
        <v>9.2310761072669334E-4</v>
      </c>
    </row>
    <row r="1790" spans="1:19" x14ac:dyDescent="0.2">
      <c r="A1790" t="s">
        <v>1801</v>
      </c>
      <c r="B1790">
        <v>5.8824740999999996</v>
      </c>
      <c r="C1790">
        <v>0.85542236999999999</v>
      </c>
      <c r="D1790">
        <v>6.0490823899999997</v>
      </c>
      <c r="E1790">
        <v>0.47410824000000001</v>
      </c>
      <c r="F1790">
        <v>3.27742311</v>
      </c>
      <c r="G1790">
        <v>1.33712714</v>
      </c>
      <c r="H1790">
        <v>2.8599221199999998</v>
      </c>
      <c r="I1790">
        <v>9.4957199999999992E-3</v>
      </c>
      <c r="J1790">
        <v>1</v>
      </c>
      <c r="K1790">
        <v>950086</v>
      </c>
      <c r="L1790">
        <f t="shared" si="244"/>
        <v>1.26054735E-2</v>
      </c>
      <c r="M1790">
        <f t="shared" si="245"/>
        <v>5.1427966923076919E-3</v>
      </c>
      <c r="N1790">
        <f t="shared" si="246"/>
        <v>1.0999700461538461E-2</v>
      </c>
      <c r="O1790">
        <f t="shared" si="247"/>
        <v>8.0712485769230766E-3</v>
      </c>
      <c r="P1790">
        <f t="shared" si="243"/>
        <v>48.407003952669953</v>
      </c>
      <c r="R1790">
        <f t="shared" si="248"/>
        <v>2.7616435126189253E-4</v>
      </c>
    </row>
    <row r="1791" spans="1:19" x14ac:dyDescent="0.2">
      <c r="A1791" t="s">
        <v>1802</v>
      </c>
      <c r="B1791">
        <v>5.88429088</v>
      </c>
      <c r="C1791">
        <v>0.85463018999999996</v>
      </c>
      <c r="D1791">
        <v>6.04754696</v>
      </c>
      <c r="E1791">
        <v>0.47410824000000001</v>
      </c>
      <c r="F1791">
        <v>3.2923827600000002</v>
      </c>
      <c r="G1791">
        <v>1.3375347799999999</v>
      </c>
      <c r="H1791">
        <v>2.8624824800000002</v>
      </c>
      <c r="I1791">
        <v>9.4957199999999992E-3</v>
      </c>
      <c r="J1791">
        <v>1</v>
      </c>
      <c r="K1791">
        <v>950086</v>
      </c>
      <c r="L1791">
        <f t="shared" si="244"/>
        <v>1.2663010615384615E-2</v>
      </c>
      <c r="M1791">
        <f t="shared" si="245"/>
        <v>5.1443645384615377E-3</v>
      </c>
      <c r="N1791">
        <f t="shared" si="246"/>
        <v>1.1009548000000001E-2</v>
      </c>
      <c r="O1791">
        <f t="shared" si="247"/>
        <v>8.0769562692307693E-3</v>
      </c>
      <c r="P1791">
        <f t="shared" si="243"/>
        <v>48.362175734778916</v>
      </c>
      <c r="R1791">
        <f t="shared" si="248"/>
        <v>-9.9551061847307436E-5</v>
      </c>
    </row>
    <row r="1792" spans="1:19" x14ac:dyDescent="0.2">
      <c r="A1792" t="s">
        <v>1803</v>
      </c>
      <c r="B1792">
        <v>5.8793596199999998</v>
      </c>
      <c r="C1792">
        <v>0.81594540000000004</v>
      </c>
      <c r="D1792">
        <v>6.0460115300000004</v>
      </c>
      <c r="E1792">
        <v>0.41484471000000001</v>
      </c>
      <c r="F1792">
        <v>3.3043504800000001</v>
      </c>
      <c r="G1792">
        <v>1.3379424200000001</v>
      </c>
      <c r="H1792">
        <v>2.8609796599999999</v>
      </c>
      <c r="I1792">
        <v>9.4957199999999992E-3</v>
      </c>
      <c r="J1792">
        <v>1</v>
      </c>
      <c r="K1792">
        <v>950086</v>
      </c>
      <c r="L1792">
        <f t="shared" si="244"/>
        <v>1.2709040307692309E-2</v>
      </c>
      <c r="M1792">
        <f t="shared" si="245"/>
        <v>5.1459323846153853E-3</v>
      </c>
      <c r="N1792">
        <f t="shared" si="246"/>
        <v>1.1003767923076923E-2</v>
      </c>
      <c r="O1792">
        <f t="shared" si="247"/>
        <v>8.0748501538461543E-3</v>
      </c>
      <c r="P1792">
        <f t="shared" si="243"/>
        <v>46.173064427766676</v>
      </c>
      <c r="R1792">
        <f t="shared" si="248"/>
        <v>-1.053494304068442E-3</v>
      </c>
    </row>
    <row r="1793" spans="1:19" x14ac:dyDescent="0.2">
      <c r="A1793" t="s">
        <v>1804</v>
      </c>
      <c r="B1793">
        <v>5.8619704400000003</v>
      </c>
      <c r="C1793">
        <v>0.70305974999999998</v>
      </c>
      <c r="D1793">
        <v>6.0275863699999999</v>
      </c>
      <c r="E1793">
        <v>0.41484471000000001</v>
      </c>
      <c r="F1793">
        <v>3.3177354299999999</v>
      </c>
      <c r="G1793">
        <v>1.3379424200000001</v>
      </c>
      <c r="H1793">
        <v>2.84823352</v>
      </c>
      <c r="I1793">
        <v>9.4957199999999992E-3</v>
      </c>
      <c r="J1793">
        <v>1</v>
      </c>
      <c r="K1793">
        <v>950086</v>
      </c>
      <c r="L1793">
        <f t="shared" si="244"/>
        <v>1.2760520884615384E-2</v>
      </c>
      <c r="M1793">
        <f t="shared" si="245"/>
        <v>5.1459323846153853E-3</v>
      </c>
      <c r="N1793">
        <f t="shared" si="246"/>
        <v>1.0954744307692308E-2</v>
      </c>
      <c r="O1793">
        <f t="shared" si="247"/>
        <v>8.0503383461538458E-3</v>
      </c>
      <c r="P1793">
        <f t="shared" si="243"/>
        <v>39.785043378294098</v>
      </c>
      <c r="R1793">
        <f t="shared" si="248"/>
        <v>-9.5489063603076865E-4</v>
      </c>
    </row>
    <row r="1794" spans="1:19" x14ac:dyDescent="0.2">
      <c r="A1794" t="s">
        <v>1805</v>
      </c>
      <c r="B1794">
        <v>5.8476957399999998</v>
      </c>
      <c r="C1794">
        <v>0.61803242999999997</v>
      </c>
      <c r="D1794">
        <v>6.0163265499999996</v>
      </c>
      <c r="E1794">
        <v>0.41484471000000001</v>
      </c>
      <c r="F1794">
        <v>3.3273410999999999</v>
      </c>
      <c r="G1794">
        <v>1.3377386</v>
      </c>
      <c r="H1794">
        <v>2.8351534200000001</v>
      </c>
      <c r="I1794">
        <v>9.3131099999999994E-3</v>
      </c>
      <c r="J1794">
        <v>1</v>
      </c>
      <c r="K1794">
        <v>950086</v>
      </c>
      <c r="L1794">
        <f t="shared" si="244"/>
        <v>1.2797465769230769E-2</v>
      </c>
      <c r="M1794">
        <f t="shared" si="245"/>
        <v>5.1451484615384615E-3</v>
      </c>
      <c r="N1794">
        <f t="shared" si="246"/>
        <v>1.0904436230769232E-2</v>
      </c>
      <c r="O1794">
        <f t="shared" si="247"/>
        <v>8.0247923461538462E-3</v>
      </c>
      <c r="P1794">
        <f t="shared" si="243"/>
        <v>34.973481324656277</v>
      </c>
      <c r="R1794">
        <f t="shared" si="248"/>
        <v>-1.3844100637695391E-3</v>
      </c>
    </row>
    <row r="1795" spans="1:19" x14ac:dyDescent="0.2">
      <c r="A1795" t="s">
        <v>1806</v>
      </c>
      <c r="B1795">
        <v>5.8256348400000002</v>
      </c>
      <c r="C1795">
        <v>0.52099037999999998</v>
      </c>
      <c r="D1795">
        <v>5.9881770000000003</v>
      </c>
      <c r="E1795">
        <v>0.41484471000000001</v>
      </c>
      <c r="F1795">
        <v>3.3322226700000002</v>
      </c>
      <c r="G1795">
        <v>1.3373309600000001</v>
      </c>
      <c r="H1795">
        <v>2.8132233800000002</v>
      </c>
      <c r="I1795">
        <v>9.1304999999999997E-3</v>
      </c>
      <c r="J1795">
        <v>1</v>
      </c>
      <c r="K1795">
        <v>950086</v>
      </c>
      <c r="L1795">
        <f t="shared" si="244"/>
        <v>1.2816241038461539E-2</v>
      </c>
      <c r="M1795">
        <f t="shared" si="245"/>
        <v>5.1435806153846157E-3</v>
      </c>
      <c r="N1795">
        <f t="shared" si="246"/>
        <v>1.0820089923076924E-2</v>
      </c>
      <c r="O1795">
        <f t="shared" si="247"/>
        <v>7.9818352692307692E-3</v>
      </c>
      <c r="P1795">
        <f t="shared" ref="P1795:P1858" si="252">+C1795*4/(PI()*0.15^2)</f>
        <v>29.482024633004418</v>
      </c>
      <c r="R1795">
        <f t="shared" si="248"/>
        <v>-2.0778743386859299E-3</v>
      </c>
    </row>
    <row r="1796" spans="1:19" x14ac:dyDescent="0.2">
      <c r="A1796" t="s">
        <v>1807</v>
      </c>
      <c r="B1796">
        <v>5.7924137199999999</v>
      </c>
      <c r="C1796">
        <v>0.41827103999999998</v>
      </c>
      <c r="D1796">
        <v>5.9431377200000002</v>
      </c>
      <c r="E1796">
        <v>0.41484471000000001</v>
      </c>
      <c r="F1796">
        <v>3.33694677</v>
      </c>
      <c r="G1796">
        <v>1.33318662</v>
      </c>
      <c r="H1796">
        <v>2.7767104200000001</v>
      </c>
      <c r="I1796">
        <v>9.4957199999999992E-3</v>
      </c>
      <c r="J1796">
        <v>1</v>
      </c>
      <c r="K1796">
        <v>950086</v>
      </c>
      <c r="L1796">
        <f t="shared" ref="L1796:L1859" si="253">+F1796/260</f>
        <v>1.2834410653846154E-2</v>
      </c>
      <c r="M1796">
        <f t="shared" ref="M1796:M1859" si="254">+G1796/260</f>
        <v>5.1276408461538459E-3</v>
      </c>
      <c r="N1796">
        <f t="shared" ref="N1796:N1859" si="255">+H1796/260</f>
        <v>1.0679655461538462E-2</v>
      </c>
      <c r="O1796">
        <f t="shared" ref="O1796:O1859" si="256">(+G1796+H1796)/520</f>
        <v>7.9036481538461538E-3</v>
      </c>
      <c r="P1796">
        <f t="shared" si="252"/>
        <v>23.669299046466801</v>
      </c>
      <c r="R1796">
        <f t="shared" ref="R1796:R1859" si="257">+(P1796+P1797)/2*(O1797-O1796)</f>
        <v>-2.2043954531315892E-3</v>
      </c>
    </row>
    <row r="1797" spans="1:19" x14ac:dyDescent="0.2">
      <c r="A1797" t="s">
        <v>1808</v>
      </c>
      <c r="B1797">
        <v>5.74543698</v>
      </c>
      <c r="C1797">
        <v>0.32400161999999999</v>
      </c>
      <c r="D1797">
        <v>5.8929803400000003</v>
      </c>
      <c r="E1797">
        <v>0.41484471000000001</v>
      </c>
      <c r="F1797">
        <v>3.33694677</v>
      </c>
      <c r="G1797">
        <v>1.32530558</v>
      </c>
      <c r="H1797">
        <v>2.7300116800000001</v>
      </c>
      <c r="I1797">
        <v>9.4957199999999992E-3</v>
      </c>
      <c r="J1797">
        <v>1</v>
      </c>
      <c r="K1797">
        <v>950086</v>
      </c>
      <c r="L1797">
        <f t="shared" si="253"/>
        <v>1.2834410653846154E-2</v>
      </c>
      <c r="M1797">
        <f t="shared" si="254"/>
        <v>5.097329153846154E-3</v>
      </c>
      <c r="N1797">
        <f t="shared" si="255"/>
        <v>1.0500044923076924E-2</v>
      </c>
      <c r="O1797">
        <f t="shared" si="256"/>
        <v>7.7986870384615381E-3</v>
      </c>
      <c r="P1797">
        <f t="shared" si="252"/>
        <v>18.334741117433563</v>
      </c>
      <c r="R1797">
        <f t="shared" si="257"/>
        <v>-2.0057165891368108E-3</v>
      </c>
    </row>
    <row r="1798" spans="1:19" x14ac:dyDescent="0.2">
      <c r="A1798" t="s">
        <v>1809</v>
      </c>
      <c r="B1798">
        <v>5.6940480600000001</v>
      </c>
      <c r="C1798">
        <v>0.23976648</v>
      </c>
      <c r="D1798">
        <v>5.8382166700000004</v>
      </c>
      <c r="E1798">
        <v>0.41484471000000001</v>
      </c>
      <c r="F1798">
        <v>3.3298606199999998</v>
      </c>
      <c r="G1798">
        <v>1.31307638</v>
      </c>
      <c r="H1798">
        <v>2.6768563799999998</v>
      </c>
      <c r="I1798">
        <v>9.4957199999999992E-3</v>
      </c>
      <c r="J1798">
        <v>1</v>
      </c>
      <c r="K1798">
        <v>950086</v>
      </c>
      <c r="L1798">
        <f t="shared" si="253"/>
        <v>1.280715623076923E-2</v>
      </c>
      <c r="M1798">
        <f t="shared" si="254"/>
        <v>5.0502937692307693E-3</v>
      </c>
      <c r="N1798">
        <f t="shared" si="255"/>
        <v>1.0295601461538462E-2</v>
      </c>
      <c r="O1798">
        <f t="shared" si="256"/>
        <v>7.6729476153846151E-3</v>
      </c>
      <c r="P1798">
        <f t="shared" si="252"/>
        <v>13.568007281686777</v>
      </c>
      <c r="R1798">
        <f t="shared" si="257"/>
        <v>-1.5073917796338606E-3</v>
      </c>
    </row>
    <row r="1799" spans="1:19" x14ac:dyDescent="0.2">
      <c r="A1799" t="s">
        <v>1810</v>
      </c>
      <c r="B1799">
        <v>5.6442163799999996</v>
      </c>
      <c r="C1799">
        <v>0.16437735000000001</v>
      </c>
      <c r="D1799">
        <v>5.7855002400000002</v>
      </c>
      <c r="E1799">
        <v>0.41484471000000001</v>
      </c>
      <c r="F1799">
        <v>3.31726302</v>
      </c>
      <c r="G1799">
        <v>1.2987410399999999</v>
      </c>
      <c r="H1799">
        <v>2.6226435399999999</v>
      </c>
      <c r="I1799">
        <v>9.8609400000000003E-3</v>
      </c>
      <c r="J1799">
        <v>1</v>
      </c>
      <c r="K1799">
        <v>950086</v>
      </c>
      <c r="L1799">
        <f t="shared" si="253"/>
        <v>1.2758703923076924E-2</v>
      </c>
      <c r="M1799">
        <f t="shared" si="254"/>
        <v>4.9951578461538458E-3</v>
      </c>
      <c r="N1799">
        <f t="shared" si="255"/>
        <v>1.0087090538461537E-2</v>
      </c>
      <c r="O1799">
        <f t="shared" si="256"/>
        <v>7.5411241923076921E-3</v>
      </c>
      <c r="P1799">
        <f t="shared" si="252"/>
        <v>9.3018552123898885</v>
      </c>
      <c r="R1799">
        <f t="shared" si="257"/>
        <v>-9.8420182118748724E-4</v>
      </c>
    </row>
    <row r="1800" spans="1:19" x14ac:dyDescent="0.2">
      <c r="A1800" t="s">
        <v>1811</v>
      </c>
      <c r="B1800">
        <v>5.5943847</v>
      </c>
      <c r="C1800">
        <v>9.8362350000000001E-2</v>
      </c>
      <c r="D1800">
        <v>5.7292011399999998</v>
      </c>
      <c r="E1800">
        <v>0.67165333999999999</v>
      </c>
      <c r="F1800">
        <v>3.3019884300000002</v>
      </c>
      <c r="G1800">
        <v>1.2833866</v>
      </c>
      <c r="H1800">
        <v>2.5691542799999998</v>
      </c>
      <c r="I1800">
        <v>9.8609400000000003E-3</v>
      </c>
      <c r="J1800">
        <v>1</v>
      </c>
      <c r="K1800">
        <v>950086</v>
      </c>
      <c r="L1800">
        <f t="shared" si="253"/>
        <v>1.26999555E-2</v>
      </c>
      <c r="M1800">
        <f t="shared" si="254"/>
        <v>4.9361023076923078E-3</v>
      </c>
      <c r="N1800">
        <f t="shared" si="255"/>
        <v>9.8813626153846142E-3</v>
      </c>
      <c r="O1800">
        <f t="shared" si="256"/>
        <v>7.4087324615384614E-3</v>
      </c>
      <c r="P1800">
        <f t="shared" si="252"/>
        <v>5.5661703881369213</v>
      </c>
      <c r="R1800">
        <f t="shared" si="257"/>
        <v>-3.9175581212644555E-4</v>
      </c>
    </row>
    <row r="1801" spans="1:19" x14ac:dyDescent="0.2">
      <c r="A1801" t="s">
        <v>1812</v>
      </c>
      <c r="B1801">
        <v>5.5531178399999996</v>
      </c>
      <c r="C1801">
        <v>5.3604180000000001E-2</v>
      </c>
      <c r="D1801">
        <v>5.6887681499999996</v>
      </c>
      <c r="E1801">
        <v>0.96797098999999998</v>
      </c>
      <c r="F1801">
        <v>3.2832495000000002</v>
      </c>
      <c r="G1801">
        <v>1.2728558999999999</v>
      </c>
      <c r="H1801">
        <v>2.5323073599999999</v>
      </c>
      <c r="I1801">
        <v>9.6783300000000006E-3</v>
      </c>
      <c r="J1801">
        <v>1</v>
      </c>
      <c r="K1801">
        <v>950086</v>
      </c>
      <c r="L1801">
        <f t="shared" si="253"/>
        <v>1.2627882692307692E-2</v>
      </c>
      <c r="M1801">
        <f t="shared" si="254"/>
        <v>4.8955996153846153E-3</v>
      </c>
      <c r="N1801">
        <f t="shared" si="255"/>
        <v>9.7396436923076913E-3</v>
      </c>
      <c r="O1801">
        <f t="shared" si="256"/>
        <v>7.3176216538461533E-3</v>
      </c>
      <c r="P1801">
        <f t="shared" si="252"/>
        <v>3.0333760772934095</v>
      </c>
      <c r="R1801">
        <f t="shared" si="257"/>
        <v>-7.6712920058850159E-5</v>
      </c>
    </row>
    <row r="1802" spans="1:19" x14ac:dyDescent="0.2">
      <c r="A1802" t="s">
        <v>1813</v>
      </c>
      <c r="B1802">
        <v>5.5419576199999998</v>
      </c>
      <c r="C1802">
        <v>5.2019820000000001E-2</v>
      </c>
      <c r="D1802">
        <v>5.6836500499999998</v>
      </c>
      <c r="E1802">
        <v>1.1457615800000001</v>
      </c>
      <c r="F1802">
        <v>3.2619910499999998</v>
      </c>
      <c r="G1802">
        <v>1.2695268399999999</v>
      </c>
      <c r="H1802">
        <v>2.5222885599999998</v>
      </c>
      <c r="I1802">
        <v>9.6783300000000006E-3</v>
      </c>
      <c r="J1802">
        <v>1</v>
      </c>
      <c r="K1802">
        <v>950086</v>
      </c>
      <c r="L1802">
        <f t="shared" si="253"/>
        <v>1.2546119423076922E-2</v>
      </c>
      <c r="M1802">
        <f t="shared" si="254"/>
        <v>4.882795538461538E-3</v>
      </c>
      <c r="N1802">
        <f t="shared" si="255"/>
        <v>9.7011098461538461E-3</v>
      </c>
      <c r="O1802">
        <f t="shared" si="256"/>
        <v>7.2919526923076921E-3</v>
      </c>
      <c r="P1802">
        <f t="shared" si="252"/>
        <v>2.9437196415113385</v>
      </c>
      <c r="R1802">
        <f t="shared" si="257"/>
        <v>1.8409804416546051E-4</v>
      </c>
    </row>
    <row r="1803" spans="1:19" x14ac:dyDescent="0.2">
      <c r="A1803" t="s">
        <v>1814</v>
      </c>
      <c r="B1803">
        <v>5.5601254200000003</v>
      </c>
      <c r="C1803">
        <v>0.10879272</v>
      </c>
      <c r="D1803">
        <v>5.7056578800000004</v>
      </c>
      <c r="E1803">
        <v>1.1457615800000001</v>
      </c>
      <c r="F1803">
        <v>3.2457716400000001</v>
      </c>
      <c r="G1803">
        <v>1.2695268399999999</v>
      </c>
      <c r="H1803">
        <v>2.54332804</v>
      </c>
      <c r="I1803">
        <v>9.8609400000000003E-3</v>
      </c>
      <c r="J1803">
        <v>1</v>
      </c>
      <c r="K1803">
        <v>950086</v>
      </c>
      <c r="L1803">
        <f t="shared" si="253"/>
        <v>1.2483737076923077E-2</v>
      </c>
      <c r="M1803">
        <f t="shared" si="254"/>
        <v>4.882795538461538E-3</v>
      </c>
      <c r="N1803">
        <f t="shared" si="255"/>
        <v>9.7820309230769228E-3</v>
      </c>
      <c r="O1803">
        <f t="shared" si="256"/>
        <v>7.3324132307692304E-3</v>
      </c>
      <c r="P1803">
        <f t="shared" si="252"/>
        <v>6.1564085903688897</v>
      </c>
      <c r="R1803">
        <f t="shared" si="257"/>
        <v>7.9901948272001065E-4</v>
      </c>
    </row>
    <row r="1804" spans="1:19" x14ac:dyDescent="0.2">
      <c r="A1804" t="s">
        <v>1815</v>
      </c>
      <c r="B1804">
        <v>5.5982778</v>
      </c>
      <c r="C1804">
        <v>0.18933101999999999</v>
      </c>
      <c r="D1804">
        <v>5.7399491500000002</v>
      </c>
      <c r="E1804">
        <v>0.96797098999999998</v>
      </c>
      <c r="F1804">
        <v>3.2331740400000002</v>
      </c>
      <c r="G1804">
        <v>1.2759811400000001</v>
      </c>
      <c r="H1804">
        <v>2.5861305799999998</v>
      </c>
      <c r="I1804">
        <v>9.8609400000000003E-3</v>
      </c>
      <c r="J1804">
        <v>1</v>
      </c>
      <c r="K1804">
        <v>950087</v>
      </c>
      <c r="L1804">
        <f t="shared" si="253"/>
        <v>1.2435284769230771E-2</v>
      </c>
      <c r="M1804">
        <f t="shared" si="254"/>
        <v>4.9076197692307696E-3</v>
      </c>
      <c r="N1804">
        <f t="shared" si="255"/>
        <v>9.9466560769230772E-3</v>
      </c>
      <c r="O1804">
        <f t="shared" si="256"/>
        <v>7.4271379230769225E-3</v>
      </c>
      <c r="P1804">
        <f t="shared" si="252"/>
        <v>10.71394407595751</v>
      </c>
      <c r="Q1804">
        <f t="shared" ref="Q1804" si="258">ABS(0.5*(SUMPRODUCT(O1804:O1822,P1805:P1823)+O1823*P1804-(SUMPRODUCT(O1805:O1823,P1804:P1822)+O1804*P1823)))</f>
        <v>5.2058024792236424E-3</v>
      </c>
      <c r="R1804">
        <f t="shared" si="257"/>
        <v>1.7711446299968517E-3</v>
      </c>
    </row>
    <row r="1805" spans="1:19" x14ac:dyDescent="0.2">
      <c r="A1805" t="s">
        <v>1816</v>
      </c>
      <c r="B1805">
        <v>5.6488880999999997</v>
      </c>
      <c r="C1805">
        <v>0.28241217000000002</v>
      </c>
      <c r="D1805">
        <v>5.8008545399999996</v>
      </c>
      <c r="E1805">
        <v>0.67165333999999999</v>
      </c>
      <c r="F1805">
        <v>3.2259304200000001</v>
      </c>
      <c r="G1805">
        <v>1.28943326</v>
      </c>
      <c r="H1805">
        <v>2.6416792600000001</v>
      </c>
      <c r="I1805">
        <v>9.6783300000000006E-3</v>
      </c>
      <c r="J1805">
        <v>1</v>
      </c>
      <c r="K1805">
        <v>950087</v>
      </c>
      <c r="L1805">
        <f t="shared" si="253"/>
        <v>1.2407424692307692E-2</v>
      </c>
      <c r="M1805">
        <f t="shared" si="254"/>
        <v>4.9593586923076926E-3</v>
      </c>
      <c r="N1805">
        <f t="shared" si="255"/>
        <v>1.0160304846153847E-2</v>
      </c>
      <c r="O1805">
        <f t="shared" si="256"/>
        <v>7.5598317692307697E-3</v>
      </c>
      <c r="P1805">
        <f t="shared" si="252"/>
        <v>15.981259678154196</v>
      </c>
      <c r="R1805">
        <f t="shared" si="257"/>
        <v>2.8844123621214351E-3</v>
      </c>
    </row>
    <row r="1806" spans="1:19" x14ac:dyDescent="0.2">
      <c r="A1806" t="s">
        <v>1817</v>
      </c>
      <c r="B1806">
        <v>5.7083227599999997</v>
      </c>
      <c r="C1806">
        <v>0.39120489000000003</v>
      </c>
      <c r="D1806">
        <v>5.8679016500000003</v>
      </c>
      <c r="E1806">
        <v>0.67165333999999999</v>
      </c>
      <c r="F1806">
        <v>3.2254580100000001</v>
      </c>
      <c r="G1806">
        <v>1.3047877000000001</v>
      </c>
      <c r="H1806">
        <v>2.7050203399999999</v>
      </c>
      <c r="I1806">
        <v>9.6783300000000006E-3</v>
      </c>
      <c r="J1806">
        <v>1</v>
      </c>
      <c r="K1806">
        <v>950087</v>
      </c>
      <c r="L1806">
        <f t="shared" si="253"/>
        <v>1.2405607730769231E-2</v>
      </c>
      <c r="M1806">
        <f t="shared" si="254"/>
        <v>5.0184142307692315E-3</v>
      </c>
      <c r="N1806">
        <f t="shared" si="255"/>
        <v>1.0403924384615385E-2</v>
      </c>
      <c r="O1806">
        <f t="shared" si="256"/>
        <v>7.7111693076923078E-3</v>
      </c>
      <c r="P1806">
        <f t="shared" si="252"/>
        <v>22.137668268523086</v>
      </c>
      <c r="R1806">
        <f t="shared" si="257"/>
        <v>3.8541284128075061E-3</v>
      </c>
    </row>
    <row r="1807" spans="1:19" x14ac:dyDescent="0.2">
      <c r="A1807" t="s">
        <v>1818</v>
      </c>
      <c r="B1807">
        <v>5.7708719000000004</v>
      </c>
      <c r="C1807">
        <v>0.52455518999999995</v>
      </c>
      <c r="D1807">
        <v>5.93546057</v>
      </c>
      <c r="E1807">
        <v>0.47410824000000001</v>
      </c>
      <c r="F1807">
        <v>3.2336464500000002</v>
      </c>
      <c r="G1807">
        <v>1.3194627400000001</v>
      </c>
      <c r="H1807">
        <v>2.7676935</v>
      </c>
      <c r="I1807">
        <v>9.6783300000000006E-3</v>
      </c>
      <c r="J1807">
        <v>1</v>
      </c>
      <c r="K1807">
        <v>950087</v>
      </c>
      <c r="L1807">
        <f t="shared" si="253"/>
        <v>1.2437101730769231E-2</v>
      </c>
      <c r="M1807">
        <f t="shared" si="254"/>
        <v>5.0748566923076929E-3</v>
      </c>
      <c r="N1807">
        <f t="shared" si="255"/>
        <v>1.0644975000000001E-2</v>
      </c>
      <c r="O1807">
        <f t="shared" si="256"/>
        <v>7.8599158461538469E-3</v>
      </c>
      <c r="P1807">
        <f t="shared" si="252"/>
        <v>29.683751613514076</v>
      </c>
      <c r="R1807">
        <f t="shared" si="257"/>
        <v>4.3892203168402911E-3</v>
      </c>
    </row>
    <row r="1808" spans="1:19" x14ac:dyDescent="0.2">
      <c r="A1808" t="s">
        <v>1819</v>
      </c>
      <c r="B1808">
        <v>5.8318637999999998</v>
      </c>
      <c r="C1808">
        <v>0.70424801999999997</v>
      </c>
      <c r="D1808">
        <v>6.0040431099999996</v>
      </c>
      <c r="E1808">
        <v>0.41484471000000001</v>
      </c>
      <c r="F1808">
        <v>3.24624405</v>
      </c>
      <c r="G1808">
        <v>1.3300613800000001</v>
      </c>
      <c r="H1808">
        <v>2.82274124</v>
      </c>
      <c r="I1808">
        <v>9.4957199999999992E-3</v>
      </c>
      <c r="J1808">
        <v>1</v>
      </c>
      <c r="K1808">
        <v>950087</v>
      </c>
      <c r="L1808">
        <f t="shared" si="253"/>
        <v>1.2485554038461539E-2</v>
      </c>
      <c r="M1808">
        <f t="shared" si="254"/>
        <v>5.1156206923076925E-3</v>
      </c>
      <c r="N1808">
        <f t="shared" si="255"/>
        <v>1.0856697076923078E-2</v>
      </c>
      <c r="O1808">
        <f t="shared" si="256"/>
        <v>7.9861588846153846E-3</v>
      </c>
      <c r="P1808">
        <f t="shared" si="252"/>
        <v>39.852285705130654</v>
      </c>
      <c r="R1808">
        <f t="shared" si="257"/>
        <v>2.8360388383818938E-3</v>
      </c>
      <c r="S1808">
        <f>ABS(SUMIFS($R:$R,$K:$K,K1808))</f>
        <v>5.1805051302245908E-3</v>
      </c>
    </row>
    <row r="1809" spans="1:18" x14ac:dyDescent="0.2">
      <c r="A1809" t="s">
        <v>1820</v>
      </c>
      <c r="B1809">
        <v>5.87235204</v>
      </c>
      <c r="C1809">
        <v>0.82479141</v>
      </c>
      <c r="D1809">
        <v>6.0414052399999996</v>
      </c>
      <c r="E1809">
        <v>0.41484471000000001</v>
      </c>
      <c r="F1809">
        <v>3.2591565899999999</v>
      </c>
      <c r="G1809">
        <v>1.3354286399999999</v>
      </c>
      <c r="H1809">
        <v>2.8514618</v>
      </c>
      <c r="I1809">
        <v>9.3131099999999994E-3</v>
      </c>
      <c r="J1809">
        <v>1</v>
      </c>
      <c r="K1809">
        <v>950087</v>
      </c>
      <c r="L1809">
        <f t="shared" si="253"/>
        <v>1.2535217653846154E-2</v>
      </c>
      <c r="M1809">
        <f t="shared" si="254"/>
        <v>5.1362639999999998E-3</v>
      </c>
      <c r="N1809">
        <f t="shared" si="255"/>
        <v>1.0967160769230769E-2</v>
      </c>
      <c r="O1809">
        <f t="shared" si="256"/>
        <v>8.0517123846153837E-3</v>
      </c>
      <c r="P1809">
        <f t="shared" si="252"/>
        <v>46.673646194216573</v>
      </c>
      <c r="R1809">
        <f t="shared" si="257"/>
        <v>9.8138928371064704E-4</v>
      </c>
    </row>
    <row r="1810" spans="1:18" x14ac:dyDescent="0.2">
      <c r="A1810" t="s">
        <v>1821</v>
      </c>
      <c r="B1810">
        <v>5.8816954800000003</v>
      </c>
      <c r="C1810">
        <v>0.85264974000000004</v>
      </c>
      <c r="D1810">
        <v>6.0490823899999997</v>
      </c>
      <c r="E1810">
        <v>0.41484471000000001</v>
      </c>
      <c r="F1810">
        <v>3.27647829</v>
      </c>
      <c r="G1810">
        <v>1.3373309600000001</v>
      </c>
      <c r="H1810">
        <v>2.8603117400000002</v>
      </c>
      <c r="I1810">
        <v>9.4957199999999992E-3</v>
      </c>
      <c r="J1810">
        <v>1</v>
      </c>
      <c r="K1810">
        <v>950087</v>
      </c>
      <c r="L1810">
        <f t="shared" si="253"/>
        <v>1.2601839576923077E-2</v>
      </c>
      <c r="M1810">
        <f t="shared" si="254"/>
        <v>5.1435806153846157E-3</v>
      </c>
      <c r="N1810">
        <f t="shared" si="255"/>
        <v>1.1001199000000001E-2</v>
      </c>
      <c r="O1810">
        <f t="shared" si="256"/>
        <v>8.0723898076923081E-3</v>
      </c>
      <c r="P1810">
        <f t="shared" si="252"/>
        <v>48.250105190051329</v>
      </c>
      <c r="R1810">
        <f t="shared" si="257"/>
        <v>2.7396827563259859E-4</v>
      </c>
    </row>
    <row r="1811" spans="1:18" x14ac:dyDescent="0.2">
      <c r="A1811" t="s">
        <v>1822</v>
      </c>
      <c r="B1811">
        <v>5.8824740999999996</v>
      </c>
      <c r="C1811">
        <v>0.85463018999999996</v>
      </c>
      <c r="D1811">
        <v>6.0511296300000001</v>
      </c>
      <c r="E1811">
        <v>0.41484471000000001</v>
      </c>
      <c r="F1811">
        <v>3.2933275800000001</v>
      </c>
      <c r="G1811">
        <v>1.3379424200000001</v>
      </c>
      <c r="H1811">
        <v>2.8626494600000001</v>
      </c>
      <c r="I1811">
        <v>9.4957199999999992E-3</v>
      </c>
      <c r="J1811">
        <v>1</v>
      </c>
      <c r="K1811">
        <v>950087</v>
      </c>
      <c r="L1811">
        <f t="shared" si="253"/>
        <v>1.2666644538461539E-2</v>
      </c>
      <c r="M1811">
        <f t="shared" si="254"/>
        <v>5.1459323846153853E-3</v>
      </c>
      <c r="N1811">
        <f t="shared" si="255"/>
        <v>1.1010190230769231E-2</v>
      </c>
      <c r="O1811">
        <f t="shared" si="256"/>
        <v>8.0780613076923084E-3</v>
      </c>
      <c r="P1811">
        <f t="shared" si="252"/>
        <v>48.362175734778916</v>
      </c>
      <c r="R1811">
        <f t="shared" si="257"/>
        <v>-1.0332267792508766E-4</v>
      </c>
    </row>
    <row r="1812" spans="1:18" x14ac:dyDescent="0.2">
      <c r="A1812" t="s">
        <v>1823</v>
      </c>
      <c r="B1812">
        <v>5.8824740999999996</v>
      </c>
      <c r="C1812">
        <v>0.82281095999999998</v>
      </c>
      <c r="D1812">
        <v>6.04754696</v>
      </c>
      <c r="E1812">
        <v>0.41484471000000001</v>
      </c>
      <c r="F1812">
        <v>3.3052953</v>
      </c>
      <c r="G1812">
        <v>1.3381462399999999</v>
      </c>
      <c r="H1812">
        <v>2.8613136199999998</v>
      </c>
      <c r="I1812">
        <v>9.4957199999999992E-3</v>
      </c>
      <c r="J1812">
        <v>1</v>
      </c>
      <c r="K1812">
        <v>950087</v>
      </c>
      <c r="L1812">
        <f t="shared" si="253"/>
        <v>1.271267423076923E-2</v>
      </c>
      <c r="M1812">
        <f t="shared" si="254"/>
        <v>5.1467163076923074E-3</v>
      </c>
      <c r="N1812">
        <f t="shared" si="255"/>
        <v>1.1005052384615384E-2</v>
      </c>
      <c r="O1812">
        <f t="shared" si="256"/>
        <v>8.0758843461538454E-3</v>
      </c>
      <c r="P1812">
        <f t="shared" si="252"/>
        <v>46.561575649488987</v>
      </c>
      <c r="R1812">
        <f t="shared" si="257"/>
        <v>-1.0772248549837285E-3</v>
      </c>
    </row>
    <row r="1813" spans="1:18" x14ac:dyDescent="0.2">
      <c r="A1813" t="s">
        <v>1824</v>
      </c>
      <c r="B1813">
        <v>5.8643063</v>
      </c>
      <c r="C1813">
        <v>0.70596440999999999</v>
      </c>
      <c r="D1813">
        <v>6.0337280900000003</v>
      </c>
      <c r="E1813">
        <v>0.41484471000000001</v>
      </c>
      <c r="F1813">
        <v>3.3163182</v>
      </c>
      <c r="G1813">
        <v>1.3379424200000001</v>
      </c>
      <c r="H1813">
        <v>2.8485674799999998</v>
      </c>
      <c r="I1813">
        <v>9.3131099999999994E-3</v>
      </c>
      <c r="J1813">
        <v>1</v>
      </c>
      <c r="K1813">
        <v>950087</v>
      </c>
      <c r="L1813">
        <f t="shared" si="253"/>
        <v>1.275507E-2</v>
      </c>
      <c r="M1813">
        <f t="shared" si="254"/>
        <v>5.1459323846153853E-3</v>
      </c>
      <c r="N1813">
        <f t="shared" si="255"/>
        <v>1.0956028769230769E-2</v>
      </c>
      <c r="O1813">
        <f t="shared" si="256"/>
        <v>8.0509805769230763E-3</v>
      </c>
      <c r="P1813">
        <f t="shared" si="252"/>
        <v>39.949413510561229</v>
      </c>
      <c r="R1813">
        <f t="shared" si="257"/>
        <v>-1.060441905560491E-3</v>
      </c>
    </row>
    <row r="1814" spans="1:18" x14ac:dyDescent="0.2">
      <c r="A1814" t="s">
        <v>1825</v>
      </c>
      <c r="B1814">
        <v>5.8453598800000002</v>
      </c>
      <c r="C1814">
        <v>0.61037469</v>
      </c>
      <c r="D1814">
        <v>6.0193974099999998</v>
      </c>
      <c r="E1814">
        <v>0.41484471000000001</v>
      </c>
      <c r="F1814">
        <v>3.3293882099999998</v>
      </c>
      <c r="G1814">
        <v>1.3379424200000001</v>
      </c>
      <c r="H1814">
        <v>2.8337619200000002</v>
      </c>
      <c r="I1814">
        <v>9.4957199999999992E-3</v>
      </c>
      <c r="J1814">
        <v>1</v>
      </c>
      <c r="K1814">
        <v>950087</v>
      </c>
      <c r="L1814">
        <f t="shared" si="253"/>
        <v>1.2805339269230769E-2</v>
      </c>
      <c r="M1814">
        <f t="shared" si="254"/>
        <v>5.1459323846153853E-3</v>
      </c>
      <c r="N1814">
        <f t="shared" si="255"/>
        <v>1.0899084307692309E-2</v>
      </c>
      <c r="O1814">
        <f t="shared" si="256"/>
        <v>8.0225083461538463E-3</v>
      </c>
      <c r="P1814">
        <f t="shared" si="252"/>
        <v>34.540141885042935</v>
      </c>
      <c r="R1814">
        <f t="shared" si="257"/>
        <v>-1.2752026523467986E-3</v>
      </c>
    </row>
    <row r="1815" spans="1:18" x14ac:dyDescent="0.2">
      <c r="A1815" t="s">
        <v>1826</v>
      </c>
      <c r="B1815">
        <v>5.82485622</v>
      </c>
      <c r="C1815">
        <v>0.52257474000000004</v>
      </c>
      <c r="D1815">
        <v>5.9963659600000003</v>
      </c>
      <c r="E1815">
        <v>0.41484471000000001</v>
      </c>
      <c r="F1815">
        <v>3.3345847200000001</v>
      </c>
      <c r="G1815">
        <v>1.33712714</v>
      </c>
      <c r="H1815">
        <v>2.8138912999999999</v>
      </c>
      <c r="I1815">
        <v>9.4957199999999992E-3</v>
      </c>
      <c r="J1815">
        <v>1</v>
      </c>
      <c r="K1815">
        <v>950087</v>
      </c>
      <c r="L1815">
        <f t="shared" si="253"/>
        <v>1.2825325846153847E-2</v>
      </c>
      <c r="M1815">
        <f t="shared" si="254"/>
        <v>5.1427966923076919E-3</v>
      </c>
      <c r="N1815">
        <f t="shared" si="255"/>
        <v>1.0822658846153846E-2</v>
      </c>
      <c r="O1815">
        <f t="shared" si="256"/>
        <v>7.9827277692307679E-3</v>
      </c>
      <c r="P1815">
        <f t="shared" si="252"/>
        <v>29.571681068786493</v>
      </c>
      <c r="R1815">
        <f t="shared" si="257"/>
        <v>-2.0064446310049636E-3</v>
      </c>
    </row>
    <row r="1816" spans="1:18" x14ac:dyDescent="0.2">
      <c r="A1816" t="s">
        <v>1827</v>
      </c>
      <c r="B1816">
        <v>5.7939709600000002</v>
      </c>
      <c r="C1816">
        <v>0.42143976</v>
      </c>
      <c r="D1816">
        <v>5.9508148700000003</v>
      </c>
      <c r="E1816">
        <v>0.41484471000000001</v>
      </c>
      <c r="F1816">
        <v>3.33600195</v>
      </c>
      <c r="G1816">
        <v>1.33318662</v>
      </c>
      <c r="H1816">
        <v>2.7787698399999998</v>
      </c>
      <c r="I1816">
        <v>9.3131099999999994E-3</v>
      </c>
      <c r="J1816">
        <v>1</v>
      </c>
      <c r="K1816">
        <v>950087</v>
      </c>
      <c r="L1816">
        <f t="shared" si="253"/>
        <v>1.283077673076923E-2</v>
      </c>
      <c r="M1816">
        <f t="shared" si="254"/>
        <v>5.1276408461538459E-3</v>
      </c>
      <c r="N1816">
        <f t="shared" si="255"/>
        <v>1.0687576307692306E-2</v>
      </c>
      <c r="O1816">
        <f t="shared" si="256"/>
        <v>7.907608576923077E-3</v>
      </c>
      <c r="P1816">
        <f t="shared" si="252"/>
        <v>23.848611918030944</v>
      </c>
      <c r="R1816">
        <f t="shared" si="257"/>
        <v>-2.235532747066362E-3</v>
      </c>
    </row>
    <row r="1817" spans="1:18" x14ac:dyDescent="0.2">
      <c r="A1817" t="s">
        <v>1828</v>
      </c>
      <c r="B1817">
        <v>5.7472537600000004</v>
      </c>
      <c r="C1817">
        <v>0.32598207000000001</v>
      </c>
      <c r="D1817">
        <v>5.9011693000000003</v>
      </c>
      <c r="E1817">
        <v>0.41484471000000001</v>
      </c>
      <c r="F1817">
        <v>3.33600195</v>
      </c>
      <c r="G1817">
        <v>1.32530558</v>
      </c>
      <c r="H1817">
        <v>2.7316814800000002</v>
      </c>
      <c r="I1817">
        <v>9.3131099999999994E-3</v>
      </c>
      <c r="J1817">
        <v>1</v>
      </c>
      <c r="K1817">
        <v>950087</v>
      </c>
      <c r="L1817">
        <f t="shared" si="253"/>
        <v>1.283077673076923E-2</v>
      </c>
      <c r="M1817">
        <f t="shared" si="254"/>
        <v>5.097329153846154E-3</v>
      </c>
      <c r="N1817">
        <f t="shared" si="255"/>
        <v>1.0506467230769232E-2</v>
      </c>
      <c r="O1817">
        <f t="shared" si="256"/>
        <v>7.8018981923076922E-3</v>
      </c>
      <c r="P1817">
        <f t="shared" si="252"/>
        <v>18.446811662161153</v>
      </c>
      <c r="R1817">
        <f t="shared" si="257"/>
        <v>-1.9968993312702221E-3</v>
      </c>
    </row>
    <row r="1818" spans="1:18" x14ac:dyDescent="0.2">
      <c r="A1818" t="s">
        <v>1829</v>
      </c>
      <c r="B1818">
        <v>5.6994984000000004</v>
      </c>
      <c r="C1818">
        <v>0.24174693</v>
      </c>
      <c r="D1818">
        <v>5.8448701999999999</v>
      </c>
      <c r="E1818">
        <v>0.41484471000000001</v>
      </c>
      <c r="F1818">
        <v>3.3317502600000002</v>
      </c>
      <c r="G1818">
        <v>1.31348402</v>
      </c>
      <c r="H1818">
        <v>2.6788601399999998</v>
      </c>
      <c r="I1818">
        <v>9.4957199999999992E-3</v>
      </c>
      <c r="J1818">
        <v>1</v>
      </c>
      <c r="K1818">
        <v>950087</v>
      </c>
      <c r="L1818">
        <f t="shared" si="253"/>
        <v>1.2814424076923077E-2</v>
      </c>
      <c r="M1818">
        <f t="shared" si="254"/>
        <v>5.0518616153846152E-3</v>
      </c>
      <c r="N1818">
        <f t="shared" si="255"/>
        <v>1.0303308230769231E-2</v>
      </c>
      <c r="O1818">
        <f t="shared" si="256"/>
        <v>7.6775849230769234E-3</v>
      </c>
      <c r="P1818">
        <f t="shared" si="252"/>
        <v>13.680077826414367</v>
      </c>
      <c r="R1818">
        <f t="shared" si="257"/>
        <v>-1.532779913389316E-3</v>
      </c>
    </row>
    <row r="1819" spans="1:18" x14ac:dyDescent="0.2">
      <c r="A1819" t="s">
        <v>1830</v>
      </c>
      <c r="B1819">
        <v>5.6488880999999997</v>
      </c>
      <c r="C1819">
        <v>0.16556562</v>
      </c>
      <c r="D1819">
        <v>5.7901065300000001</v>
      </c>
      <c r="E1819">
        <v>0.41484471000000001</v>
      </c>
      <c r="F1819">
        <v>3.3197825399999998</v>
      </c>
      <c r="G1819">
        <v>1.2991486800000001</v>
      </c>
      <c r="H1819">
        <v>2.6240350399999999</v>
      </c>
      <c r="I1819">
        <v>9.4957199999999992E-3</v>
      </c>
      <c r="J1819">
        <v>1</v>
      </c>
      <c r="K1819">
        <v>950087</v>
      </c>
      <c r="L1819">
        <f t="shared" si="253"/>
        <v>1.2768394384615384E-2</v>
      </c>
      <c r="M1819">
        <f t="shared" si="254"/>
        <v>4.9967256923076925E-3</v>
      </c>
      <c r="N1819">
        <f t="shared" si="255"/>
        <v>1.009244246153846E-2</v>
      </c>
      <c r="O1819">
        <f t="shared" si="256"/>
        <v>7.5445840769230764E-3</v>
      </c>
      <c r="P1819">
        <f t="shared" si="252"/>
        <v>9.3690975392264413</v>
      </c>
      <c r="R1819">
        <f t="shared" si="257"/>
        <v>-9.9149830360150694E-4</v>
      </c>
    </row>
    <row r="1820" spans="1:18" x14ac:dyDescent="0.2">
      <c r="A1820" t="s">
        <v>1831</v>
      </c>
      <c r="B1820">
        <v>5.5982778</v>
      </c>
      <c r="C1820">
        <v>9.9550620000000006E-2</v>
      </c>
      <c r="D1820">
        <v>5.7338074299999997</v>
      </c>
      <c r="E1820">
        <v>0.84944392999999996</v>
      </c>
      <c r="F1820">
        <v>3.3029332500000002</v>
      </c>
      <c r="G1820">
        <v>1.28379424</v>
      </c>
      <c r="H1820">
        <v>2.5706571</v>
      </c>
      <c r="I1820">
        <v>9.4957199999999992E-3</v>
      </c>
      <c r="J1820">
        <v>1</v>
      </c>
      <c r="K1820">
        <v>950087</v>
      </c>
      <c r="L1820">
        <f t="shared" si="253"/>
        <v>1.2703589423076924E-2</v>
      </c>
      <c r="M1820">
        <f t="shared" si="254"/>
        <v>4.9376701538461536E-3</v>
      </c>
      <c r="N1820">
        <f t="shared" si="255"/>
        <v>9.8871426923076919E-3</v>
      </c>
      <c r="O1820">
        <f t="shared" si="256"/>
        <v>7.4124064230769223E-3</v>
      </c>
      <c r="P1820">
        <f t="shared" si="252"/>
        <v>5.633412714973475</v>
      </c>
      <c r="R1820">
        <f t="shared" si="257"/>
        <v>-4.1009912922678789E-4</v>
      </c>
    </row>
    <row r="1821" spans="1:18" x14ac:dyDescent="0.2">
      <c r="A1821" t="s">
        <v>1832</v>
      </c>
      <c r="B1821">
        <v>5.5538964599999998</v>
      </c>
      <c r="C1821">
        <v>5.4000270000000003E-2</v>
      </c>
      <c r="D1821">
        <v>5.69490987</v>
      </c>
      <c r="E1821">
        <v>1.0864980500000001</v>
      </c>
      <c r="F1821">
        <v>3.28561155</v>
      </c>
      <c r="G1821">
        <v>1.27305972</v>
      </c>
      <c r="H1821">
        <v>2.5323073599999999</v>
      </c>
      <c r="I1821">
        <v>9.6783300000000006E-3</v>
      </c>
      <c r="J1821">
        <v>1</v>
      </c>
      <c r="K1821">
        <v>950087</v>
      </c>
      <c r="L1821">
        <f t="shared" si="253"/>
        <v>1.26369675E-2</v>
      </c>
      <c r="M1821">
        <f t="shared" si="254"/>
        <v>4.8963835384615382E-3</v>
      </c>
      <c r="N1821">
        <f t="shared" si="255"/>
        <v>9.7396436923076913E-3</v>
      </c>
      <c r="O1821">
        <f t="shared" si="256"/>
        <v>7.3180136153846156E-3</v>
      </c>
      <c r="P1821">
        <f t="shared" si="252"/>
        <v>3.0557901862389274</v>
      </c>
      <c r="R1821">
        <f t="shared" si="257"/>
        <v>-7.7669174625597014E-5</v>
      </c>
    </row>
    <row r="1822" spans="1:18" x14ac:dyDescent="0.2">
      <c r="A1822" t="s">
        <v>1833</v>
      </c>
      <c r="B1822">
        <v>5.5435148600000002</v>
      </c>
      <c r="C1822">
        <v>4.9907340000000001E-2</v>
      </c>
      <c r="D1822">
        <v>5.6821146200000001</v>
      </c>
      <c r="E1822">
        <v>1.20502511</v>
      </c>
      <c r="F1822">
        <v>3.2654553900000001</v>
      </c>
      <c r="G1822">
        <v>1.26973066</v>
      </c>
      <c r="H1822">
        <v>2.5218989399999998</v>
      </c>
      <c r="I1822">
        <v>9.8609400000000003E-3</v>
      </c>
      <c r="J1822">
        <v>1</v>
      </c>
      <c r="K1822">
        <v>950087</v>
      </c>
      <c r="L1822">
        <f t="shared" si="253"/>
        <v>1.2559443807692307E-2</v>
      </c>
      <c r="M1822">
        <f t="shared" si="254"/>
        <v>4.8835794615384618E-3</v>
      </c>
      <c r="N1822">
        <f t="shared" si="255"/>
        <v>9.6996113076923077E-3</v>
      </c>
      <c r="O1822">
        <f t="shared" si="256"/>
        <v>7.2915953846153844E-3</v>
      </c>
      <c r="P1822">
        <f t="shared" si="252"/>
        <v>2.8241777271352433</v>
      </c>
      <c r="R1822">
        <f t="shared" si="257"/>
        <v>1.6997052842490637E-4</v>
      </c>
    </row>
    <row r="1823" spans="1:18" x14ac:dyDescent="0.2">
      <c r="A1823" t="s">
        <v>1834</v>
      </c>
      <c r="B1823">
        <v>5.55856818</v>
      </c>
      <c r="C1823">
        <v>0.10641618</v>
      </c>
      <c r="D1823">
        <v>5.7041224499999998</v>
      </c>
      <c r="E1823">
        <v>1.20502511</v>
      </c>
      <c r="F1823">
        <v>3.2446693500000001</v>
      </c>
      <c r="G1823">
        <v>1.2691192</v>
      </c>
      <c r="H1823">
        <v>2.5424931399999999</v>
      </c>
      <c r="I1823">
        <v>1.004355E-2</v>
      </c>
      <c r="J1823">
        <v>1</v>
      </c>
      <c r="K1823">
        <v>950087</v>
      </c>
      <c r="L1823">
        <f t="shared" si="253"/>
        <v>1.2479497500000001E-2</v>
      </c>
      <c r="M1823">
        <f t="shared" si="254"/>
        <v>4.8812276923076922E-3</v>
      </c>
      <c r="N1823">
        <f t="shared" si="255"/>
        <v>9.7788197692307687E-3</v>
      </c>
      <c r="O1823">
        <f t="shared" si="256"/>
        <v>7.3300237307692305E-3</v>
      </c>
      <c r="P1823">
        <f t="shared" si="252"/>
        <v>6.0219239366957833</v>
      </c>
      <c r="R1823">
        <f t="shared" si="257"/>
        <v>7.8734780330932106E-4</v>
      </c>
    </row>
    <row r="1824" spans="1:18" x14ac:dyDescent="0.2">
      <c r="A1824" t="s">
        <v>1835</v>
      </c>
      <c r="B1824">
        <v>5.5959419400000003</v>
      </c>
      <c r="C1824">
        <v>0.18853884000000001</v>
      </c>
      <c r="D1824">
        <v>5.7430200100000004</v>
      </c>
      <c r="E1824">
        <v>1.0272345199999999</v>
      </c>
      <c r="F1824">
        <v>3.2336464500000002</v>
      </c>
      <c r="G1824">
        <v>1.2757093799999999</v>
      </c>
      <c r="H1824">
        <v>2.5849617199999999</v>
      </c>
      <c r="I1824">
        <v>1.022616E-2</v>
      </c>
      <c r="J1824">
        <v>1</v>
      </c>
      <c r="K1824">
        <v>950088</v>
      </c>
      <c r="L1824">
        <f t="shared" si="253"/>
        <v>1.2437101730769231E-2</v>
      </c>
      <c r="M1824">
        <f t="shared" si="254"/>
        <v>4.9065745384615379E-3</v>
      </c>
      <c r="N1824">
        <f t="shared" si="255"/>
        <v>9.9421604615384605E-3</v>
      </c>
      <c r="O1824">
        <f t="shared" si="256"/>
        <v>7.4243675E-3</v>
      </c>
      <c r="P1824">
        <f t="shared" si="252"/>
        <v>10.669115858066476</v>
      </c>
      <c r="Q1824">
        <f t="shared" ref="Q1824" si="259">ABS(0.5*(SUMPRODUCT(O1824:O1842,P1825:P1843)+O1843*P1824-(SUMPRODUCT(O1825:O1843,P1824:P1842)+O1824*P1843)))</f>
        <v>5.214459727364229E-3</v>
      </c>
      <c r="R1824">
        <f t="shared" si="257"/>
        <v>1.8145887072629494E-3</v>
      </c>
    </row>
    <row r="1825" spans="1:19" x14ac:dyDescent="0.2">
      <c r="A1825" t="s">
        <v>1836</v>
      </c>
      <c r="B1825">
        <v>5.6465522400000001</v>
      </c>
      <c r="C1825">
        <v>0.28241217000000002</v>
      </c>
      <c r="D1825">
        <v>5.8039253999999998</v>
      </c>
      <c r="E1825">
        <v>0.90870746000000002</v>
      </c>
      <c r="F1825">
        <v>3.22797753</v>
      </c>
      <c r="G1825">
        <v>1.2896370800000001</v>
      </c>
      <c r="H1825">
        <v>2.64184624</v>
      </c>
      <c r="I1825">
        <v>9.8609400000000003E-3</v>
      </c>
      <c r="J1825">
        <v>1</v>
      </c>
      <c r="K1825">
        <v>950088</v>
      </c>
      <c r="L1825">
        <f t="shared" si="253"/>
        <v>1.2415298192307692E-2</v>
      </c>
      <c r="M1825">
        <f t="shared" si="254"/>
        <v>4.9601426153846155E-3</v>
      </c>
      <c r="N1825">
        <f t="shared" si="255"/>
        <v>1.0160947076923077E-2</v>
      </c>
      <c r="O1825">
        <f t="shared" si="256"/>
        <v>7.5605448461538455E-3</v>
      </c>
      <c r="P1825">
        <f t="shared" si="252"/>
        <v>15.981259678154196</v>
      </c>
      <c r="R1825">
        <f t="shared" si="257"/>
        <v>2.8731819288709899E-3</v>
      </c>
    </row>
    <row r="1826" spans="1:19" x14ac:dyDescent="0.2">
      <c r="A1826" t="s">
        <v>1837</v>
      </c>
      <c r="B1826">
        <v>5.7083227599999997</v>
      </c>
      <c r="C1826">
        <v>0.39080880000000001</v>
      </c>
      <c r="D1826">
        <v>5.8679016500000003</v>
      </c>
      <c r="E1826">
        <v>0.73091687000000005</v>
      </c>
      <c r="F1826">
        <v>3.2249856000000001</v>
      </c>
      <c r="G1826">
        <v>1.3053991599999999</v>
      </c>
      <c r="H1826">
        <v>2.7045194000000001</v>
      </c>
      <c r="I1826">
        <v>9.8609400000000003E-3</v>
      </c>
      <c r="J1826">
        <v>1</v>
      </c>
      <c r="K1826">
        <v>950088</v>
      </c>
      <c r="L1826">
        <f t="shared" si="253"/>
        <v>1.2403790769230769E-2</v>
      </c>
      <c r="M1826">
        <f t="shared" si="254"/>
        <v>5.0207659999999994E-3</v>
      </c>
      <c r="N1826">
        <f t="shared" si="255"/>
        <v>1.0401997692307693E-2</v>
      </c>
      <c r="O1826">
        <f t="shared" si="256"/>
        <v>7.7113818461538464E-3</v>
      </c>
      <c r="P1826">
        <f t="shared" si="252"/>
        <v>22.115254159577567</v>
      </c>
      <c r="R1826">
        <f t="shared" si="257"/>
        <v>3.8353179731765333E-3</v>
      </c>
    </row>
    <row r="1827" spans="1:19" x14ac:dyDescent="0.2">
      <c r="A1827" t="s">
        <v>1838</v>
      </c>
      <c r="B1827">
        <v>5.77320776</v>
      </c>
      <c r="C1827">
        <v>0.52376301000000003</v>
      </c>
      <c r="D1827">
        <v>5.9288070399999997</v>
      </c>
      <c r="E1827">
        <v>0.53337177000000002</v>
      </c>
      <c r="F1827">
        <v>3.2327016300000002</v>
      </c>
      <c r="G1827">
        <v>1.3194627400000001</v>
      </c>
      <c r="H1827">
        <v>2.7675265200000001</v>
      </c>
      <c r="I1827">
        <v>9.6783300000000006E-3</v>
      </c>
      <c r="J1827">
        <v>1</v>
      </c>
      <c r="K1827">
        <v>950088</v>
      </c>
      <c r="L1827">
        <f t="shared" si="253"/>
        <v>1.2433467807692309E-2</v>
      </c>
      <c r="M1827">
        <f t="shared" si="254"/>
        <v>5.0748566923076929E-3</v>
      </c>
      <c r="N1827">
        <f t="shared" si="255"/>
        <v>1.0644332769230769E-2</v>
      </c>
      <c r="O1827">
        <f t="shared" si="256"/>
        <v>7.8595947307692308E-3</v>
      </c>
      <c r="P1827">
        <f t="shared" si="252"/>
        <v>29.638923395623046</v>
      </c>
      <c r="R1827">
        <f t="shared" si="257"/>
        <v>4.4136285728513403E-3</v>
      </c>
    </row>
    <row r="1828" spans="1:19" x14ac:dyDescent="0.2">
      <c r="A1828" t="s">
        <v>1839</v>
      </c>
      <c r="B1828">
        <v>5.83264242</v>
      </c>
      <c r="C1828">
        <v>0.70424801999999997</v>
      </c>
      <c r="D1828">
        <v>6.0040431099999996</v>
      </c>
      <c r="E1828">
        <v>0.47410824000000001</v>
      </c>
      <c r="F1828">
        <v>3.2457716400000001</v>
      </c>
      <c r="G1828">
        <v>1.33046902</v>
      </c>
      <c r="H1828">
        <v>2.8225742600000001</v>
      </c>
      <c r="I1828">
        <v>9.6783300000000006E-3</v>
      </c>
      <c r="J1828">
        <v>1</v>
      </c>
      <c r="K1828">
        <v>950088</v>
      </c>
      <c r="L1828">
        <f t="shared" si="253"/>
        <v>1.2483737076923077E-2</v>
      </c>
      <c r="M1828">
        <f t="shared" si="254"/>
        <v>5.1171885384615383E-3</v>
      </c>
      <c r="N1828">
        <f t="shared" si="255"/>
        <v>1.0856054846153847E-2</v>
      </c>
      <c r="O1828">
        <f t="shared" si="256"/>
        <v>7.9866216923076931E-3</v>
      </c>
      <c r="P1828">
        <f t="shared" si="252"/>
        <v>39.852285705130654</v>
      </c>
      <c r="R1828">
        <f t="shared" si="257"/>
        <v>2.7911207067238398E-3</v>
      </c>
    </row>
    <row r="1829" spans="1:19" x14ac:dyDescent="0.2">
      <c r="A1829" t="s">
        <v>1840</v>
      </c>
      <c r="B1829">
        <v>5.8707947999999996</v>
      </c>
      <c r="C1829">
        <v>0.82637576999999995</v>
      </c>
      <c r="D1829">
        <v>6.0383343800000002</v>
      </c>
      <c r="E1829">
        <v>0.47410824000000001</v>
      </c>
      <c r="F1829">
        <v>3.2601014099999999</v>
      </c>
      <c r="G1829">
        <v>1.3354286399999999</v>
      </c>
      <c r="H1829">
        <v>2.8511278400000002</v>
      </c>
      <c r="I1829">
        <v>9.8609400000000003E-3</v>
      </c>
      <c r="J1829">
        <v>1</v>
      </c>
      <c r="K1829">
        <v>950088</v>
      </c>
      <c r="L1829">
        <f t="shared" si="253"/>
        <v>1.2538851576923077E-2</v>
      </c>
      <c r="M1829">
        <f t="shared" si="254"/>
        <v>5.1362639999999998E-3</v>
      </c>
      <c r="N1829">
        <f t="shared" si="255"/>
        <v>1.0965876307692309E-2</v>
      </c>
      <c r="O1829">
        <f t="shared" si="256"/>
        <v>8.0510701538461533E-3</v>
      </c>
      <c r="P1829">
        <f t="shared" si="252"/>
        <v>46.763302629998641</v>
      </c>
      <c r="R1829">
        <f t="shared" si="257"/>
        <v>9.4357777891769241E-4</v>
      </c>
      <c r="S1829">
        <f>ABS(SUMIFS($R:$R,$K:$K,K1829))</f>
        <v>5.2210460752027399E-3</v>
      </c>
    </row>
    <row r="1830" spans="1:19" x14ac:dyDescent="0.2">
      <c r="A1830" t="s">
        <v>1841</v>
      </c>
      <c r="B1830">
        <v>5.8824740999999996</v>
      </c>
      <c r="C1830">
        <v>0.85304583</v>
      </c>
      <c r="D1830">
        <v>6.0511296300000001</v>
      </c>
      <c r="E1830">
        <v>0.41484471000000001</v>
      </c>
      <c r="F1830">
        <v>3.2741162400000001</v>
      </c>
      <c r="G1830">
        <v>1.33712714</v>
      </c>
      <c r="H1830">
        <v>2.8597551399999999</v>
      </c>
      <c r="I1830">
        <v>9.6783300000000006E-3</v>
      </c>
      <c r="J1830">
        <v>1</v>
      </c>
      <c r="K1830">
        <v>950088</v>
      </c>
      <c r="L1830">
        <f t="shared" si="253"/>
        <v>1.2592754769230771E-2</v>
      </c>
      <c r="M1830">
        <f t="shared" si="254"/>
        <v>5.1427966923076919E-3</v>
      </c>
      <c r="N1830">
        <f t="shared" si="255"/>
        <v>1.0999058230769231E-2</v>
      </c>
      <c r="O1830">
        <f t="shared" si="256"/>
        <v>8.0709274615384605E-3</v>
      </c>
      <c r="P1830">
        <f t="shared" si="252"/>
        <v>48.272519298996841</v>
      </c>
      <c r="R1830">
        <f t="shared" si="257"/>
        <v>2.910933008531309E-4</v>
      </c>
    </row>
    <row r="1831" spans="1:19" x14ac:dyDescent="0.2">
      <c r="A1831" t="s">
        <v>1842</v>
      </c>
      <c r="B1831">
        <v>5.88429088</v>
      </c>
      <c r="C1831">
        <v>0.85344191999999997</v>
      </c>
      <c r="D1831">
        <v>6.04754696</v>
      </c>
      <c r="E1831">
        <v>0.41484471000000001</v>
      </c>
      <c r="F1831">
        <v>3.2912804699999998</v>
      </c>
      <c r="G1831">
        <v>1.3375347799999999</v>
      </c>
      <c r="H1831">
        <v>2.8624824800000002</v>
      </c>
      <c r="I1831">
        <v>9.3131099999999994E-3</v>
      </c>
      <c r="J1831">
        <v>1</v>
      </c>
      <c r="K1831">
        <v>950088</v>
      </c>
      <c r="L1831">
        <f t="shared" si="253"/>
        <v>1.2658771038461537E-2</v>
      </c>
      <c r="M1831">
        <f t="shared" si="254"/>
        <v>5.1443645384615377E-3</v>
      </c>
      <c r="N1831">
        <f t="shared" si="255"/>
        <v>1.1009548000000001E-2</v>
      </c>
      <c r="O1831">
        <f t="shared" si="256"/>
        <v>8.0769562692307693E-3</v>
      </c>
      <c r="P1831">
        <f t="shared" si="252"/>
        <v>48.294933407942359</v>
      </c>
      <c r="R1831">
        <f t="shared" si="257"/>
        <v>-1.1799416268135368E-4</v>
      </c>
    </row>
    <row r="1832" spans="1:19" x14ac:dyDescent="0.2">
      <c r="A1832" t="s">
        <v>1843</v>
      </c>
      <c r="B1832">
        <v>5.8824740999999996</v>
      </c>
      <c r="C1832">
        <v>0.81594540000000004</v>
      </c>
      <c r="D1832">
        <v>6.04754696</v>
      </c>
      <c r="E1832">
        <v>0.41484471000000001</v>
      </c>
      <c r="F1832">
        <v>3.30624012</v>
      </c>
      <c r="G1832">
        <v>1.3377386</v>
      </c>
      <c r="H1832">
        <v>2.8609796599999999</v>
      </c>
      <c r="I1832">
        <v>9.3131099999999994E-3</v>
      </c>
      <c r="J1832">
        <v>1</v>
      </c>
      <c r="K1832">
        <v>950088</v>
      </c>
      <c r="L1832">
        <f t="shared" si="253"/>
        <v>1.2716308153846154E-2</v>
      </c>
      <c r="M1832">
        <f t="shared" si="254"/>
        <v>5.1451484615384615E-3</v>
      </c>
      <c r="N1832">
        <f t="shared" si="255"/>
        <v>1.1003767923076923E-2</v>
      </c>
      <c r="O1832">
        <f t="shared" si="256"/>
        <v>8.074458192307692E-3</v>
      </c>
      <c r="P1832">
        <f t="shared" si="252"/>
        <v>46.173064427766676</v>
      </c>
      <c r="R1832">
        <f t="shared" si="257"/>
        <v>-1.0371887928383961E-3</v>
      </c>
    </row>
    <row r="1833" spans="1:19" x14ac:dyDescent="0.2">
      <c r="A1833" t="s">
        <v>1844</v>
      </c>
      <c r="B1833">
        <v>5.8658635400000003</v>
      </c>
      <c r="C1833">
        <v>0.70385193000000001</v>
      </c>
      <c r="D1833">
        <v>6.0306572300000001</v>
      </c>
      <c r="E1833">
        <v>0.41484471000000001</v>
      </c>
      <c r="F1833">
        <v>3.3149009700000001</v>
      </c>
      <c r="G1833">
        <v>1.3379424200000001</v>
      </c>
      <c r="H1833">
        <v>2.84823352</v>
      </c>
      <c r="I1833">
        <v>9.3131099999999994E-3</v>
      </c>
      <c r="J1833">
        <v>1</v>
      </c>
      <c r="K1833">
        <v>950088</v>
      </c>
      <c r="L1833">
        <f t="shared" si="253"/>
        <v>1.2749619115384615E-2</v>
      </c>
      <c r="M1833">
        <f t="shared" si="254"/>
        <v>5.1459323846153853E-3</v>
      </c>
      <c r="N1833">
        <f t="shared" si="255"/>
        <v>1.0954744307692308E-2</v>
      </c>
      <c r="O1833">
        <f t="shared" si="256"/>
        <v>8.0503383461538458E-3</v>
      </c>
      <c r="P1833">
        <f t="shared" si="252"/>
        <v>39.829871596185136</v>
      </c>
      <c r="R1833">
        <f t="shared" si="257"/>
        <v>-9.6366731487729121E-4</v>
      </c>
    </row>
    <row r="1834" spans="1:19" x14ac:dyDescent="0.2">
      <c r="A1834" t="s">
        <v>1845</v>
      </c>
      <c r="B1834">
        <v>5.8492529800000002</v>
      </c>
      <c r="C1834">
        <v>0.61644807000000001</v>
      </c>
      <c r="D1834">
        <v>6.0163265499999996</v>
      </c>
      <c r="E1834">
        <v>0.41484471000000001</v>
      </c>
      <c r="F1834">
        <v>3.32545146</v>
      </c>
      <c r="G1834">
        <v>1.3379424200000001</v>
      </c>
      <c r="H1834">
        <v>2.8348194599999998</v>
      </c>
      <c r="I1834">
        <v>9.3131099999999994E-3</v>
      </c>
      <c r="J1834">
        <v>1</v>
      </c>
      <c r="K1834">
        <v>950088</v>
      </c>
      <c r="L1834">
        <f t="shared" si="253"/>
        <v>1.2790197923076924E-2</v>
      </c>
      <c r="M1834">
        <f t="shared" si="254"/>
        <v>5.1459323846153853E-3</v>
      </c>
      <c r="N1834">
        <f t="shared" si="255"/>
        <v>1.0903151769230769E-2</v>
      </c>
      <c r="O1834">
        <f t="shared" si="256"/>
        <v>8.0245420769230764E-3</v>
      </c>
      <c r="P1834">
        <f t="shared" si="252"/>
        <v>34.883824888874209</v>
      </c>
      <c r="R1834">
        <f t="shared" si="257"/>
        <v>-1.3331293558171327E-3</v>
      </c>
    </row>
    <row r="1835" spans="1:19" x14ac:dyDescent="0.2">
      <c r="A1835" t="s">
        <v>1846</v>
      </c>
      <c r="B1835">
        <v>5.8256348400000002</v>
      </c>
      <c r="C1835">
        <v>0.52297083</v>
      </c>
      <c r="D1835">
        <v>5.9932951000000001</v>
      </c>
      <c r="E1835">
        <v>0.41484471000000001</v>
      </c>
      <c r="F1835">
        <v>3.33505713</v>
      </c>
      <c r="G1835">
        <v>1.3375347799999999</v>
      </c>
      <c r="H1835">
        <v>2.8137243199999999</v>
      </c>
      <c r="I1835">
        <v>9.6783300000000006E-3</v>
      </c>
      <c r="J1835">
        <v>1</v>
      </c>
      <c r="K1835">
        <v>950088</v>
      </c>
      <c r="L1835">
        <f t="shared" si="253"/>
        <v>1.2827142807692309E-2</v>
      </c>
      <c r="M1835">
        <f t="shared" si="254"/>
        <v>5.1443645384615377E-3</v>
      </c>
      <c r="N1835">
        <f t="shared" si="255"/>
        <v>1.0822016615384615E-2</v>
      </c>
      <c r="O1835">
        <f t="shared" si="256"/>
        <v>7.9831905769230764E-3</v>
      </c>
      <c r="P1835">
        <f t="shared" si="252"/>
        <v>29.594095177732008</v>
      </c>
      <c r="R1835">
        <f t="shared" si="257"/>
        <v>-2.0705180078710687E-3</v>
      </c>
    </row>
    <row r="1836" spans="1:19" x14ac:dyDescent="0.2">
      <c r="A1836" t="s">
        <v>1847</v>
      </c>
      <c r="B1836">
        <v>5.7898183200000002</v>
      </c>
      <c r="C1836">
        <v>0.41985539999999999</v>
      </c>
      <c r="D1836">
        <v>5.9508148700000003</v>
      </c>
      <c r="E1836">
        <v>0.41484471000000001</v>
      </c>
      <c r="F1836">
        <v>3.33694677</v>
      </c>
      <c r="G1836">
        <v>1.33318662</v>
      </c>
      <c r="H1836">
        <v>2.7777123000000001</v>
      </c>
      <c r="I1836">
        <v>9.4957199999999992E-3</v>
      </c>
      <c r="J1836">
        <v>1</v>
      </c>
      <c r="K1836">
        <v>950088</v>
      </c>
      <c r="L1836">
        <f t="shared" si="253"/>
        <v>1.2834410653846154E-2</v>
      </c>
      <c r="M1836">
        <f t="shared" si="254"/>
        <v>5.1276408461538459E-3</v>
      </c>
      <c r="N1836">
        <f t="shared" si="255"/>
        <v>1.0683508846153846E-2</v>
      </c>
      <c r="O1836">
        <f t="shared" si="256"/>
        <v>7.9055748461538469E-3</v>
      </c>
      <c r="P1836">
        <f t="shared" si="252"/>
        <v>23.758955482248872</v>
      </c>
      <c r="R1836">
        <f t="shared" si="257"/>
        <v>-2.1828979493435439E-3</v>
      </c>
    </row>
    <row r="1837" spans="1:19" x14ac:dyDescent="0.2">
      <c r="A1837" t="s">
        <v>1848</v>
      </c>
      <c r="B1837">
        <v>5.7464751400000003</v>
      </c>
      <c r="C1837">
        <v>0.32479380000000002</v>
      </c>
      <c r="D1837">
        <v>5.9011693000000003</v>
      </c>
      <c r="E1837">
        <v>0.41484471000000001</v>
      </c>
      <c r="F1837">
        <v>3.3341123100000001</v>
      </c>
      <c r="G1837">
        <v>1.3255094000000001</v>
      </c>
      <c r="H1837">
        <v>2.7315144999999998</v>
      </c>
      <c r="I1837">
        <v>9.4957199999999992E-3</v>
      </c>
      <c r="J1837">
        <v>1</v>
      </c>
      <c r="K1837">
        <v>950088</v>
      </c>
      <c r="L1837">
        <f t="shared" si="253"/>
        <v>1.2823508884615385E-2</v>
      </c>
      <c r="M1837">
        <f t="shared" si="254"/>
        <v>5.0981130769230769E-3</v>
      </c>
      <c r="N1837">
        <f t="shared" si="255"/>
        <v>1.0505825E-2</v>
      </c>
      <c r="O1837">
        <f t="shared" si="256"/>
        <v>7.8019690384615384E-3</v>
      </c>
      <c r="P1837">
        <f t="shared" si="252"/>
        <v>18.3795693353246</v>
      </c>
      <c r="R1837">
        <f t="shared" si="257"/>
        <v>-1.998813471173826E-3</v>
      </c>
    </row>
    <row r="1838" spans="1:19" x14ac:dyDescent="0.2">
      <c r="A1838" t="s">
        <v>1849</v>
      </c>
      <c r="B1838">
        <v>5.6987197800000002</v>
      </c>
      <c r="C1838">
        <v>0.24055866000000001</v>
      </c>
      <c r="D1838">
        <v>5.8433347700000002</v>
      </c>
      <c r="E1838">
        <v>0.41484471000000001</v>
      </c>
      <c r="F1838">
        <v>3.3308054399999998</v>
      </c>
      <c r="G1838">
        <v>1.3136878400000001</v>
      </c>
      <c r="H1838">
        <v>2.6783592000000001</v>
      </c>
      <c r="I1838">
        <v>9.4957199999999992E-3</v>
      </c>
      <c r="J1838">
        <v>1</v>
      </c>
      <c r="K1838">
        <v>950088</v>
      </c>
      <c r="L1838">
        <f t="shared" si="253"/>
        <v>1.2810790153846154E-2</v>
      </c>
      <c r="M1838">
        <f t="shared" si="254"/>
        <v>5.052645538461539E-3</v>
      </c>
      <c r="N1838">
        <f t="shared" si="255"/>
        <v>1.0301381538461539E-2</v>
      </c>
      <c r="O1838">
        <f t="shared" si="256"/>
        <v>7.6770135384615383E-3</v>
      </c>
      <c r="P1838">
        <f t="shared" si="252"/>
        <v>13.612835499577812</v>
      </c>
      <c r="R1838">
        <f t="shared" si="257"/>
        <v>-1.5269201778012624E-3</v>
      </c>
    </row>
    <row r="1839" spans="1:19" x14ac:dyDescent="0.2">
      <c r="A1839" t="s">
        <v>1850</v>
      </c>
      <c r="B1839">
        <v>5.6481094799999996</v>
      </c>
      <c r="C1839">
        <v>0.16596171000000001</v>
      </c>
      <c r="D1839">
        <v>5.7885711000000004</v>
      </c>
      <c r="E1839">
        <v>0.47410824000000001</v>
      </c>
      <c r="F1839">
        <v>3.3197825399999998</v>
      </c>
      <c r="G1839">
        <v>1.2991486800000001</v>
      </c>
      <c r="H1839">
        <v>2.6238680599999999</v>
      </c>
      <c r="I1839">
        <v>9.4957199999999992E-3</v>
      </c>
      <c r="J1839">
        <v>1</v>
      </c>
      <c r="K1839">
        <v>950088</v>
      </c>
      <c r="L1839">
        <f t="shared" si="253"/>
        <v>1.2768394384615384E-2</v>
      </c>
      <c r="M1839">
        <f t="shared" si="254"/>
        <v>4.9967256923076925E-3</v>
      </c>
      <c r="N1839">
        <f t="shared" si="255"/>
        <v>1.009180023076923E-2</v>
      </c>
      <c r="O1839">
        <f t="shared" si="256"/>
        <v>7.5442629615384612E-3</v>
      </c>
      <c r="P1839">
        <f t="shared" si="252"/>
        <v>9.39151164817196</v>
      </c>
      <c r="R1839">
        <f t="shared" si="257"/>
        <v>-9.9294492858390329E-4</v>
      </c>
    </row>
    <row r="1840" spans="1:19" x14ac:dyDescent="0.2">
      <c r="A1840" t="s">
        <v>1851</v>
      </c>
      <c r="B1840">
        <v>5.5936060799999998</v>
      </c>
      <c r="C1840">
        <v>9.9946709999999994E-2</v>
      </c>
      <c r="D1840">
        <v>5.732272</v>
      </c>
      <c r="E1840">
        <v>0.73091687000000005</v>
      </c>
      <c r="F1840">
        <v>3.3010436099999998</v>
      </c>
      <c r="G1840">
        <v>1.2840659999999999</v>
      </c>
      <c r="H1840">
        <v>2.5703231400000002</v>
      </c>
      <c r="I1840">
        <v>9.6783300000000006E-3</v>
      </c>
      <c r="J1840">
        <v>1</v>
      </c>
      <c r="K1840">
        <v>950088</v>
      </c>
      <c r="L1840">
        <f t="shared" si="253"/>
        <v>1.2696321576923075E-2</v>
      </c>
      <c r="M1840">
        <f t="shared" si="254"/>
        <v>4.9387153846153845E-3</v>
      </c>
      <c r="N1840">
        <f t="shared" si="255"/>
        <v>9.885858230769231E-3</v>
      </c>
      <c r="O1840">
        <f t="shared" si="256"/>
        <v>7.4122868076923086E-3</v>
      </c>
      <c r="P1840">
        <f t="shared" si="252"/>
        <v>5.6558268239189919</v>
      </c>
      <c r="R1840">
        <f t="shared" si="257"/>
        <v>-4.0543287970929809E-4</v>
      </c>
    </row>
    <row r="1841" spans="1:19" x14ac:dyDescent="0.2">
      <c r="A1841" t="s">
        <v>1852</v>
      </c>
      <c r="B1841">
        <v>5.55467508</v>
      </c>
      <c r="C1841">
        <v>5.320809E-2</v>
      </c>
      <c r="D1841">
        <v>5.6887681499999996</v>
      </c>
      <c r="E1841">
        <v>1.0864980500000001</v>
      </c>
      <c r="F1841">
        <v>3.2832495000000002</v>
      </c>
      <c r="G1841">
        <v>1.2732635400000001</v>
      </c>
      <c r="H1841">
        <v>2.5324743399999998</v>
      </c>
      <c r="I1841">
        <v>9.6783300000000006E-3</v>
      </c>
      <c r="J1841">
        <v>1</v>
      </c>
      <c r="K1841">
        <v>950088</v>
      </c>
      <c r="L1841">
        <f t="shared" si="253"/>
        <v>1.2627882692307692E-2</v>
      </c>
      <c r="M1841">
        <f t="shared" si="254"/>
        <v>4.897167461538462E-3</v>
      </c>
      <c r="N1841">
        <f t="shared" si="255"/>
        <v>9.7402859230769218E-3</v>
      </c>
      <c r="O1841">
        <f t="shared" si="256"/>
        <v>7.3187266923076914E-3</v>
      </c>
      <c r="P1841">
        <f t="shared" si="252"/>
        <v>3.0109619683478916</v>
      </c>
      <c r="R1841">
        <f t="shared" si="257"/>
        <v>-8.0301060418963536E-5</v>
      </c>
    </row>
    <row r="1842" spans="1:19" x14ac:dyDescent="0.2">
      <c r="A1842" t="s">
        <v>1853</v>
      </c>
      <c r="B1842">
        <v>5.5380645199999998</v>
      </c>
      <c r="C1842">
        <v>4.9907340000000001E-2</v>
      </c>
      <c r="D1842">
        <v>5.6821146200000001</v>
      </c>
      <c r="E1842">
        <v>1.1457615800000001</v>
      </c>
      <c r="F1842">
        <v>3.2654553900000001</v>
      </c>
      <c r="G1842">
        <v>1.2695268399999999</v>
      </c>
      <c r="H1842">
        <v>2.5218989399999998</v>
      </c>
      <c r="I1842">
        <v>9.6783300000000006E-3</v>
      </c>
      <c r="J1842">
        <v>1</v>
      </c>
      <c r="K1842">
        <v>950088</v>
      </c>
      <c r="L1842">
        <f t="shared" si="253"/>
        <v>1.2559443807692307E-2</v>
      </c>
      <c r="M1842">
        <f t="shared" si="254"/>
        <v>4.882795538461538E-3</v>
      </c>
      <c r="N1842">
        <f t="shared" si="255"/>
        <v>9.6996113076923077E-3</v>
      </c>
      <c r="O1842">
        <f t="shared" si="256"/>
        <v>7.2912034230769229E-3</v>
      </c>
      <c r="P1842">
        <f t="shared" si="252"/>
        <v>2.8241777271352433</v>
      </c>
      <c r="R1842">
        <f t="shared" si="257"/>
        <v>1.7288926093270935E-4</v>
      </c>
    </row>
    <row r="1843" spans="1:19" x14ac:dyDescent="0.2">
      <c r="A1843" t="s">
        <v>1854</v>
      </c>
      <c r="B1843">
        <v>5.5570109399999996</v>
      </c>
      <c r="C1843">
        <v>0.10720836</v>
      </c>
      <c r="D1843">
        <v>5.7010515899999996</v>
      </c>
      <c r="E1843">
        <v>1.1457615800000001</v>
      </c>
      <c r="F1843">
        <v>3.2457716400000001</v>
      </c>
      <c r="G1843">
        <v>1.2693230200000001</v>
      </c>
      <c r="H1843">
        <v>2.54232616</v>
      </c>
      <c r="I1843">
        <v>9.6783300000000006E-3</v>
      </c>
      <c r="J1843">
        <v>1</v>
      </c>
      <c r="K1843">
        <v>950088</v>
      </c>
      <c r="L1843">
        <f t="shared" si="253"/>
        <v>1.2483737076923077E-2</v>
      </c>
      <c r="M1843">
        <f t="shared" si="254"/>
        <v>4.882011615384616E-3</v>
      </c>
      <c r="N1843">
        <f t="shared" si="255"/>
        <v>9.7781775384615383E-3</v>
      </c>
      <c r="O1843">
        <f t="shared" si="256"/>
        <v>7.3300945769230767E-3</v>
      </c>
      <c r="P1843">
        <f t="shared" si="252"/>
        <v>6.066752154586819</v>
      </c>
      <c r="R1843">
        <f t="shared" si="257"/>
        <v>7.9545594672959742E-4</v>
      </c>
    </row>
    <row r="1844" spans="1:19" x14ac:dyDescent="0.2">
      <c r="A1844" t="s">
        <v>1855</v>
      </c>
      <c r="B1844">
        <v>5.5967205599999996</v>
      </c>
      <c r="C1844">
        <v>0.18814275</v>
      </c>
      <c r="D1844">
        <v>5.7414845799999998</v>
      </c>
      <c r="E1844">
        <v>0.96797098999999998</v>
      </c>
      <c r="F1844">
        <v>3.2331740400000002</v>
      </c>
      <c r="G1844">
        <v>1.2761849599999999</v>
      </c>
      <c r="H1844">
        <v>2.5849617199999999</v>
      </c>
      <c r="I1844">
        <v>9.6783300000000006E-3</v>
      </c>
      <c r="J1844">
        <v>1</v>
      </c>
      <c r="K1844">
        <v>950089</v>
      </c>
      <c r="L1844">
        <f t="shared" si="253"/>
        <v>1.2435284769230771E-2</v>
      </c>
      <c r="M1844">
        <f t="shared" si="254"/>
        <v>4.9084036923076916E-3</v>
      </c>
      <c r="N1844">
        <f t="shared" si="255"/>
        <v>9.9421604615384605E-3</v>
      </c>
      <c r="O1844">
        <f t="shared" si="256"/>
        <v>7.4252820769230773E-3</v>
      </c>
      <c r="P1844">
        <f t="shared" si="252"/>
        <v>10.646701749120957</v>
      </c>
      <c r="Q1844">
        <f t="shared" ref="Q1844" si="260">ABS(0.5*(SUMPRODUCT(O1844:O1862,P1845:P1863)+O1863*P1844-(SUMPRODUCT(O1845:O1863,P1844:P1862)+O1844*P1863)))</f>
        <v>5.1653342779431899E-3</v>
      </c>
      <c r="R1844">
        <f t="shared" si="257"/>
        <v>1.8177100921953381E-3</v>
      </c>
    </row>
    <row r="1845" spans="1:19" x14ac:dyDescent="0.2">
      <c r="A1845" t="s">
        <v>1856</v>
      </c>
      <c r="B1845">
        <v>5.6488880999999997</v>
      </c>
      <c r="C1845">
        <v>0.28320434999999999</v>
      </c>
      <c r="D1845">
        <v>5.8008545399999996</v>
      </c>
      <c r="E1845">
        <v>0.79018040000000001</v>
      </c>
      <c r="F1845">
        <v>3.22844994</v>
      </c>
      <c r="G1845">
        <v>1.2898409</v>
      </c>
      <c r="H1845">
        <v>2.6421801999999999</v>
      </c>
      <c r="I1845">
        <v>9.4957199999999992E-3</v>
      </c>
      <c r="J1845">
        <v>1</v>
      </c>
      <c r="K1845">
        <v>950089</v>
      </c>
      <c r="L1845">
        <f t="shared" si="253"/>
        <v>1.2417115153846154E-2</v>
      </c>
      <c r="M1845">
        <f t="shared" si="254"/>
        <v>4.9609265384615384E-3</v>
      </c>
      <c r="N1845">
        <f t="shared" si="255"/>
        <v>1.0162231538461538E-2</v>
      </c>
      <c r="O1845">
        <f t="shared" si="256"/>
        <v>7.5615790384615383E-3</v>
      </c>
      <c r="P1845">
        <f t="shared" si="252"/>
        <v>16.02608789604523</v>
      </c>
      <c r="R1845">
        <f t="shared" si="257"/>
        <v>2.9186950865860472E-3</v>
      </c>
    </row>
    <row r="1846" spans="1:19" x14ac:dyDescent="0.2">
      <c r="A1846" t="s">
        <v>1857</v>
      </c>
      <c r="B1846">
        <v>5.7067655200000003</v>
      </c>
      <c r="C1846">
        <v>0.39331737</v>
      </c>
      <c r="D1846">
        <v>5.8699488899999999</v>
      </c>
      <c r="E1846">
        <v>0.67165333999999999</v>
      </c>
      <c r="F1846">
        <v>3.2289223499999999</v>
      </c>
      <c r="G1846">
        <v>1.3053991599999999</v>
      </c>
      <c r="H1846">
        <v>2.7059109000000001</v>
      </c>
      <c r="I1846">
        <v>9.4957199999999992E-3</v>
      </c>
      <c r="J1846">
        <v>1</v>
      </c>
      <c r="K1846">
        <v>950089</v>
      </c>
      <c r="L1846">
        <f t="shared" si="253"/>
        <v>1.2418932115384616E-2</v>
      </c>
      <c r="M1846">
        <f t="shared" si="254"/>
        <v>5.0207659999999994E-3</v>
      </c>
      <c r="N1846">
        <f t="shared" si="255"/>
        <v>1.0407349615384616E-2</v>
      </c>
      <c r="O1846">
        <f t="shared" si="256"/>
        <v>7.714057807692307E-3</v>
      </c>
      <c r="P1846">
        <f t="shared" si="252"/>
        <v>22.257210182899179</v>
      </c>
      <c r="R1846">
        <f t="shared" si="257"/>
        <v>3.8531623687350042E-3</v>
      </c>
    </row>
    <row r="1847" spans="1:19" x14ac:dyDescent="0.2">
      <c r="A1847" t="s">
        <v>1858</v>
      </c>
      <c r="B1847">
        <v>5.7724291399999998</v>
      </c>
      <c r="C1847">
        <v>0.52706375999999999</v>
      </c>
      <c r="D1847">
        <v>5.9385314300000003</v>
      </c>
      <c r="E1847">
        <v>0.53337177000000002</v>
      </c>
      <c r="F1847">
        <v>3.2327016300000002</v>
      </c>
      <c r="G1847">
        <v>1.3196665599999999</v>
      </c>
      <c r="H1847">
        <v>2.7685840599999998</v>
      </c>
      <c r="I1847">
        <v>9.4957199999999992E-3</v>
      </c>
      <c r="J1847">
        <v>1</v>
      </c>
      <c r="K1847">
        <v>950089</v>
      </c>
      <c r="L1847">
        <f t="shared" si="253"/>
        <v>1.2433467807692309E-2</v>
      </c>
      <c r="M1847">
        <f t="shared" si="254"/>
        <v>5.075640615384615E-3</v>
      </c>
      <c r="N1847">
        <f t="shared" si="255"/>
        <v>1.0648400230769231E-2</v>
      </c>
      <c r="O1847">
        <f t="shared" si="256"/>
        <v>7.8620204230769233E-3</v>
      </c>
      <c r="P1847">
        <f t="shared" si="252"/>
        <v>29.825707636835691</v>
      </c>
      <c r="R1847">
        <f t="shared" si="257"/>
        <v>4.4125966443733719E-3</v>
      </c>
    </row>
    <row r="1848" spans="1:19" x14ac:dyDescent="0.2">
      <c r="A1848" t="s">
        <v>1859</v>
      </c>
      <c r="B1848">
        <v>5.8334210400000002</v>
      </c>
      <c r="C1848">
        <v>0.70794486000000001</v>
      </c>
      <c r="D1848">
        <v>6.0025076799999999</v>
      </c>
      <c r="E1848">
        <v>0.53337177000000002</v>
      </c>
      <c r="F1848">
        <v>3.24671646</v>
      </c>
      <c r="G1848">
        <v>1.3306728400000001</v>
      </c>
      <c r="H1848">
        <v>2.8232421799999998</v>
      </c>
      <c r="I1848">
        <v>9.6783300000000006E-3</v>
      </c>
      <c r="J1848">
        <v>1</v>
      </c>
      <c r="K1848">
        <v>950089</v>
      </c>
      <c r="L1848">
        <f t="shared" si="253"/>
        <v>1.2487371000000001E-2</v>
      </c>
      <c r="M1848">
        <f t="shared" si="254"/>
        <v>5.1179724615384621E-3</v>
      </c>
      <c r="N1848">
        <f t="shared" si="255"/>
        <v>1.0858623769230769E-2</v>
      </c>
      <c r="O1848">
        <f t="shared" si="256"/>
        <v>7.9882981153846146E-3</v>
      </c>
      <c r="P1848">
        <f t="shared" si="252"/>
        <v>40.061484055288823</v>
      </c>
      <c r="R1848">
        <f t="shared" si="257"/>
        <v>2.7678359481535758E-3</v>
      </c>
    </row>
    <row r="1849" spans="1:19" x14ac:dyDescent="0.2">
      <c r="A1849" t="s">
        <v>1860</v>
      </c>
      <c r="B1849">
        <v>5.8681994</v>
      </c>
      <c r="C1849">
        <v>0.82518749999999996</v>
      </c>
      <c r="D1849">
        <v>6.0398698099999999</v>
      </c>
      <c r="E1849">
        <v>0.53337177000000002</v>
      </c>
      <c r="F1849">
        <v>3.2629358700000002</v>
      </c>
      <c r="G1849">
        <v>1.33563246</v>
      </c>
      <c r="H1849">
        <v>2.8514618</v>
      </c>
      <c r="I1849">
        <v>9.4957199999999992E-3</v>
      </c>
      <c r="J1849">
        <v>1</v>
      </c>
      <c r="K1849">
        <v>950089</v>
      </c>
      <c r="L1849">
        <f t="shared" si="253"/>
        <v>1.2549753346153847E-2</v>
      </c>
      <c r="M1849">
        <f t="shared" si="254"/>
        <v>5.1370479230769235E-3</v>
      </c>
      <c r="N1849">
        <f t="shared" si="255"/>
        <v>1.0967160769230769E-2</v>
      </c>
      <c r="O1849">
        <f t="shared" si="256"/>
        <v>8.0521043461538461E-3</v>
      </c>
      <c r="P1849">
        <f t="shared" si="252"/>
        <v>46.696060303162092</v>
      </c>
      <c r="R1849">
        <f t="shared" si="257"/>
        <v>8.4086697527567989E-4</v>
      </c>
    </row>
    <row r="1850" spans="1:19" x14ac:dyDescent="0.2">
      <c r="A1850" t="s">
        <v>1861</v>
      </c>
      <c r="B1850">
        <v>5.8850695000000002</v>
      </c>
      <c r="C1850">
        <v>0.85212162000000002</v>
      </c>
      <c r="D1850">
        <v>6.04754696</v>
      </c>
      <c r="E1850">
        <v>0.53337177000000002</v>
      </c>
      <c r="F1850">
        <v>3.27647829</v>
      </c>
      <c r="G1850">
        <v>1.3367195000000001</v>
      </c>
      <c r="H1850">
        <v>2.8595881599999999</v>
      </c>
      <c r="I1850">
        <v>9.6783300000000006E-3</v>
      </c>
      <c r="J1850">
        <v>1</v>
      </c>
      <c r="K1850">
        <v>950089</v>
      </c>
      <c r="L1850">
        <f t="shared" si="253"/>
        <v>1.2601839576923077E-2</v>
      </c>
      <c r="M1850">
        <f t="shared" si="254"/>
        <v>5.1412288461538461E-3</v>
      </c>
      <c r="N1850">
        <f t="shared" si="255"/>
        <v>1.0998416E-2</v>
      </c>
      <c r="O1850">
        <f t="shared" si="256"/>
        <v>8.0698224230769233E-3</v>
      </c>
      <c r="P1850">
        <f t="shared" si="252"/>
        <v>48.220219711457304</v>
      </c>
      <c r="R1850">
        <f t="shared" si="257"/>
        <v>2.7556733135481891E-4</v>
      </c>
      <c r="S1850">
        <f>ABS(SUMIFS($R:$R,$K:$K,K1850))</f>
        <v>5.1439926177303573E-3</v>
      </c>
    </row>
    <row r="1851" spans="1:19" x14ac:dyDescent="0.2">
      <c r="A1851" t="s">
        <v>1862</v>
      </c>
      <c r="B1851">
        <v>5.88429088</v>
      </c>
      <c r="C1851">
        <v>0.8542341</v>
      </c>
      <c r="D1851">
        <v>6.0526650599999998</v>
      </c>
      <c r="E1851">
        <v>0.47410824000000001</v>
      </c>
      <c r="F1851">
        <v>3.2919103500000002</v>
      </c>
      <c r="G1851">
        <v>1.33712714</v>
      </c>
      <c r="H1851">
        <v>2.8621485199999999</v>
      </c>
      <c r="I1851">
        <v>9.6783300000000006E-3</v>
      </c>
      <c r="J1851">
        <v>1</v>
      </c>
      <c r="K1851">
        <v>950089</v>
      </c>
      <c r="L1851">
        <f t="shared" si="253"/>
        <v>1.2661193653846155E-2</v>
      </c>
      <c r="M1851">
        <f t="shared" si="254"/>
        <v>5.1427966923076919E-3</v>
      </c>
      <c r="N1851">
        <f t="shared" si="255"/>
        <v>1.1008263538461538E-2</v>
      </c>
      <c r="O1851">
        <f t="shared" si="256"/>
        <v>8.0755301153846142E-3</v>
      </c>
      <c r="P1851">
        <f t="shared" si="252"/>
        <v>48.339761625833397</v>
      </c>
      <c r="R1851">
        <f t="shared" si="257"/>
        <v>-5.0739331358191851E-5</v>
      </c>
    </row>
    <row r="1852" spans="1:19" x14ac:dyDescent="0.2">
      <c r="A1852" t="s">
        <v>1863</v>
      </c>
      <c r="B1852">
        <v>5.8816954800000003</v>
      </c>
      <c r="C1852">
        <v>0.81871802999999999</v>
      </c>
      <c r="D1852">
        <v>6.0511296300000001</v>
      </c>
      <c r="E1852">
        <v>0.47410824000000001</v>
      </c>
      <c r="F1852">
        <v>3.3081297599999999</v>
      </c>
      <c r="G1852">
        <v>1.3377386</v>
      </c>
      <c r="H1852">
        <v>2.8609796599999999</v>
      </c>
      <c r="I1852">
        <v>9.6783300000000006E-3</v>
      </c>
      <c r="J1852">
        <v>1</v>
      </c>
      <c r="K1852">
        <v>950089</v>
      </c>
      <c r="L1852">
        <f t="shared" si="253"/>
        <v>1.2723576E-2</v>
      </c>
      <c r="M1852">
        <f t="shared" si="254"/>
        <v>5.1451484615384615E-3</v>
      </c>
      <c r="N1852">
        <f t="shared" si="255"/>
        <v>1.1003767923076923E-2</v>
      </c>
      <c r="O1852">
        <f t="shared" si="256"/>
        <v>8.074458192307692E-3</v>
      </c>
      <c r="P1852">
        <f t="shared" si="252"/>
        <v>46.3299631903853</v>
      </c>
      <c r="R1852">
        <f t="shared" si="257"/>
        <v>-1.0571570395888886E-3</v>
      </c>
    </row>
    <row r="1853" spans="1:19" x14ac:dyDescent="0.2">
      <c r="A1853" t="s">
        <v>1864</v>
      </c>
      <c r="B1853">
        <v>5.8635276799999998</v>
      </c>
      <c r="C1853">
        <v>0.70556832000000003</v>
      </c>
      <c r="D1853">
        <v>6.03526352</v>
      </c>
      <c r="E1853">
        <v>0.47410824000000001</v>
      </c>
      <c r="F1853">
        <v>3.3191526599999999</v>
      </c>
      <c r="G1853">
        <v>1.3377386</v>
      </c>
      <c r="H1853">
        <v>2.84823352</v>
      </c>
      <c r="I1853">
        <v>9.6783300000000006E-3</v>
      </c>
      <c r="J1853">
        <v>1</v>
      </c>
      <c r="K1853">
        <v>950089</v>
      </c>
      <c r="L1853">
        <f t="shared" si="253"/>
        <v>1.2765971769230769E-2</v>
      </c>
      <c r="M1853">
        <f t="shared" si="254"/>
        <v>5.1451484615384615E-3</v>
      </c>
      <c r="N1853">
        <f t="shared" si="255"/>
        <v>1.0954744307692308E-2</v>
      </c>
      <c r="O1853">
        <f t="shared" si="256"/>
        <v>8.0499463846153835E-3</v>
      </c>
      <c r="P1853">
        <f t="shared" si="252"/>
        <v>39.926999401615717</v>
      </c>
      <c r="R1853">
        <f t="shared" si="257"/>
        <v>-1.0588464563545327E-3</v>
      </c>
    </row>
    <row r="1854" spans="1:19" x14ac:dyDescent="0.2">
      <c r="A1854" t="s">
        <v>1865</v>
      </c>
      <c r="B1854">
        <v>5.8453598800000002</v>
      </c>
      <c r="C1854">
        <v>0.60879033000000005</v>
      </c>
      <c r="D1854">
        <v>6.0147911199999999</v>
      </c>
      <c r="E1854">
        <v>0.47410824000000001</v>
      </c>
      <c r="F1854">
        <v>3.32639628</v>
      </c>
      <c r="G1854">
        <v>1.3377386</v>
      </c>
      <c r="H1854">
        <v>2.8334279599999999</v>
      </c>
      <c r="I1854">
        <v>9.8609400000000003E-3</v>
      </c>
      <c r="J1854">
        <v>1</v>
      </c>
      <c r="K1854">
        <v>950089</v>
      </c>
      <c r="L1854">
        <f t="shared" si="253"/>
        <v>1.2793831846153847E-2</v>
      </c>
      <c r="M1854">
        <f t="shared" si="254"/>
        <v>5.1451484615384615E-3</v>
      </c>
      <c r="N1854">
        <f t="shared" si="255"/>
        <v>1.0897799846153846E-2</v>
      </c>
      <c r="O1854">
        <f t="shared" si="256"/>
        <v>8.0214741538461535E-3</v>
      </c>
      <c r="P1854">
        <f t="shared" si="252"/>
        <v>34.450485449260867</v>
      </c>
      <c r="R1854">
        <f t="shared" si="257"/>
        <v>-1.2823503457388772E-3</v>
      </c>
    </row>
    <row r="1855" spans="1:19" x14ac:dyDescent="0.2">
      <c r="A1855" t="s">
        <v>1866</v>
      </c>
      <c r="B1855">
        <v>5.82485622</v>
      </c>
      <c r="C1855">
        <v>0.52138647000000005</v>
      </c>
      <c r="D1855">
        <v>5.98971243</v>
      </c>
      <c r="E1855">
        <v>0.47410824000000001</v>
      </c>
      <c r="F1855">
        <v>3.33552954</v>
      </c>
      <c r="G1855">
        <v>1.3369233199999999</v>
      </c>
      <c r="H1855">
        <v>2.8133903600000001</v>
      </c>
      <c r="I1855">
        <v>9.6783300000000006E-3</v>
      </c>
      <c r="J1855">
        <v>1</v>
      </c>
      <c r="K1855">
        <v>950089</v>
      </c>
      <c r="L1855">
        <f t="shared" si="253"/>
        <v>1.2828959769230769E-2</v>
      </c>
      <c r="M1855">
        <f t="shared" si="254"/>
        <v>5.142012769230769E-3</v>
      </c>
      <c r="N1855">
        <f t="shared" si="255"/>
        <v>1.0820732153846154E-2</v>
      </c>
      <c r="O1855">
        <f t="shared" si="256"/>
        <v>7.9813724615384607E-3</v>
      </c>
      <c r="P1855">
        <f t="shared" si="252"/>
        <v>29.50443874194994</v>
      </c>
      <c r="R1855">
        <f t="shared" si="257"/>
        <v>-1.9744404498546783E-3</v>
      </c>
    </row>
    <row r="1856" spans="1:19" x14ac:dyDescent="0.2">
      <c r="A1856" t="s">
        <v>1867</v>
      </c>
      <c r="B1856">
        <v>5.7931923400000001</v>
      </c>
      <c r="C1856">
        <v>0.42143976</v>
      </c>
      <c r="D1856">
        <v>5.9492794399999998</v>
      </c>
      <c r="E1856">
        <v>0.47410824000000001</v>
      </c>
      <c r="F1856">
        <v>3.3404111099999998</v>
      </c>
      <c r="G1856">
        <v>1.3333904400000001</v>
      </c>
      <c r="H1856">
        <v>2.77843588</v>
      </c>
      <c r="I1856">
        <v>9.8609400000000003E-3</v>
      </c>
      <c r="J1856">
        <v>1</v>
      </c>
      <c r="K1856">
        <v>950089</v>
      </c>
      <c r="L1856">
        <f t="shared" si="253"/>
        <v>1.2847735038461539E-2</v>
      </c>
      <c r="M1856">
        <f t="shared" si="254"/>
        <v>5.1284247692307697E-3</v>
      </c>
      <c r="N1856">
        <f t="shared" si="255"/>
        <v>1.0686291846153845E-2</v>
      </c>
      <c r="O1856">
        <f t="shared" si="256"/>
        <v>7.9073583076923089E-3</v>
      </c>
      <c r="P1856">
        <f t="shared" si="252"/>
        <v>23.848611918030944</v>
      </c>
      <c r="R1856">
        <f t="shared" si="257"/>
        <v>-2.2243060449029569E-3</v>
      </c>
    </row>
    <row r="1857" spans="1:19" x14ac:dyDescent="0.2">
      <c r="A1857" t="s">
        <v>1868</v>
      </c>
      <c r="B1857">
        <v>5.7503682400000002</v>
      </c>
      <c r="C1857">
        <v>0.32677424999999999</v>
      </c>
      <c r="D1857">
        <v>5.8975866300000002</v>
      </c>
      <c r="E1857">
        <v>0.47410824000000001</v>
      </c>
      <c r="F1857">
        <v>3.33647436</v>
      </c>
      <c r="G1857">
        <v>1.3255094000000001</v>
      </c>
      <c r="H1857">
        <v>2.7316814800000002</v>
      </c>
      <c r="I1857">
        <v>9.6783300000000006E-3</v>
      </c>
      <c r="J1857">
        <v>1</v>
      </c>
      <c r="K1857">
        <v>950089</v>
      </c>
      <c r="L1857">
        <f t="shared" si="253"/>
        <v>1.2832593692307692E-2</v>
      </c>
      <c r="M1857">
        <f t="shared" si="254"/>
        <v>5.0981130769230769E-3</v>
      </c>
      <c r="N1857">
        <f t="shared" si="255"/>
        <v>1.0506467230769232E-2</v>
      </c>
      <c r="O1857">
        <f t="shared" si="256"/>
        <v>7.8022901538461545E-3</v>
      </c>
      <c r="P1857">
        <f t="shared" si="252"/>
        <v>18.491639880052187</v>
      </c>
      <c r="R1857">
        <f t="shared" si="257"/>
        <v>-2.0038652591700297E-3</v>
      </c>
    </row>
    <row r="1858" spans="1:19" x14ac:dyDescent="0.2">
      <c r="A1858" t="s">
        <v>1869</v>
      </c>
      <c r="B1858">
        <v>5.6987197800000002</v>
      </c>
      <c r="C1858">
        <v>0.24293519999999999</v>
      </c>
      <c r="D1858">
        <v>5.8464056299999996</v>
      </c>
      <c r="E1858">
        <v>0.47410824000000001</v>
      </c>
      <c r="F1858">
        <v>3.3303330299999998</v>
      </c>
      <c r="G1858">
        <v>1.3136878400000001</v>
      </c>
      <c r="H1858">
        <v>2.6788601399999998</v>
      </c>
      <c r="I1858">
        <v>9.8609400000000003E-3</v>
      </c>
      <c r="J1858">
        <v>1</v>
      </c>
      <c r="K1858">
        <v>950089</v>
      </c>
      <c r="L1858">
        <f t="shared" si="253"/>
        <v>1.2808973192307692E-2</v>
      </c>
      <c r="M1858">
        <f t="shared" si="254"/>
        <v>5.052645538461539E-3</v>
      </c>
      <c r="N1858">
        <f t="shared" si="255"/>
        <v>1.0303308230769231E-2</v>
      </c>
      <c r="O1858">
        <f t="shared" si="256"/>
        <v>7.677976884615384E-3</v>
      </c>
      <c r="P1858">
        <f t="shared" si="252"/>
        <v>13.74732015325092</v>
      </c>
      <c r="R1858">
        <f t="shared" si="257"/>
        <v>-1.5388221213761889E-3</v>
      </c>
    </row>
    <row r="1859" spans="1:19" x14ac:dyDescent="0.2">
      <c r="A1859" t="s">
        <v>1870</v>
      </c>
      <c r="B1859">
        <v>5.6465522400000001</v>
      </c>
      <c r="C1859">
        <v>0.16675388999999999</v>
      </c>
      <c r="D1859">
        <v>5.7931773900000003</v>
      </c>
      <c r="E1859">
        <v>0.47410824000000001</v>
      </c>
      <c r="F1859">
        <v>3.3211997700000002</v>
      </c>
      <c r="G1859">
        <v>1.2991486800000001</v>
      </c>
      <c r="H1859">
        <v>2.6243690000000002</v>
      </c>
      <c r="I1859">
        <v>9.6783300000000006E-3</v>
      </c>
      <c r="J1859">
        <v>1</v>
      </c>
      <c r="K1859">
        <v>950089</v>
      </c>
      <c r="L1859">
        <f t="shared" si="253"/>
        <v>1.277384526923077E-2</v>
      </c>
      <c r="M1859">
        <f t="shared" si="254"/>
        <v>4.9967256923076925E-3</v>
      </c>
      <c r="N1859">
        <f t="shared" si="255"/>
        <v>1.0093726923076923E-2</v>
      </c>
      <c r="O1859">
        <f t="shared" si="256"/>
        <v>7.5452263076923078E-3</v>
      </c>
      <c r="P1859">
        <f t="shared" ref="P1859:P1922" si="261">+C1859*4/(PI()*0.15^2)</f>
        <v>9.436339866062994</v>
      </c>
      <c r="R1859">
        <f t="shared" si="257"/>
        <v>-1.0032983762007298E-3</v>
      </c>
    </row>
    <row r="1860" spans="1:19" x14ac:dyDescent="0.2">
      <c r="A1860" t="s">
        <v>1871</v>
      </c>
      <c r="B1860">
        <v>5.5917893000000003</v>
      </c>
      <c r="C1860">
        <v>0.10192716</v>
      </c>
      <c r="D1860">
        <v>5.7338074299999997</v>
      </c>
      <c r="E1860">
        <v>0.67165333999999999</v>
      </c>
      <c r="F1860">
        <v>3.3038780700000001</v>
      </c>
      <c r="G1860">
        <v>1.2840659999999999</v>
      </c>
      <c r="H1860">
        <v>2.57082408</v>
      </c>
      <c r="I1860">
        <v>9.6783300000000006E-3</v>
      </c>
      <c r="J1860">
        <v>1</v>
      </c>
      <c r="K1860">
        <v>950089</v>
      </c>
      <c r="L1860">
        <f t="shared" ref="L1860:L1923" si="262">+F1860/260</f>
        <v>1.2707223346153847E-2</v>
      </c>
      <c r="M1860">
        <f t="shared" ref="M1860:M1923" si="263">+G1860/260</f>
        <v>4.9387153846153845E-3</v>
      </c>
      <c r="N1860">
        <f t="shared" ref="N1860:N1923" si="264">+H1860/260</f>
        <v>9.8877849230769223E-3</v>
      </c>
      <c r="O1860">
        <f t="shared" ref="O1860:O1923" si="265">(+G1860+H1860)/520</f>
        <v>7.4132501538461534E-3</v>
      </c>
      <c r="P1860">
        <f t="shared" si="261"/>
        <v>5.7678973686465813</v>
      </c>
      <c r="R1860">
        <f t="shared" ref="R1860:R1923" si="266">+(P1860+P1861)/2*(O1861-O1860)</f>
        <v>-4.225511692026782E-4</v>
      </c>
    </row>
    <row r="1861" spans="1:19" x14ac:dyDescent="0.2">
      <c r="A1861" t="s">
        <v>1872</v>
      </c>
      <c r="B1861">
        <v>5.5492247399999997</v>
      </c>
      <c r="C1861">
        <v>5.3604180000000001E-2</v>
      </c>
      <c r="D1861">
        <v>5.6887681499999996</v>
      </c>
      <c r="E1861">
        <v>0.96797098999999998</v>
      </c>
      <c r="F1861">
        <v>3.2823046800000002</v>
      </c>
      <c r="G1861">
        <v>1.2726520800000001</v>
      </c>
      <c r="H1861">
        <v>2.5323073599999999</v>
      </c>
      <c r="I1861">
        <v>9.6783300000000006E-3</v>
      </c>
      <c r="J1861">
        <v>1</v>
      </c>
      <c r="K1861">
        <v>950089</v>
      </c>
      <c r="L1861">
        <f t="shared" si="262"/>
        <v>1.262424876923077E-2</v>
      </c>
      <c r="M1861">
        <f t="shared" si="263"/>
        <v>4.8948156923076924E-3</v>
      </c>
      <c r="N1861">
        <f t="shared" si="264"/>
        <v>9.7396436923076913E-3</v>
      </c>
      <c r="O1861">
        <f t="shared" si="265"/>
        <v>7.3172296923076927E-3</v>
      </c>
      <c r="P1861">
        <f t="shared" si="261"/>
        <v>3.0333760772934095</v>
      </c>
      <c r="R1861">
        <f t="shared" si="266"/>
        <v>-8.0402022617508161E-5</v>
      </c>
    </row>
    <row r="1862" spans="1:19" x14ac:dyDescent="0.2">
      <c r="A1862" t="s">
        <v>1873</v>
      </c>
      <c r="B1862">
        <v>5.5404003800000003</v>
      </c>
      <c r="C1862">
        <v>4.9907340000000001E-2</v>
      </c>
      <c r="D1862">
        <v>5.6805791899999996</v>
      </c>
      <c r="E1862">
        <v>1.0864980500000001</v>
      </c>
      <c r="F1862">
        <v>3.2645105700000001</v>
      </c>
      <c r="G1862">
        <v>1.2691192</v>
      </c>
      <c r="H1862">
        <v>2.52156498</v>
      </c>
      <c r="I1862">
        <v>9.8609400000000003E-3</v>
      </c>
      <c r="J1862">
        <v>1</v>
      </c>
      <c r="K1862">
        <v>950089</v>
      </c>
      <c r="L1862">
        <f t="shared" si="262"/>
        <v>1.2555809884615386E-2</v>
      </c>
      <c r="M1862">
        <f t="shared" si="263"/>
        <v>4.8812276923076922E-3</v>
      </c>
      <c r="N1862">
        <f t="shared" si="264"/>
        <v>9.6983268461538468E-3</v>
      </c>
      <c r="O1862">
        <f t="shared" si="265"/>
        <v>7.2897772692307695E-3</v>
      </c>
      <c r="P1862">
        <f t="shared" si="261"/>
        <v>2.8241777271352433</v>
      </c>
      <c r="R1862">
        <f t="shared" si="266"/>
        <v>1.7592952273921426E-4</v>
      </c>
    </row>
    <row r="1863" spans="1:19" x14ac:dyDescent="0.2">
      <c r="A1863" t="s">
        <v>1874</v>
      </c>
      <c r="B1863">
        <v>5.55856818</v>
      </c>
      <c r="C1863">
        <v>0.10681227</v>
      </c>
      <c r="D1863">
        <v>5.6995161599999999</v>
      </c>
      <c r="E1863">
        <v>1.0864980500000001</v>
      </c>
      <c r="F1863">
        <v>3.24766128</v>
      </c>
      <c r="G1863">
        <v>1.2693230200000001</v>
      </c>
      <c r="H1863">
        <v>2.5419922000000001</v>
      </c>
      <c r="I1863">
        <v>9.8609400000000003E-3</v>
      </c>
      <c r="J1863">
        <v>1</v>
      </c>
      <c r="K1863">
        <v>950089</v>
      </c>
      <c r="L1863">
        <f t="shared" si="262"/>
        <v>1.2491004923076922E-2</v>
      </c>
      <c r="M1863">
        <f t="shared" si="263"/>
        <v>4.882011615384616E-3</v>
      </c>
      <c r="N1863">
        <f t="shared" si="264"/>
        <v>9.7768930769230773E-3</v>
      </c>
      <c r="O1863">
        <f t="shared" si="265"/>
        <v>7.3294523461538462E-3</v>
      </c>
      <c r="P1863">
        <f t="shared" si="261"/>
        <v>6.0443380456413012</v>
      </c>
      <c r="R1863">
        <f t="shared" si="266"/>
        <v>7.7840726468256705E-4</v>
      </c>
    </row>
    <row r="1864" spans="1:19" x14ac:dyDescent="0.2">
      <c r="A1864" t="s">
        <v>1875</v>
      </c>
      <c r="B1864">
        <v>5.5951633200000002</v>
      </c>
      <c r="C1864">
        <v>0.18735056999999999</v>
      </c>
      <c r="D1864">
        <v>5.7399491500000002</v>
      </c>
      <c r="E1864">
        <v>1.0272345199999999</v>
      </c>
      <c r="F1864">
        <v>3.2317568099999998</v>
      </c>
      <c r="G1864">
        <v>1.2757093799999999</v>
      </c>
      <c r="H1864">
        <v>2.5842381400000001</v>
      </c>
      <c r="I1864">
        <v>9.8609400000000003E-3</v>
      </c>
      <c r="J1864">
        <v>1</v>
      </c>
      <c r="K1864">
        <v>950090</v>
      </c>
      <c r="L1864">
        <f t="shared" si="262"/>
        <v>1.2429833884615384E-2</v>
      </c>
      <c r="M1864">
        <f t="shared" si="263"/>
        <v>4.9065745384615379E-3</v>
      </c>
      <c r="N1864">
        <f t="shared" si="264"/>
        <v>9.9393774615384612E-3</v>
      </c>
      <c r="O1864">
        <f t="shared" si="265"/>
        <v>7.4229759999999995E-3</v>
      </c>
      <c r="P1864">
        <f t="shared" si="261"/>
        <v>10.601873531229922</v>
      </c>
      <c r="Q1864">
        <f t="shared" ref="Q1864" si="267">ABS(0.5*(SUMPRODUCT(O1864:O1882,P1865:P1883)+O1883*P1864-(SUMPRODUCT(O1865:O1883,P1864:P1882)+O1864*P1883)))</f>
        <v>5.1513273495344958E-3</v>
      </c>
      <c r="R1864">
        <f t="shared" si="266"/>
        <v>1.8226992120670925E-3</v>
      </c>
    </row>
    <row r="1865" spans="1:19" x14ac:dyDescent="0.2">
      <c r="A1865" t="s">
        <v>1876</v>
      </c>
      <c r="B1865">
        <v>5.6465522400000001</v>
      </c>
      <c r="C1865">
        <v>0.28201608</v>
      </c>
      <c r="D1865">
        <v>5.80699626</v>
      </c>
      <c r="E1865">
        <v>0.84944392999999996</v>
      </c>
      <c r="F1865">
        <v>3.2259304200000001</v>
      </c>
      <c r="G1865">
        <v>1.2896370800000001</v>
      </c>
      <c r="H1865">
        <v>2.6416792600000001</v>
      </c>
      <c r="I1865">
        <v>9.8609400000000003E-3</v>
      </c>
      <c r="J1865">
        <v>1</v>
      </c>
      <c r="K1865">
        <v>950090</v>
      </c>
      <c r="L1865">
        <f t="shared" si="262"/>
        <v>1.2407424692307692E-2</v>
      </c>
      <c r="M1865">
        <f t="shared" si="263"/>
        <v>4.9601426153846155E-3</v>
      </c>
      <c r="N1865">
        <f t="shared" si="264"/>
        <v>1.0160304846153847E-2</v>
      </c>
      <c r="O1865">
        <f t="shared" si="265"/>
        <v>7.5602237307692312E-3</v>
      </c>
      <c r="P1865">
        <f t="shared" si="261"/>
        <v>15.958845569208677</v>
      </c>
      <c r="R1865">
        <f t="shared" si="266"/>
        <v>2.8932332286595568E-3</v>
      </c>
    </row>
    <row r="1866" spans="1:19" x14ac:dyDescent="0.2">
      <c r="A1866" t="s">
        <v>1877</v>
      </c>
      <c r="B1866">
        <v>5.7075441400000004</v>
      </c>
      <c r="C1866">
        <v>0.39160097999999999</v>
      </c>
      <c r="D1866">
        <v>5.8663662199999997</v>
      </c>
      <c r="E1866">
        <v>0.79018040000000001</v>
      </c>
      <c r="F1866">
        <v>3.22797753</v>
      </c>
      <c r="G1866">
        <v>1.3053991599999999</v>
      </c>
      <c r="H1866">
        <v>2.70485336</v>
      </c>
      <c r="I1866">
        <v>9.4957199999999992E-3</v>
      </c>
      <c r="J1866">
        <v>1</v>
      </c>
      <c r="K1866">
        <v>950090</v>
      </c>
      <c r="L1866">
        <f t="shared" si="262"/>
        <v>1.2415298192307692E-2</v>
      </c>
      <c r="M1866">
        <f t="shared" si="263"/>
        <v>5.0207659999999994E-3</v>
      </c>
      <c r="N1866">
        <f t="shared" si="264"/>
        <v>1.0403282153846154E-2</v>
      </c>
      <c r="O1866">
        <f t="shared" si="265"/>
        <v>7.7120240769230769E-3</v>
      </c>
      <c r="P1866">
        <f t="shared" si="261"/>
        <v>22.160082377468601</v>
      </c>
      <c r="R1866">
        <f t="shared" si="266"/>
        <v>3.8389804591244764E-3</v>
      </c>
    </row>
    <row r="1867" spans="1:19" x14ac:dyDescent="0.2">
      <c r="A1867" t="s">
        <v>1878</v>
      </c>
      <c r="B1867">
        <v>5.76931466</v>
      </c>
      <c r="C1867">
        <v>0.52627157999999996</v>
      </c>
      <c r="D1867">
        <v>5.9369959999999997</v>
      </c>
      <c r="E1867">
        <v>0.67165333999999999</v>
      </c>
      <c r="F1867">
        <v>3.2322292199999998</v>
      </c>
      <c r="G1867">
        <v>1.31925892</v>
      </c>
      <c r="H1867">
        <v>2.76786048</v>
      </c>
      <c r="I1867">
        <v>9.4957199999999992E-3</v>
      </c>
      <c r="J1867">
        <v>1</v>
      </c>
      <c r="K1867">
        <v>950090</v>
      </c>
      <c r="L1867">
        <f t="shared" si="262"/>
        <v>1.2431650846153846E-2</v>
      </c>
      <c r="M1867">
        <f t="shared" si="263"/>
        <v>5.0740727692307691E-3</v>
      </c>
      <c r="N1867">
        <f t="shared" si="264"/>
        <v>1.0645617230769231E-2</v>
      </c>
      <c r="O1867">
        <f t="shared" si="265"/>
        <v>7.859844999999999E-3</v>
      </c>
      <c r="P1867">
        <f t="shared" si="261"/>
        <v>29.780879418944654</v>
      </c>
      <c r="R1867">
        <f t="shared" si="266"/>
        <v>4.4492358313538444E-3</v>
      </c>
    </row>
    <row r="1868" spans="1:19" x14ac:dyDescent="0.2">
      <c r="A1868" t="s">
        <v>1879</v>
      </c>
      <c r="B1868">
        <v>5.8295279400000002</v>
      </c>
      <c r="C1868">
        <v>0.70715267999999998</v>
      </c>
      <c r="D1868">
        <v>6.0025076799999999</v>
      </c>
      <c r="E1868">
        <v>0.53337177000000002</v>
      </c>
      <c r="F1868">
        <v>3.2432521200000002</v>
      </c>
      <c r="G1868">
        <v>1.3306728400000001</v>
      </c>
      <c r="H1868">
        <v>2.82274124</v>
      </c>
      <c r="I1868">
        <v>9.8609400000000003E-3</v>
      </c>
      <c r="J1868">
        <v>1</v>
      </c>
      <c r="K1868">
        <v>950090</v>
      </c>
      <c r="L1868">
        <f t="shared" si="262"/>
        <v>1.2474046615384616E-2</v>
      </c>
      <c r="M1868">
        <f t="shared" si="263"/>
        <v>5.1179724615384621E-3</v>
      </c>
      <c r="N1868">
        <f t="shared" si="264"/>
        <v>1.0856697076923078E-2</v>
      </c>
      <c r="O1868">
        <f t="shared" si="265"/>
        <v>7.9873347692307698E-3</v>
      </c>
      <c r="P1868">
        <f t="shared" si="261"/>
        <v>40.016655837397785</v>
      </c>
      <c r="R1868">
        <f t="shared" si="266"/>
        <v>2.77529743131215E-3</v>
      </c>
    </row>
    <row r="1869" spans="1:19" x14ac:dyDescent="0.2">
      <c r="A1869" t="s">
        <v>1880</v>
      </c>
      <c r="B1869">
        <v>5.8692375600000002</v>
      </c>
      <c r="C1869">
        <v>0.82241487000000002</v>
      </c>
      <c r="D1869">
        <v>6.0398698099999999</v>
      </c>
      <c r="E1869">
        <v>0.53337177000000002</v>
      </c>
      <c r="F1869">
        <v>3.2619910499999998</v>
      </c>
      <c r="G1869">
        <v>1.33563246</v>
      </c>
      <c r="H1869">
        <v>2.8511278400000002</v>
      </c>
      <c r="I1869">
        <v>9.8609400000000003E-3</v>
      </c>
      <c r="J1869">
        <v>1</v>
      </c>
      <c r="K1869">
        <v>950090</v>
      </c>
      <c r="L1869">
        <f t="shared" si="262"/>
        <v>1.2546119423076922E-2</v>
      </c>
      <c r="M1869">
        <f t="shared" si="263"/>
        <v>5.1370479230769235E-3</v>
      </c>
      <c r="N1869">
        <f t="shared" si="264"/>
        <v>1.0965876307692309E-2</v>
      </c>
      <c r="O1869">
        <f t="shared" si="265"/>
        <v>8.0514621153846156E-3</v>
      </c>
      <c r="P1869">
        <f t="shared" si="261"/>
        <v>46.539161540543468</v>
      </c>
      <c r="R1869">
        <f t="shared" si="266"/>
        <v>8.9035672178430488E-4</v>
      </c>
    </row>
    <row r="1870" spans="1:19" x14ac:dyDescent="0.2">
      <c r="A1870" t="s">
        <v>1881</v>
      </c>
      <c r="B1870">
        <v>5.8824740999999996</v>
      </c>
      <c r="C1870">
        <v>0.84934898999999997</v>
      </c>
      <c r="D1870">
        <v>6.0511296300000001</v>
      </c>
      <c r="E1870">
        <v>0.47410824000000001</v>
      </c>
      <c r="F1870">
        <v>3.27789552</v>
      </c>
      <c r="G1870">
        <v>1.33712714</v>
      </c>
      <c r="H1870">
        <v>2.85942118</v>
      </c>
      <c r="I1870">
        <v>9.8609400000000003E-3</v>
      </c>
      <c r="J1870">
        <v>1</v>
      </c>
      <c r="K1870">
        <v>950090</v>
      </c>
      <c r="L1870">
        <f t="shared" si="262"/>
        <v>1.2607290461538462E-2</v>
      </c>
      <c r="M1870">
        <f t="shared" si="263"/>
        <v>5.1427966923076919E-3</v>
      </c>
      <c r="N1870">
        <f t="shared" si="264"/>
        <v>1.099777376923077E-2</v>
      </c>
      <c r="O1870">
        <f t="shared" si="265"/>
        <v>8.0702852307692301E-3</v>
      </c>
      <c r="P1870">
        <f t="shared" si="261"/>
        <v>48.063320948838673</v>
      </c>
      <c r="R1870">
        <f t="shared" si="266"/>
        <v>1.9402725879283158E-4</v>
      </c>
    </row>
    <row r="1871" spans="1:19" x14ac:dyDescent="0.2">
      <c r="A1871" t="s">
        <v>1882</v>
      </c>
      <c r="B1871">
        <v>5.8832527199999998</v>
      </c>
      <c r="C1871">
        <v>0.85172552999999995</v>
      </c>
      <c r="D1871">
        <v>6.0511296300000001</v>
      </c>
      <c r="E1871">
        <v>0.35558118</v>
      </c>
      <c r="F1871">
        <v>3.2889184199999999</v>
      </c>
      <c r="G1871">
        <v>1.3373309600000001</v>
      </c>
      <c r="H1871">
        <v>2.8613136199999998</v>
      </c>
      <c r="I1871">
        <v>9.8609400000000003E-3</v>
      </c>
      <c r="J1871">
        <v>1</v>
      </c>
      <c r="K1871">
        <v>950090</v>
      </c>
      <c r="L1871">
        <f t="shared" si="262"/>
        <v>1.264968623076923E-2</v>
      </c>
      <c r="M1871">
        <f t="shared" si="263"/>
        <v>5.1435806153846157E-3</v>
      </c>
      <c r="N1871">
        <f t="shared" si="264"/>
        <v>1.1005052384615384E-2</v>
      </c>
      <c r="O1871">
        <f t="shared" si="265"/>
        <v>8.0743164999999995E-3</v>
      </c>
      <c r="P1871">
        <f t="shared" si="261"/>
        <v>48.197805602511785</v>
      </c>
      <c r="R1871">
        <f t="shared" si="266"/>
        <v>-4.2276371587604389E-5</v>
      </c>
      <c r="S1871">
        <f>ABS(SUMIFS($R:$R,$K:$K,K1871))</f>
        <v>5.1833685044810791E-3</v>
      </c>
    </row>
    <row r="1872" spans="1:19" x14ac:dyDescent="0.2">
      <c r="A1872" t="s">
        <v>1883</v>
      </c>
      <c r="B1872">
        <v>5.88013824</v>
      </c>
      <c r="C1872">
        <v>0.82241487000000002</v>
      </c>
      <c r="D1872">
        <v>6.0490823899999997</v>
      </c>
      <c r="E1872">
        <v>0.35558118</v>
      </c>
      <c r="F1872">
        <v>3.3052953</v>
      </c>
      <c r="G1872">
        <v>1.3375347799999999</v>
      </c>
      <c r="H1872">
        <v>2.8606457000000001</v>
      </c>
      <c r="I1872">
        <v>9.6783300000000006E-3</v>
      </c>
      <c r="J1872">
        <v>1</v>
      </c>
      <c r="K1872">
        <v>950090</v>
      </c>
      <c r="L1872">
        <f t="shared" si="262"/>
        <v>1.271267423076923E-2</v>
      </c>
      <c r="M1872">
        <f t="shared" si="263"/>
        <v>5.1443645384615377E-3</v>
      </c>
      <c r="N1872">
        <f t="shared" si="264"/>
        <v>1.1002483461538462E-2</v>
      </c>
      <c r="O1872">
        <f t="shared" si="265"/>
        <v>8.0734239999999992E-3</v>
      </c>
      <c r="P1872">
        <f t="shared" si="261"/>
        <v>46.539161540543468</v>
      </c>
      <c r="R1872">
        <f t="shared" si="266"/>
        <v>-9.7256203791589737E-4</v>
      </c>
    </row>
    <row r="1873" spans="1:18" x14ac:dyDescent="0.2">
      <c r="A1873" t="s">
        <v>1884</v>
      </c>
      <c r="B1873">
        <v>5.8658635400000003</v>
      </c>
      <c r="C1873">
        <v>0.70913313</v>
      </c>
      <c r="D1873">
        <v>6.0337280900000003</v>
      </c>
      <c r="E1873">
        <v>0.29631764999999999</v>
      </c>
      <c r="F1873">
        <v>3.3186802499999999</v>
      </c>
      <c r="G1873">
        <v>1.3379424200000001</v>
      </c>
      <c r="H1873">
        <v>2.8485674799999998</v>
      </c>
      <c r="I1873">
        <v>9.4957199999999992E-3</v>
      </c>
      <c r="J1873">
        <v>1</v>
      </c>
      <c r="K1873">
        <v>950090</v>
      </c>
      <c r="L1873">
        <f t="shared" si="262"/>
        <v>1.2764154807692307E-2</v>
      </c>
      <c r="M1873">
        <f t="shared" si="263"/>
        <v>5.1459323846153853E-3</v>
      </c>
      <c r="N1873">
        <f t="shared" si="264"/>
        <v>1.0956028769230769E-2</v>
      </c>
      <c r="O1873">
        <f t="shared" si="265"/>
        <v>8.0509805769230763E-3</v>
      </c>
      <c r="P1873">
        <f t="shared" si="261"/>
        <v>40.128726382125372</v>
      </c>
      <c r="R1873">
        <f t="shared" si="266"/>
        <v>-1.0896169477068107E-3</v>
      </c>
    </row>
    <row r="1874" spans="1:18" x14ac:dyDescent="0.2">
      <c r="A1874" t="s">
        <v>1885</v>
      </c>
      <c r="B1874">
        <v>5.8469171199999996</v>
      </c>
      <c r="C1874">
        <v>0.61037469</v>
      </c>
      <c r="D1874">
        <v>6.0214446500000003</v>
      </c>
      <c r="E1874">
        <v>0.29631764999999999</v>
      </c>
      <c r="F1874">
        <v>3.32545146</v>
      </c>
      <c r="G1874">
        <v>1.3377386</v>
      </c>
      <c r="H1874">
        <v>2.8335949399999998</v>
      </c>
      <c r="I1874">
        <v>9.4957199999999992E-3</v>
      </c>
      <c r="J1874">
        <v>1</v>
      </c>
      <c r="K1874">
        <v>950090</v>
      </c>
      <c r="L1874">
        <f t="shared" si="262"/>
        <v>1.2790197923076924E-2</v>
      </c>
      <c r="M1874">
        <f t="shared" si="263"/>
        <v>5.1451484615384615E-3</v>
      </c>
      <c r="N1874">
        <f t="shared" si="264"/>
        <v>1.0898442076923077E-2</v>
      </c>
      <c r="O1874">
        <f t="shared" si="265"/>
        <v>8.0217952692307696E-3</v>
      </c>
      <c r="P1874">
        <f t="shared" si="261"/>
        <v>34.540141885042935</v>
      </c>
      <c r="R1874">
        <f t="shared" si="266"/>
        <v>-1.3564950112170873E-3</v>
      </c>
    </row>
    <row r="1875" spans="1:18" x14ac:dyDescent="0.2">
      <c r="A1875" t="s">
        <v>1886</v>
      </c>
      <c r="B1875">
        <v>5.8240775999999999</v>
      </c>
      <c r="C1875">
        <v>0.51980210999999998</v>
      </c>
      <c r="D1875">
        <v>5.9917596700000004</v>
      </c>
      <c r="E1875">
        <v>0.29631764999999999</v>
      </c>
      <c r="F1875">
        <v>3.3317502600000002</v>
      </c>
      <c r="G1875">
        <v>1.3367195000000001</v>
      </c>
      <c r="H1875">
        <v>2.81255546</v>
      </c>
      <c r="I1875">
        <v>9.6783300000000006E-3</v>
      </c>
      <c r="J1875">
        <v>1</v>
      </c>
      <c r="K1875">
        <v>950090</v>
      </c>
      <c r="L1875">
        <f t="shared" si="262"/>
        <v>1.2814424076923077E-2</v>
      </c>
      <c r="M1875">
        <f t="shared" si="263"/>
        <v>5.1412288461538461E-3</v>
      </c>
      <c r="N1875">
        <f t="shared" si="264"/>
        <v>1.0817521E-2</v>
      </c>
      <c r="O1875">
        <f t="shared" si="265"/>
        <v>7.9793749230769231E-3</v>
      </c>
      <c r="P1875">
        <f t="shared" si="261"/>
        <v>29.414782306167865</v>
      </c>
      <c r="R1875">
        <f t="shared" si="266"/>
        <v>-2.0222268498036942E-3</v>
      </c>
    </row>
    <row r="1876" spans="1:18" x14ac:dyDescent="0.2">
      <c r="A1876" t="s">
        <v>1887</v>
      </c>
      <c r="B1876">
        <v>5.7905969400000004</v>
      </c>
      <c r="C1876">
        <v>0.41827103999999998</v>
      </c>
      <c r="D1876">
        <v>5.9462085800000004</v>
      </c>
      <c r="E1876">
        <v>0.29631764999999999</v>
      </c>
      <c r="F1876">
        <v>3.33694677</v>
      </c>
      <c r="G1876">
        <v>1.3327789800000001</v>
      </c>
      <c r="H1876">
        <v>2.7768774000000001</v>
      </c>
      <c r="I1876">
        <v>9.8609400000000003E-3</v>
      </c>
      <c r="J1876">
        <v>1</v>
      </c>
      <c r="K1876">
        <v>950090</v>
      </c>
      <c r="L1876">
        <f t="shared" si="262"/>
        <v>1.2834410653846154E-2</v>
      </c>
      <c r="M1876">
        <f t="shared" si="263"/>
        <v>5.1260730000000001E-3</v>
      </c>
      <c r="N1876">
        <f t="shared" si="264"/>
        <v>1.0680297692307692E-2</v>
      </c>
      <c r="O1876">
        <f t="shared" si="265"/>
        <v>7.903185346153847E-3</v>
      </c>
      <c r="P1876">
        <f t="shared" si="261"/>
        <v>23.669299046466801</v>
      </c>
      <c r="R1876">
        <f t="shared" si="266"/>
        <v>-2.1876597638570963E-3</v>
      </c>
    </row>
    <row r="1877" spans="1:18" x14ac:dyDescent="0.2">
      <c r="A1877" t="s">
        <v>1888</v>
      </c>
      <c r="B1877">
        <v>5.7464751400000003</v>
      </c>
      <c r="C1877">
        <v>0.32518988999999998</v>
      </c>
      <c r="D1877">
        <v>5.8929803400000003</v>
      </c>
      <c r="E1877">
        <v>0.29631764999999999</v>
      </c>
      <c r="F1877">
        <v>3.33694677</v>
      </c>
      <c r="G1877">
        <v>1.3248979400000001</v>
      </c>
      <c r="H1877">
        <v>2.7306796000000002</v>
      </c>
      <c r="I1877">
        <v>9.6783300000000006E-3</v>
      </c>
      <c r="J1877">
        <v>1</v>
      </c>
      <c r="K1877">
        <v>950090</v>
      </c>
      <c r="L1877">
        <f t="shared" si="262"/>
        <v>1.2834410653846154E-2</v>
      </c>
      <c r="M1877">
        <f t="shared" si="263"/>
        <v>5.0957613076923081E-3</v>
      </c>
      <c r="N1877">
        <f t="shared" si="264"/>
        <v>1.0502613846153848E-2</v>
      </c>
      <c r="O1877">
        <f t="shared" si="265"/>
        <v>7.799187576923077E-3</v>
      </c>
      <c r="P1877">
        <f t="shared" si="261"/>
        <v>18.401983444270115</v>
      </c>
      <c r="R1877">
        <f t="shared" si="266"/>
        <v>-1.9913265889504122E-3</v>
      </c>
    </row>
    <row r="1878" spans="1:18" x14ac:dyDescent="0.2">
      <c r="A1878" t="s">
        <v>1889</v>
      </c>
      <c r="B1878">
        <v>5.6956053000000004</v>
      </c>
      <c r="C1878">
        <v>0.24095475</v>
      </c>
      <c r="D1878">
        <v>5.8382166700000004</v>
      </c>
      <c r="E1878">
        <v>0.29631764999999999</v>
      </c>
      <c r="F1878">
        <v>3.3278135099999999</v>
      </c>
      <c r="G1878">
        <v>1.31307638</v>
      </c>
      <c r="H1878">
        <v>2.6778582599999998</v>
      </c>
      <c r="I1878">
        <v>9.6783300000000006E-3</v>
      </c>
      <c r="J1878">
        <v>1</v>
      </c>
      <c r="K1878">
        <v>950090</v>
      </c>
      <c r="L1878">
        <f t="shared" si="262"/>
        <v>1.279928273076923E-2</v>
      </c>
      <c r="M1878">
        <f t="shared" si="263"/>
        <v>5.0502937692307693E-3</v>
      </c>
      <c r="N1878">
        <f t="shared" si="264"/>
        <v>1.0299454846153846E-2</v>
      </c>
      <c r="O1878">
        <f t="shared" si="265"/>
        <v>7.6748743076923073E-3</v>
      </c>
      <c r="P1878">
        <f t="shared" si="261"/>
        <v>13.635249608523331</v>
      </c>
      <c r="R1878">
        <f t="shared" si="266"/>
        <v>-1.5197990117944422E-3</v>
      </c>
    </row>
    <row r="1879" spans="1:18" x14ac:dyDescent="0.2">
      <c r="A1879" t="s">
        <v>1890</v>
      </c>
      <c r="B1879">
        <v>5.6457736199999999</v>
      </c>
      <c r="C1879">
        <v>0.16596171000000001</v>
      </c>
      <c r="D1879">
        <v>5.7855002400000002</v>
      </c>
      <c r="E1879">
        <v>0.35558118</v>
      </c>
      <c r="F1879">
        <v>3.3186802499999999</v>
      </c>
      <c r="G1879">
        <v>1.2991486800000001</v>
      </c>
      <c r="H1879">
        <v>2.6231444800000001</v>
      </c>
      <c r="I1879">
        <v>9.6783300000000006E-3</v>
      </c>
      <c r="J1879">
        <v>1</v>
      </c>
      <c r="K1879">
        <v>950090</v>
      </c>
      <c r="L1879">
        <f t="shared" si="262"/>
        <v>1.2764154807692307E-2</v>
      </c>
      <c r="M1879">
        <f t="shared" si="263"/>
        <v>4.9967256923076925E-3</v>
      </c>
      <c r="N1879">
        <f t="shared" si="264"/>
        <v>1.0089017230769231E-2</v>
      </c>
      <c r="O1879">
        <f t="shared" si="265"/>
        <v>7.5428714615384616E-3</v>
      </c>
      <c r="P1879">
        <f t="shared" si="261"/>
        <v>9.39151164817196</v>
      </c>
      <c r="R1879">
        <f t="shared" si="266"/>
        <v>-9.8877834156703794E-4</v>
      </c>
    </row>
    <row r="1880" spans="1:18" x14ac:dyDescent="0.2">
      <c r="A1880" t="s">
        <v>1891</v>
      </c>
      <c r="B1880">
        <v>5.5943847</v>
      </c>
      <c r="C1880">
        <v>0.1003428</v>
      </c>
      <c r="D1880">
        <v>5.7338074299999997</v>
      </c>
      <c r="E1880">
        <v>0.79018040000000001</v>
      </c>
      <c r="F1880">
        <v>3.3034056600000001</v>
      </c>
      <c r="G1880">
        <v>1.2840659999999999</v>
      </c>
      <c r="H1880">
        <v>2.5699891799999999</v>
      </c>
      <c r="I1880">
        <v>1.004355E-2</v>
      </c>
      <c r="J1880">
        <v>1</v>
      </c>
      <c r="K1880">
        <v>950090</v>
      </c>
      <c r="L1880">
        <f t="shared" si="262"/>
        <v>1.2705406384615385E-2</v>
      </c>
      <c r="M1880">
        <f t="shared" si="263"/>
        <v>4.9387153846153845E-3</v>
      </c>
      <c r="N1880">
        <f t="shared" si="264"/>
        <v>9.8845737692307683E-3</v>
      </c>
      <c r="O1880">
        <f t="shared" si="265"/>
        <v>7.4116445769230764E-3</v>
      </c>
      <c r="P1880">
        <f t="shared" si="261"/>
        <v>5.6782409328645098</v>
      </c>
      <c r="R1880">
        <f t="shared" si="266"/>
        <v>-4.1024737341343118E-4</v>
      </c>
    </row>
    <row r="1881" spans="1:18" x14ac:dyDescent="0.2">
      <c r="A1881" t="s">
        <v>1892</v>
      </c>
      <c r="B1881">
        <v>5.55078198</v>
      </c>
      <c r="C1881">
        <v>5.4396359999999998E-2</v>
      </c>
      <c r="D1881">
        <v>5.69490987</v>
      </c>
      <c r="E1881">
        <v>1.0864980500000001</v>
      </c>
      <c r="F1881">
        <v>3.2816747999999998</v>
      </c>
      <c r="G1881">
        <v>1.2728558999999999</v>
      </c>
      <c r="H1881">
        <v>2.5324743399999998</v>
      </c>
      <c r="I1881">
        <v>9.8609400000000003E-3</v>
      </c>
      <c r="J1881">
        <v>1</v>
      </c>
      <c r="K1881">
        <v>950090</v>
      </c>
      <c r="L1881">
        <f t="shared" si="262"/>
        <v>1.2621826153846154E-2</v>
      </c>
      <c r="M1881">
        <f t="shared" si="263"/>
        <v>4.8955996153846153E-3</v>
      </c>
      <c r="N1881">
        <f t="shared" si="264"/>
        <v>9.7402859230769218E-3</v>
      </c>
      <c r="O1881">
        <f t="shared" si="265"/>
        <v>7.3179427692307694E-3</v>
      </c>
      <c r="P1881">
        <f t="shared" si="261"/>
        <v>3.0782042951844448</v>
      </c>
      <c r="R1881">
        <f t="shared" si="266"/>
        <v>-8.4805249319502149E-5</v>
      </c>
    </row>
    <row r="1882" spans="1:18" x14ac:dyDescent="0.2">
      <c r="A1882" t="s">
        <v>1893</v>
      </c>
      <c r="B1882">
        <v>5.5404003800000003</v>
      </c>
      <c r="C1882">
        <v>5.2019820000000001E-2</v>
      </c>
      <c r="D1882">
        <v>5.6805791899999996</v>
      </c>
      <c r="E1882">
        <v>1.20502511</v>
      </c>
      <c r="F1882">
        <v>3.2619910499999998</v>
      </c>
      <c r="G1882">
        <v>1.2691192</v>
      </c>
      <c r="H1882">
        <v>2.52156498</v>
      </c>
      <c r="I1882">
        <v>9.8609400000000003E-3</v>
      </c>
      <c r="J1882">
        <v>1</v>
      </c>
      <c r="K1882">
        <v>950090</v>
      </c>
      <c r="L1882">
        <f t="shared" si="262"/>
        <v>1.2546119423076922E-2</v>
      </c>
      <c r="M1882">
        <f t="shared" si="263"/>
        <v>4.8812276923076922E-3</v>
      </c>
      <c r="N1882">
        <f t="shared" si="264"/>
        <v>9.6983268461538468E-3</v>
      </c>
      <c r="O1882">
        <f t="shared" si="265"/>
        <v>7.2897772692307695E-3</v>
      </c>
      <c r="P1882">
        <f t="shared" si="261"/>
        <v>2.9437196415113385</v>
      </c>
      <c r="R1882">
        <f t="shared" si="266"/>
        <v>1.8231186080630549E-4</v>
      </c>
    </row>
    <row r="1883" spans="1:18" x14ac:dyDescent="0.2">
      <c r="A1883" t="s">
        <v>1894</v>
      </c>
      <c r="B1883">
        <v>5.55856818</v>
      </c>
      <c r="C1883">
        <v>0.10681227</v>
      </c>
      <c r="D1883">
        <v>5.7056578800000004</v>
      </c>
      <c r="E1883">
        <v>1.20502511</v>
      </c>
      <c r="F1883">
        <v>3.24624405</v>
      </c>
      <c r="G1883">
        <v>1.2691192</v>
      </c>
      <c r="H1883">
        <v>2.5426601199999999</v>
      </c>
      <c r="I1883">
        <v>9.8609400000000003E-3</v>
      </c>
      <c r="J1883">
        <v>1</v>
      </c>
      <c r="K1883">
        <v>950090</v>
      </c>
      <c r="L1883">
        <f t="shared" si="262"/>
        <v>1.2485554038461539E-2</v>
      </c>
      <c r="M1883">
        <f t="shared" si="263"/>
        <v>4.8812276923076922E-3</v>
      </c>
      <c r="N1883">
        <f t="shared" si="264"/>
        <v>9.7794619999999992E-3</v>
      </c>
      <c r="O1883">
        <f t="shared" si="265"/>
        <v>7.3303448461538457E-3</v>
      </c>
      <c r="P1883">
        <f t="shared" si="261"/>
        <v>6.0443380456413012</v>
      </c>
      <c r="R1883">
        <f t="shared" si="266"/>
        <v>8.030200477135331E-4</v>
      </c>
    </row>
    <row r="1884" spans="1:18" x14ac:dyDescent="0.2">
      <c r="A1884" t="s">
        <v>1895</v>
      </c>
      <c r="B1884">
        <v>5.5974991799999998</v>
      </c>
      <c r="C1884">
        <v>0.18814275</v>
      </c>
      <c r="D1884">
        <v>5.7460908699999997</v>
      </c>
      <c r="E1884">
        <v>1.1457615800000001</v>
      </c>
      <c r="F1884">
        <v>3.2327016300000002</v>
      </c>
      <c r="G1884">
        <v>1.2761849599999999</v>
      </c>
      <c r="H1884">
        <v>2.5856296400000001</v>
      </c>
      <c r="I1884">
        <v>9.8609400000000003E-3</v>
      </c>
      <c r="J1884">
        <v>1</v>
      </c>
      <c r="K1884">
        <v>950091</v>
      </c>
      <c r="L1884">
        <f t="shared" si="262"/>
        <v>1.2433467807692309E-2</v>
      </c>
      <c r="M1884">
        <f t="shared" si="263"/>
        <v>4.9084036923076916E-3</v>
      </c>
      <c r="N1884">
        <f t="shared" si="264"/>
        <v>9.9447293846153841E-3</v>
      </c>
      <c r="O1884">
        <f t="shared" si="265"/>
        <v>7.4265665384615383E-3</v>
      </c>
      <c r="P1884">
        <f t="shared" si="261"/>
        <v>10.646701749120957</v>
      </c>
      <c r="Q1884">
        <f t="shared" ref="Q1884" si="268">ABS(0.5*(SUMPRODUCT(O1884:O1902,P1885:P1903)+O1903*P1884-(SUMPRODUCT(O1885:O1903,P1884:P1902)+O1884*P1903)))</f>
        <v>5.1595302267604115E-3</v>
      </c>
      <c r="R1884">
        <f t="shared" si="266"/>
        <v>1.8079909578271212E-3</v>
      </c>
    </row>
    <row r="1885" spans="1:18" x14ac:dyDescent="0.2">
      <c r="A1885" t="s">
        <v>1896</v>
      </c>
      <c r="B1885">
        <v>5.6473308600000003</v>
      </c>
      <c r="C1885">
        <v>0.28241217000000002</v>
      </c>
      <c r="D1885">
        <v>5.8023899700000001</v>
      </c>
      <c r="E1885">
        <v>0.84944392999999996</v>
      </c>
      <c r="F1885">
        <v>3.2249856000000001</v>
      </c>
      <c r="G1885">
        <v>1.2902485400000001</v>
      </c>
      <c r="H1885">
        <v>2.6421801999999999</v>
      </c>
      <c r="I1885">
        <v>9.4957199999999992E-3</v>
      </c>
      <c r="J1885">
        <v>1</v>
      </c>
      <c r="K1885">
        <v>950091</v>
      </c>
      <c r="L1885">
        <f t="shared" si="262"/>
        <v>1.2403790769230769E-2</v>
      </c>
      <c r="M1885">
        <f t="shared" si="263"/>
        <v>4.9624943846153851E-3</v>
      </c>
      <c r="N1885">
        <f t="shared" si="264"/>
        <v>1.0162231538461538E-2</v>
      </c>
      <c r="O1885">
        <f t="shared" si="265"/>
        <v>7.5623629615384613E-3</v>
      </c>
      <c r="P1885">
        <f t="shared" si="261"/>
        <v>15.981259678154196</v>
      </c>
      <c r="R1885">
        <f t="shared" si="266"/>
        <v>2.8663856688792609E-3</v>
      </c>
    </row>
    <row r="1886" spans="1:18" x14ac:dyDescent="0.2">
      <c r="A1886" t="s">
        <v>1897</v>
      </c>
      <c r="B1886">
        <v>5.7083227599999997</v>
      </c>
      <c r="C1886">
        <v>0.39160097999999999</v>
      </c>
      <c r="D1886">
        <v>5.8714843200000004</v>
      </c>
      <c r="E1886">
        <v>0.53337177000000002</v>
      </c>
      <c r="F1886">
        <v>3.22703271</v>
      </c>
      <c r="G1886">
        <v>1.3053991599999999</v>
      </c>
      <c r="H1886">
        <v>2.7051873199999998</v>
      </c>
      <c r="I1886">
        <v>9.6783300000000006E-3</v>
      </c>
      <c r="J1886">
        <v>1</v>
      </c>
      <c r="K1886">
        <v>950091</v>
      </c>
      <c r="L1886">
        <f t="shared" si="262"/>
        <v>1.2411664269230769E-2</v>
      </c>
      <c r="M1886">
        <f t="shared" si="263"/>
        <v>5.0207659999999994E-3</v>
      </c>
      <c r="N1886">
        <f t="shared" si="264"/>
        <v>1.0404566615384615E-2</v>
      </c>
      <c r="O1886">
        <f t="shared" si="265"/>
        <v>7.7126663076923074E-3</v>
      </c>
      <c r="P1886">
        <f t="shared" si="261"/>
        <v>22.160082377468601</v>
      </c>
      <c r="R1886">
        <f t="shared" si="266"/>
        <v>3.8082835448147142E-3</v>
      </c>
    </row>
    <row r="1887" spans="1:18" x14ac:dyDescent="0.2">
      <c r="A1887" t="s">
        <v>1898</v>
      </c>
      <c r="B1887">
        <v>5.7708719000000004</v>
      </c>
      <c r="C1887">
        <v>0.52534736999999998</v>
      </c>
      <c r="D1887">
        <v>5.9369959999999997</v>
      </c>
      <c r="E1887">
        <v>0.35558118</v>
      </c>
      <c r="F1887">
        <v>3.2350636800000001</v>
      </c>
      <c r="G1887">
        <v>1.3190550999999999</v>
      </c>
      <c r="H1887">
        <v>2.76786048</v>
      </c>
      <c r="I1887">
        <v>9.8609400000000003E-3</v>
      </c>
      <c r="J1887">
        <v>1</v>
      </c>
      <c r="K1887">
        <v>950091</v>
      </c>
      <c r="L1887">
        <f t="shared" si="262"/>
        <v>1.2442552615384616E-2</v>
      </c>
      <c r="M1887">
        <f t="shared" si="263"/>
        <v>5.0732888461538462E-3</v>
      </c>
      <c r="N1887">
        <f t="shared" si="264"/>
        <v>1.0645617230769231E-2</v>
      </c>
      <c r="O1887">
        <f t="shared" si="265"/>
        <v>7.8594530384615367E-3</v>
      </c>
      <c r="P1887">
        <f t="shared" si="261"/>
        <v>29.728579831405114</v>
      </c>
      <c r="R1887">
        <f t="shared" si="266"/>
        <v>4.4625543391427569E-3</v>
      </c>
    </row>
    <row r="1888" spans="1:18" x14ac:dyDescent="0.2">
      <c r="A1888" t="s">
        <v>1899</v>
      </c>
      <c r="B1888">
        <v>5.8318637999999998</v>
      </c>
      <c r="C1888">
        <v>0.70556832000000003</v>
      </c>
      <c r="D1888">
        <v>6.0055785400000001</v>
      </c>
      <c r="E1888">
        <v>0.29631764999999999</v>
      </c>
      <c r="F1888">
        <v>3.2437245300000002</v>
      </c>
      <c r="G1888">
        <v>1.33046902</v>
      </c>
      <c r="H1888">
        <v>2.8230751999999999</v>
      </c>
      <c r="I1888">
        <v>9.8609400000000003E-3</v>
      </c>
      <c r="J1888">
        <v>1</v>
      </c>
      <c r="K1888">
        <v>950091</v>
      </c>
      <c r="L1888">
        <f t="shared" si="262"/>
        <v>1.2475863576923077E-2</v>
      </c>
      <c r="M1888">
        <f t="shared" si="263"/>
        <v>5.1171885384615383E-3</v>
      </c>
      <c r="N1888">
        <f t="shared" si="264"/>
        <v>1.0857981538461538E-2</v>
      </c>
      <c r="O1888">
        <f t="shared" si="265"/>
        <v>7.9875850384615379E-3</v>
      </c>
      <c r="P1888">
        <f t="shared" si="261"/>
        <v>39.926999401615717</v>
      </c>
      <c r="R1888">
        <f t="shared" si="266"/>
        <v>2.7673297979178579E-3</v>
      </c>
    </row>
    <row r="1889" spans="1:19" x14ac:dyDescent="0.2">
      <c r="A1889" t="s">
        <v>1900</v>
      </c>
      <c r="B1889">
        <v>5.87235204</v>
      </c>
      <c r="C1889">
        <v>0.82558359000000003</v>
      </c>
      <c r="D1889">
        <v>6.0429406700000001</v>
      </c>
      <c r="E1889">
        <v>0.29631764999999999</v>
      </c>
      <c r="F1889">
        <v>3.2596289999999999</v>
      </c>
      <c r="G1889">
        <v>1.33563246</v>
      </c>
      <c r="H1889">
        <v>2.8511278400000002</v>
      </c>
      <c r="I1889">
        <v>9.8609400000000003E-3</v>
      </c>
      <c r="J1889">
        <v>1</v>
      </c>
      <c r="K1889">
        <v>950091</v>
      </c>
      <c r="L1889">
        <f t="shared" si="262"/>
        <v>1.2537034615384616E-2</v>
      </c>
      <c r="M1889">
        <f t="shared" si="263"/>
        <v>5.1370479230769235E-3</v>
      </c>
      <c r="N1889">
        <f t="shared" si="264"/>
        <v>1.0965876307692309E-2</v>
      </c>
      <c r="O1889">
        <f t="shared" si="265"/>
        <v>8.0514621153846156E-3</v>
      </c>
      <c r="P1889">
        <f t="shared" si="261"/>
        <v>46.718474412107611</v>
      </c>
      <c r="R1889">
        <f t="shared" si="266"/>
        <v>9.0589987902464273E-4</v>
      </c>
    </row>
    <row r="1890" spans="1:19" x14ac:dyDescent="0.2">
      <c r="A1890" t="s">
        <v>1901</v>
      </c>
      <c r="B1890">
        <v>5.8824740999999996</v>
      </c>
      <c r="C1890">
        <v>0.85304583</v>
      </c>
      <c r="D1890">
        <v>6.0526650599999998</v>
      </c>
      <c r="E1890">
        <v>0.29631764999999999</v>
      </c>
      <c r="F1890">
        <v>3.27742311</v>
      </c>
      <c r="G1890">
        <v>1.3369233199999999</v>
      </c>
      <c r="H1890">
        <v>2.8597551399999999</v>
      </c>
      <c r="I1890">
        <v>9.8609400000000003E-3</v>
      </c>
      <c r="J1890">
        <v>1</v>
      </c>
      <c r="K1890">
        <v>950091</v>
      </c>
      <c r="L1890">
        <f t="shared" si="262"/>
        <v>1.26054735E-2</v>
      </c>
      <c r="M1890">
        <f t="shared" si="263"/>
        <v>5.142012769230769E-3</v>
      </c>
      <c r="N1890">
        <f t="shared" si="264"/>
        <v>1.0999058230769231E-2</v>
      </c>
      <c r="O1890">
        <f t="shared" si="265"/>
        <v>8.0705354999999982E-3</v>
      </c>
      <c r="P1890">
        <f t="shared" si="261"/>
        <v>48.272519298996841</v>
      </c>
      <c r="R1890">
        <f t="shared" si="266"/>
        <v>2.7578055275033996E-4</v>
      </c>
    </row>
    <row r="1891" spans="1:19" x14ac:dyDescent="0.2">
      <c r="A1891" t="s">
        <v>1902</v>
      </c>
      <c r="B1891">
        <v>5.8850695000000002</v>
      </c>
      <c r="C1891">
        <v>0.85463018999999996</v>
      </c>
      <c r="D1891">
        <v>6.0526650599999998</v>
      </c>
      <c r="E1891">
        <v>0.29631764999999999</v>
      </c>
      <c r="F1891">
        <v>3.2928551700000002</v>
      </c>
      <c r="G1891">
        <v>1.3373309600000001</v>
      </c>
      <c r="H1891">
        <v>2.8623154999999998</v>
      </c>
      <c r="I1891">
        <v>9.8609400000000003E-3</v>
      </c>
      <c r="J1891">
        <v>1</v>
      </c>
      <c r="K1891">
        <v>950091</v>
      </c>
      <c r="L1891">
        <f t="shared" si="262"/>
        <v>1.2664827576923077E-2</v>
      </c>
      <c r="M1891">
        <f t="shared" si="263"/>
        <v>5.1435806153846157E-3</v>
      </c>
      <c r="N1891">
        <f t="shared" si="264"/>
        <v>1.1008905769230769E-2</v>
      </c>
      <c r="O1891">
        <f t="shared" si="265"/>
        <v>8.0762431923076927E-3</v>
      </c>
      <c r="P1891">
        <f t="shared" si="261"/>
        <v>48.362175734778916</v>
      </c>
      <c r="R1891">
        <f t="shared" si="266"/>
        <v>-3.9024857666364955E-5</v>
      </c>
    </row>
    <row r="1892" spans="1:19" x14ac:dyDescent="0.2">
      <c r="A1892" t="s">
        <v>1903</v>
      </c>
      <c r="B1892">
        <v>5.8793596199999998</v>
      </c>
      <c r="C1892">
        <v>0.82399922999999997</v>
      </c>
      <c r="D1892">
        <v>6.0511296300000001</v>
      </c>
      <c r="E1892">
        <v>0.29631764999999999</v>
      </c>
      <c r="F1892">
        <v>3.3043504800000001</v>
      </c>
      <c r="G1892">
        <v>1.3377386</v>
      </c>
      <c r="H1892">
        <v>2.8614806000000002</v>
      </c>
      <c r="I1892">
        <v>9.8609400000000003E-3</v>
      </c>
      <c r="J1892">
        <v>1</v>
      </c>
      <c r="K1892">
        <v>950091</v>
      </c>
      <c r="L1892">
        <f t="shared" si="262"/>
        <v>1.2709040307692309E-2</v>
      </c>
      <c r="M1892">
        <f t="shared" si="263"/>
        <v>5.1451484615384615E-3</v>
      </c>
      <c r="N1892">
        <f t="shared" si="264"/>
        <v>1.1005694615384616E-2</v>
      </c>
      <c r="O1892">
        <f t="shared" si="265"/>
        <v>8.0754215384615385E-3</v>
      </c>
      <c r="P1892">
        <f t="shared" si="261"/>
        <v>46.628817976325536</v>
      </c>
      <c r="R1892">
        <f t="shared" si="266"/>
        <v>-1.0897417904143318E-3</v>
      </c>
      <c r="S1892">
        <f>ABS(SUMIFS($R:$R,$K:$K,K1892))</f>
        <v>5.1420926178249015E-3</v>
      </c>
    </row>
    <row r="1893" spans="1:19" x14ac:dyDescent="0.2">
      <c r="A1893" t="s">
        <v>1904</v>
      </c>
      <c r="B1893">
        <v>5.8619704400000003</v>
      </c>
      <c r="C1893">
        <v>0.70715267999999998</v>
      </c>
      <c r="D1893">
        <v>6.03526352</v>
      </c>
      <c r="E1893">
        <v>0.29631764999999999</v>
      </c>
      <c r="F1893">
        <v>3.3186802499999999</v>
      </c>
      <c r="G1893">
        <v>1.3377386</v>
      </c>
      <c r="H1893">
        <v>2.8484004999999999</v>
      </c>
      <c r="I1893">
        <v>1.022616E-2</v>
      </c>
      <c r="J1893">
        <v>1</v>
      </c>
      <c r="K1893">
        <v>950091</v>
      </c>
      <c r="L1893">
        <f t="shared" si="262"/>
        <v>1.2764154807692307E-2</v>
      </c>
      <c r="M1893">
        <f t="shared" si="263"/>
        <v>5.1451484615384615E-3</v>
      </c>
      <c r="N1893">
        <f t="shared" si="264"/>
        <v>1.0955386538461538E-2</v>
      </c>
      <c r="O1893">
        <f t="shared" si="265"/>
        <v>8.0502674999999996E-3</v>
      </c>
      <c r="P1893">
        <f t="shared" si="261"/>
        <v>40.016655837397785</v>
      </c>
      <c r="R1893">
        <f t="shared" si="266"/>
        <v>-1.0368354513651072E-3</v>
      </c>
    </row>
    <row r="1894" spans="1:19" x14ac:dyDescent="0.2">
      <c r="A1894" t="s">
        <v>1905</v>
      </c>
      <c r="B1894">
        <v>5.8438026399999998</v>
      </c>
      <c r="C1894">
        <v>0.61129889999999998</v>
      </c>
      <c r="D1894">
        <v>6.0132556900000003</v>
      </c>
      <c r="E1894">
        <v>0.29631764999999999</v>
      </c>
      <c r="F1894">
        <v>3.3293882099999998</v>
      </c>
      <c r="G1894">
        <v>1.3375347799999999</v>
      </c>
      <c r="H1894">
        <v>2.8341515400000001</v>
      </c>
      <c r="I1894">
        <v>9.8609400000000003E-3</v>
      </c>
      <c r="J1894">
        <v>1</v>
      </c>
      <c r="K1894">
        <v>950091</v>
      </c>
      <c r="L1894">
        <f t="shared" si="262"/>
        <v>1.2805339269230769E-2</v>
      </c>
      <c r="M1894">
        <f t="shared" si="263"/>
        <v>5.1443645384615377E-3</v>
      </c>
      <c r="N1894">
        <f t="shared" si="264"/>
        <v>1.0900582846153847E-2</v>
      </c>
      <c r="O1894">
        <f t="shared" si="265"/>
        <v>8.0224736923076925E-3</v>
      </c>
      <c r="P1894">
        <f t="shared" si="261"/>
        <v>34.592441472582479</v>
      </c>
      <c r="R1894">
        <f t="shared" si="266"/>
        <v>-1.326128912344782E-3</v>
      </c>
    </row>
    <row r="1895" spans="1:19" x14ac:dyDescent="0.2">
      <c r="A1895" t="s">
        <v>1906</v>
      </c>
      <c r="B1895">
        <v>5.8240775999999999</v>
      </c>
      <c r="C1895">
        <v>0.52019820000000005</v>
      </c>
      <c r="D1895">
        <v>5.9917596700000004</v>
      </c>
      <c r="E1895">
        <v>0.29631764999999999</v>
      </c>
      <c r="F1895">
        <v>3.3345847200000001</v>
      </c>
      <c r="G1895">
        <v>1.3369233199999999</v>
      </c>
      <c r="H1895">
        <v>2.8132233800000002</v>
      </c>
      <c r="I1895">
        <v>9.8609400000000003E-3</v>
      </c>
      <c r="J1895">
        <v>1</v>
      </c>
      <c r="K1895">
        <v>950091</v>
      </c>
      <c r="L1895">
        <f t="shared" si="262"/>
        <v>1.2825325846153847E-2</v>
      </c>
      <c r="M1895">
        <f t="shared" si="263"/>
        <v>5.142012769230769E-3</v>
      </c>
      <c r="N1895">
        <f t="shared" si="264"/>
        <v>1.0820089923076924E-2</v>
      </c>
      <c r="O1895">
        <f t="shared" si="265"/>
        <v>7.9810513461538463E-3</v>
      </c>
      <c r="P1895">
        <f t="shared" si="261"/>
        <v>29.437196415113387</v>
      </c>
      <c r="R1895">
        <f t="shared" si="266"/>
        <v>-1.9904475765640437E-3</v>
      </c>
    </row>
    <row r="1896" spans="1:19" x14ac:dyDescent="0.2">
      <c r="A1896" t="s">
        <v>1907</v>
      </c>
      <c r="B1896">
        <v>5.7913755599999996</v>
      </c>
      <c r="C1896">
        <v>0.41985539999999999</v>
      </c>
      <c r="D1896">
        <v>5.9462085800000004</v>
      </c>
      <c r="E1896">
        <v>0.29631764999999999</v>
      </c>
      <c r="F1896">
        <v>3.33694677</v>
      </c>
      <c r="G1896">
        <v>1.33318662</v>
      </c>
      <c r="H1896">
        <v>2.77804626</v>
      </c>
      <c r="I1896">
        <v>1.004355E-2</v>
      </c>
      <c r="J1896">
        <v>1</v>
      </c>
      <c r="K1896">
        <v>950091</v>
      </c>
      <c r="L1896">
        <f t="shared" si="262"/>
        <v>1.2834410653846154E-2</v>
      </c>
      <c r="M1896">
        <f t="shared" si="263"/>
        <v>5.1276408461538459E-3</v>
      </c>
      <c r="N1896">
        <f t="shared" si="264"/>
        <v>1.0684793307692307E-2</v>
      </c>
      <c r="O1896">
        <f t="shared" si="265"/>
        <v>7.9062170769230774E-3</v>
      </c>
      <c r="P1896">
        <f t="shared" si="261"/>
        <v>23.758955482248872</v>
      </c>
      <c r="R1896">
        <f t="shared" si="266"/>
        <v>-2.2114532827574103E-3</v>
      </c>
    </row>
    <row r="1897" spans="1:19" x14ac:dyDescent="0.2">
      <c r="A1897" t="s">
        <v>1908</v>
      </c>
      <c r="B1897">
        <v>5.74543698</v>
      </c>
      <c r="C1897">
        <v>0.32479380000000002</v>
      </c>
      <c r="D1897">
        <v>5.8945157699999999</v>
      </c>
      <c r="E1897">
        <v>0.29631764999999999</v>
      </c>
      <c r="F1897">
        <v>3.3389938799999999</v>
      </c>
      <c r="G1897">
        <v>1.32530558</v>
      </c>
      <c r="H1897">
        <v>2.7313475199999999</v>
      </c>
      <c r="I1897">
        <v>1.004355E-2</v>
      </c>
      <c r="J1897">
        <v>1</v>
      </c>
      <c r="K1897">
        <v>950091</v>
      </c>
      <c r="L1897">
        <f t="shared" si="262"/>
        <v>1.2842284153846154E-2</v>
      </c>
      <c r="M1897">
        <f t="shared" si="263"/>
        <v>5.097329153846154E-3</v>
      </c>
      <c r="N1897">
        <f t="shared" si="264"/>
        <v>1.0505182769230769E-2</v>
      </c>
      <c r="O1897">
        <f t="shared" si="265"/>
        <v>7.8012559615384617E-3</v>
      </c>
      <c r="P1897">
        <f t="shared" si="261"/>
        <v>18.3795693353246</v>
      </c>
      <c r="R1897">
        <f t="shared" si="266"/>
        <v>-2.011568997466438E-3</v>
      </c>
    </row>
    <row r="1898" spans="1:19" x14ac:dyDescent="0.2">
      <c r="A1898" t="s">
        <v>1909</v>
      </c>
      <c r="B1898">
        <v>5.6948266800000003</v>
      </c>
      <c r="C1898">
        <v>0.24174693</v>
      </c>
      <c r="D1898">
        <v>5.8417993399999997</v>
      </c>
      <c r="E1898">
        <v>0.29631764999999999</v>
      </c>
      <c r="F1898">
        <v>3.3312778500000002</v>
      </c>
      <c r="G1898">
        <v>1.31287256</v>
      </c>
      <c r="H1898">
        <v>2.67852618</v>
      </c>
      <c r="I1898">
        <v>1.004355E-2</v>
      </c>
      <c r="J1898">
        <v>1</v>
      </c>
      <c r="K1898">
        <v>950091</v>
      </c>
      <c r="L1898">
        <f t="shared" si="262"/>
        <v>1.2812607115384617E-2</v>
      </c>
      <c r="M1898">
        <f t="shared" si="263"/>
        <v>5.0495098461538464E-3</v>
      </c>
      <c r="N1898">
        <f t="shared" si="264"/>
        <v>1.030202376923077E-2</v>
      </c>
      <c r="O1898">
        <f t="shared" si="265"/>
        <v>7.6757668076923077E-3</v>
      </c>
      <c r="P1898">
        <f t="shared" si="261"/>
        <v>13.680077826414367</v>
      </c>
      <c r="R1898">
        <f t="shared" si="266"/>
        <v>-1.5246372490802973E-3</v>
      </c>
    </row>
    <row r="1899" spans="1:19" x14ac:dyDescent="0.2">
      <c r="A1899" t="s">
        <v>1910</v>
      </c>
      <c r="B1899">
        <v>5.6465522400000001</v>
      </c>
      <c r="C1899">
        <v>0.1663578</v>
      </c>
      <c r="D1899">
        <v>5.7885711000000004</v>
      </c>
      <c r="E1899">
        <v>0.29631764999999999</v>
      </c>
      <c r="F1899">
        <v>3.31726302</v>
      </c>
      <c r="G1899">
        <v>1.29853722</v>
      </c>
      <c r="H1899">
        <v>2.6242020199999998</v>
      </c>
      <c r="I1899">
        <v>9.8609400000000003E-3</v>
      </c>
      <c r="J1899">
        <v>1</v>
      </c>
      <c r="K1899">
        <v>950091</v>
      </c>
      <c r="L1899">
        <f t="shared" si="262"/>
        <v>1.2758703923076924E-2</v>
      </c>
      <c r="M1899">
        <f t="shared" si="263"/>
        <v>4.9943739230769229E-3</v>
      </c>
      <c r="N1899">
        <f t="shared" si="264"/>
        <v>1.0093084692307691E-2</v>
      </c>
      <c r="O1899">
        <f t="shared" si="265"/>
        <v>7.5437293076923073E-3</v>
      </c>
      <c r="P1899">
        <f t="shared" si="261"/>
        <v>9.413925757117477</v>
      </c>
      <c r="R1899">
        <f t="shared" si="266"/>
        <v>-9.9393120684958497E-4</v>
      </c>
    </row>
    <row r="1900" spans="1:19" x14ac:dyDescent="0.2">
      <c r="A1900" t="s">
        <v>1911</v>
      </c>
      <c r="B1900">
        <v>5.5943847</v>
      </c>
      <c r="C1900">
        <v>0.1003428</v>
      </c>
      <c r="D1900">
        <v>5.7353428600000003</v>
      </c>
      <c r="E1900">
        <v>0.67165333999999999</v>
      </c>
      <c r="F1900">
        <v>3.3029332500000002</v>
      </c>
      <c r="G1900">
        <v>1.2835904199999999</v>
      </c>
      <c r="H1900">
        <v>2.5706571</v>
      </c>
      <c r="I1900">
        <v>9.8609400000000003E-3</v>
      </c>
      <c r="J1900">
        <v>1</v>
      </c>
      <c r="K1900">
        <v>950091</v>
      </c>
      <c r="L1900">
        <f t="shared" si="262"/>
        <v>1.2703589423076924E-2</v>
      </c>
      <c r="M1900">
        <f t="shared" si="263"/>
        <v>4.9368862307692307E-3</v>
      </c>
      <c r="N1900">
        <f t="shared" si="264"/>
        <v>9.8871426923076919E-3</v>
      </c>
      <c r="O1900">
        <f t="shared" si="265"/>
        <v>7.4120144615384617E-3</v>
      </c>
      <c r="P1900">
        <f t="shared" si="261"/>
        <v>5.6782409328645098</v>
      </c>
      <c r="R1900">
        <f t="shared" si="266"/>
        <v>-4.153288779203173E-4</v>
      </c>
    </row>
    <row r="1901" spans="1:19" x14ac:dyDescent="0.2">
      <c r="A1901" t="s">
        <v>1912</v>
      </c>
      <c r="B1901">
        <v>5.5515606000000002</v>
      </c>
      <c r="C1901">
        <v>5.4000270000000003E-2</v>
      </c>
      <c r="D1901">
        <v>5.69490987</v>
      </c>
      <c r="E1901">
        <v>1.0864980500000001</v>
      </c>
      <c r="F1901">
        <v>3.2851391400000001</v>
      </c>
      <c r="G1901">
        <v>1.2726520800000001</v>
      </c>
      <c r="H1901">
        <v>2.53214038</v>
      </c>
      <c r="I1901">
        <v>9.8609400000000003E-3</v>
      </c>
      <c r="J1901">
        <v>1</v>
      </c>
      <c r="K1901">
        <v>950091</v>
      </c>
      <c r="L1901">
        <f t="shared" si="262"/>
        <v>1.2635150538461539E-2</v>
      </c>
      <c r="M1901">
        <f t="shared" si="263"/>
        <v>4.8948156923076924E-3</v>
      </c>
      <c r="N1901">
        <f t="shared" si="264"/>
        <v>9.7390014615384608E-3</v>
      </c>
      <c r="O1901">
        <f t="shared" si="265"/>
        <v>7.3169085769230766E-3</v>
      </c>
      <c r="P1901">
        <f t="shared" si="261"/>
        <v>3.0557901862389274</v>
      </c>
      <c r="R1901">
        <f t="shared" si="266"/>
        <v>-7.807242901483888E-5</v>
      </c>
    </row>
    <row r="1902" spans="1:19" x14ac:dyDescent="0.2">
      <c r="A1902" t="s">
        <v>1913</v>
      </c>
      <c r="B1902">
        <v>5.5404003800000003</v>
      </c>
      <c r="C1902">
        <v>5.2019820000000001E-2</v>
      </c>
      <c r="D1902">
        <v>5.6790437599999999</v>
      </c>
      <c r="E1902">
        <v>1.0864980500000001</v>
      </c>
      <c r="F1902">
        <v>3.2629358700000002</v>
      </c>
      <c r="G1902">
        <v>1.2695268399999999</v>
      </c>
      <c r="H1902">
        <v>2.5217319599999999</v>
      </c>
      <c r="I1902">
        <v>9.8609400000000003E-3</v>
      </c>
      <c r="J1902">
        <v>1</v>
      </c>
      <c r="K1902">
        <v>950091</v>
      </c>
      <c r="L1902">
        <f t="shared" si="262"/>
        <v>1.2549753346153847E-2</v>
      </c>
      <c r="M1902">
        <f t="shared" si="263"/>
        <v>4.882795538461538E-3</v>
      </c>
      <c r="N1902">
        <f t="shared" si="264"/>
        <v>9.6989690769230773E-3</v>
      </c>
      <c r="O1902">
        <f t="shared" si="265"/>
        <v>7.2908823076923068E-3</v>
      </c>
      <c r="P1902">
        <f t="shared" si="261"/>
        <v>2.9437196415113385</v>
      </c>
      <c r="R1902">
        <f t="shared" si="266"/>
        <v>1.8604617161695119E-4</v>
      </c>
    </row>
    <row r="1903" spans="1:19" x14ac:dyDescent="0.2">
      <c r="A1903" t="s">
        <v>1914</v>
      </c>
      <c r="B1903">
        <v>5.55856818</v>
      </c>
      <c r="C1903">
        <v>0.10879272</v>
      </c>
      <c r="D1903">
        <v>5.7010515899999996</v>
      </c>
      <c r="E1903">
        <v>1.0864980500000001</v>
      </c>
      <c r="F1903">
        <v>3.24671646</v>
      </c>
      <c r="G1903">
        <v>1.2695268399999999</v>
      </c>
      <c r="H1903">
        <v>2.5429940800000002</v>
      </c>
      <c r="I1903">
        <v>9.8609400000000003E-3</v>
      </c>
      <c r="J1903">
        <v>1</v>
      </c>
      <c r="K1903">
        <v>950091</v>
      </c>
      <c r="L1903">
        <f t="shared" si="262"/>
        <v>1.2487371000000001E-2</v>
      </c>
      <c r="M1903">
        <f t="shared" si="263"/>
        <v>4.882795538461538E-3</v>
      </c>
      <c r="N1903">
        <f t="shared" si="264"/>
        <v>9.7807464615384618E-3</v>
      </c>
      <c r="O1903">
        <f t="shared" si="265"/>
        <v>7.3317709999999999E-3</v>
      </c>
      <c r="P1903">
        <f t="shared" si="261"/>
        <v>6.1564085903688897</v>
      </c>
      <c r="R1903">
        <f t="shared" si="266"/>
        <v>7.7899233729477344E-4</v>
      </c>
    </row>
    <row r="1904" spans="1:19" x14ac:dyDescent="0.2">
      <c r="A1904" t="s">
        <v>1915</v>
      </c>
      <c r="B1904">
        <v>5.5951633200000002</v>
      </c>
      <c r="C1904">
        <v>0.18853884000000001</v>
      </c>
      <c r="D1904">
        <v>5.7430200100000004</v>
      </c>
      <c r="E1904">
        <v>1.0272345199999999</v>
      </c>
      <c r="F1904">
        <v>3.2345912700000001</v>
      </c>
      <c r="G1904">
        <v>1.2757093799999999</v>
      </c>
      <c r="H1904">
        <v>2.5849617199999999</v>
      </c>
      <c r="I1904">
        <v>9.8609400000000003E-3</v>
      </c>
      <c r="J1904">
        <v>1</v>
      </c>
      <c r="K1904">
        <v>950092</v>
      </c>
      <c r="L1904">
        <f t="shared" si="262"/>
        <v>1.2440735653846154E-2</v>
      </c>
      <c r="M1904">
        <f t="shared" si="263"/>
        <v>4.9065745384615379E-3</v>
      </c>
      <c r="N1904">
        <f t="shared" si="264"/>
        <v>9.9421604615384605E-3</v>
      </c>
      <c r="O1904">
        <f t="shared" si="265"/>
        <v>7.4243675E-3</v>
      </c>
      <c r="P1904">
        <f t="shared" si="261"/>
        <v>10.669115858066476</v>
      </c>
      <c r="Q1904">
        <f t="shared" ref="Q1904" si="269">ABS(0.5*(SUMPRODUCT(O1904:O1922,P1905:P1923)+O1923*P1904-(SUMPRODUCT(O1905:O1923,P1904:P1922)+O1904*P1923)))</f>
        <v>5.1830004271682384E-3</v>
      </c>
      <c r="R1904">
        <f t="shared" si="266"/>
        <v>1.8017519388772571E-3</v>
      </c>
    </row>
    <row r="1905" spans="1:19" x14ac:dyDescent="0.2">
      <c r="A1905" t="s">
        <v>1916</v>
      </c>
      <c r="B1905">
        <v>5.6465522400000001</v>
      </c>
      <c r="C1905">
        <v>0.28241217000000002</v>
      </c>
      <c r="D1905">
        <v>5.7993191099999999</v>
      </c>
      <c r="E1905">
        <v>0.79018040000000001</v>
      </c>
      <c r="F1905">
        <v>3.2259304200000001</v>
      </c>
      <c r="G1905">
        <v>1.2896370800000001</v>
      </c>
      <c r="H1905">
        <v>2.6413452999999998</v>
      </c>
      <c r="I1905">
        <v>9.8609400000000003E-3</v>
      </c>
      <c r="J1905">
        <v>1</v>
      </c>
      <c r="K1905">
        <v>950092</v>
      </c>
      <c r="L1905">
        <f t="shared" si="262"/>
        <v>1.2407424692307692E-2</v>
      </c>
      <c r="M1905">
        <f t="shared" si="263"/>
        <v>4.9601426153846155E-3</v>
      </c>
      <c r="N1905">
        <f t="shared" si="264"/>
        <v>1.0159020384615384E-2</v>
      </c>
      <c r="O1905">
        <f t="shared" si="265"/>
        <v>7.559581499999999E-3</v>
      </c>
      <c r="P1905">
        <f t="shared" si="261"/>
        <v>15.981259678154196</v>
      </c>
      <c r="R1905">
        <f t="shared" si="266"/>
        <v>2.9007082365777475E-3</v>
      </c>
    </row>
    <row r="1906" spans="1:19" x14ac:dyDescent="0.2">
      <c r="A1906" t="s">
        <v>1917</v>
      </c>
      <c r="B1906">
        <v>5.7083227599999997</v>
      </c>
      <c r="C1906">
        <v>0.39041271</v>
      </c>
      <c r="D1906">
        <v>5.8663662199999997</v>
      </c>
      <c r="E1906">
        <v>0.67165333999999999</v>
      </c>
      <c r="F1906">
        <v>3.2254580100000001</v>
      </c>
      <c r="G1906">
        <v>1.30519534</v>
      </c>
      <c r="H1906">
        <v>2.7050203399999999</v>
      </c>
      <c r="I1906">
        <v>9.6783300000000006E-3</v>
      </c>
      <c r="J1906">
        <v>1</v>
      </c>
      <c r="K1906">
        <v>950092</v>
      </c>
      <c r="L1906">
        <f t="shared" si="262"/>
        <v>1.2405607730769231E-2</v>
      </c>
      <c r="M1906">
        <f t="shared" si="263"/>
        <v>5.0199820769230774E-3</v>
      </c>
      <c r="N1906">
        <f t="shared" si="264"/>
        <v>1.0403924384615385E-2</v>
      </c>
      <c r="O1906">
        <f t="shared" si="265"/>
        <v>7.7119532307692307E-3</v>
      </c>
      <c r="P1906">
        <f t="shared" si="261"/>
        <v>22.092840050632049</v>
      </c>
      <c r="R1906">
        <f t="shared" si="266"/>
        <v>3.8103893792298857E-3</v>
      </c>
    </row>
    <row r="1907" spans="1:19" x14ac:dyDescent="0.2">
      <c r="A1907" t="s">
        <v>1918</v>
      </c>
      <c r="B1907">
        <v>5.7724291399999998</v>
      </c>
      <c r="C1907">
        <v>0.52415909999999999</v>
      </c>
      <c r="D1907">
        <v>5.9369959999999997</v>
      </c>
      <c r="E1907">
        <v>0.53337177000000002</v>
      </c>
      <c r="F1907">
        <v>3.2361659700000001</v>
      </c>
      <c r="G1907">
        <v>1.31925892</v>
      </c>
      <c r="H1907">
        <v>2.7675265200000001</v>
      </c>
      <c r="I1907">
        <v>9.6783300000000006E-3</v>
      </c>
      <c r="J1907">
        <v>1</v>
      </c>
      <c r="K1907">
        <v>950092</v>
      </c>
      <c r="L1907">
        <f t="shared" si="262"/>
        <v>1.2446792192307692E-2</v>
      </c>
      <c r="M1907">
        <f t="shared" si="263"/>
        <v>5.0740727692307691E-3</v>
      </c>
      <c r="N1907">
        <f t="shared" si="264"/>
        <v>1.0644332769230769E-2</v>
      </c>
      <c r="O1907">
        <f t="shared" si="265"/>
        <v>7.8592027692307685E-3</v>
      </c>
      <c r="P1907">
        <f t="shared" si="261"/>
        <v>29.661337504568561</v>
      </c>
      <c r="R1907">
        <f t="shared" si="266"/>
        <v>4.4173324648425329E-3</v>
      </c>
    </row>
    <row r="1908" spans="1:19" x14ac:dyDescent="0.2">
      <c r="A1908" t="s">
        <v>1919</v>
      </c>
      <c r="B1908">
        <v>5.83264242</v>
      </c>
      <c r="C1908">
        <v>0.70556832000000003</v>
      </c>
      <c r="D1908">
        <v>6.0071139699999998</v>
      </c>
      <c r="E1908">
        <v>0.53337177000000002</v>
      </c>
      <c r="F1908">
        <v>3.2486060999999999</v>
      </c>
      <c r="G1908">
        <v>1.3300613800000001</v>
      </c>
      <c r="H1908">
        <v>2.82274124</v>
      </c>
      <c r="I1908">
        <v>9.4957199999999992E-3</v>
      </c>
      <c r="J1908">
        <v>1</v>
      </c>
      <c r="K1908">
        <v>950092</v>
      </c>
      <c r="L1908">
        <f t="shared" si="262"/>
        <v>1.2494638846153846E-2</v>
      </c>
      <c r="M1908">
        <f t="shared" si="263"/>
        <v>5.1156206923076925E-3</v>
      </c>
      <c r="N1908">
        <f t="shared" si="264"/>
        <v>1.0856697076923078E-2</v>
      </c>
      <c r="O1908">
        <f t="shared" si="265"/>
        <v>7.9861588846153846E-3</v>
      </c>
      <c r="P1908">
        <f t="shared" si="261"/>
        <v>39.926999401615717</v>
      </c>
      <c r="R1908">
        <f t="shared" si="266"/>
        <v>2.8405571228834262E-3</v>
      </c>
    </row>
    <row r="1909" spans="1:19" x14ac:dyDescent="0.2">
      <c r="A1909" t="s">
        <v>1920</v>
      </c>
      <c r="B1909">
        <v>5.8692375600000002</v>
      </c>
      <c r="C1909">
        <v>0.82756403999999995</v>
      </c>
      <c r="D1909">
        <v>6.0429406700000001</v>
      </c>
      <c r="E1909">
        <v>0.53337177000000002</v>
      </c>
      <c r="F1909">
        <v>3.2605738199999998</v>
      </c>
      <c r="G1909">
        <v>1.3352248200000001</v>
      </c>
      <c r="H1909">
        <v>2.85162878</v>
      </c>
      <c r="I1909">
        <v>9.4957199999999992E-3</v>
      </c>
      <c r="J1909">
        <v>1</v>
      </c>
      <c r="K1909">
        <v>950092</v>
      </c>
      <c r="L1909">
        <f t="shared" si="262"/>
        <v>1.2540668538461537E-2</v>
      </c>
      <c r="M1909">
        <f t="shared" si="263"/>
        <v>5.1354800769230768E-3</v>
      </c>
      <c r="N1909">
        <f t="shared" si="264"/>
        <v>1.0967803E-2</v>
      </c>
      <c r="O1909">
        <f t="shared" si="265"/>
        <v>8.0516415384615393E-3</v>
      </c>
      <c r="P1909">
        <f t="shared" si="261"/>
        <v>46.830544956835197</v>
      </c>
      <c r="R1909">
        <f t="shared" si="266"/>
        <v>9.6888615623314661E-4</v>
      </c>
    </row>
    <row r="1910" spans="1:19" x14ac:dyDescent="0.2">
      <c r="A1910" t="s">
        <v>1921</v>
      </c>
      <c r="B1910">
        <v>5.8793596199999998</v>
      </c>
      <c r="C1910">
        <v>0.85463018999999996</v>
      </c>
      <c r="D1910">
        <v>6.0490823899999997</v>
      </c>
      <c r="E1910">
        <v>0.47410824000000001</v>
      </c>
      <c r="F1910">
        <v>3.2783679299999999</v>
      </c>
      <c r="G1910">
        <v>1.33712714</v>
      </c>
      <c r="H1910">
        <v>2.8603117400000002</v>
      </c>
      <c r="I1910">
        <v>9.6783300000000006E-3</v>
      </c>
      <c r="J1910">
        <v>1</v>
      </c>
      <c r="K1910">
        <v>950092</v>
      </c>
      <c r="L1910">
        <f t="shared" si="262"/>
        <v>1.2609107423076922E-2</v>
      </c>
      <c r="M1910">
        <f t="shared" si="263"/>
        <v>5.1427966923076919E-3</v>
      </c>
      <c r="N1910">
        <f t="shared" si="264"/>
        <v>1.1001199000000001E-2</v>
      </c>
      <c r="O1910">
        <f t="shared" si="265"/>
        <v>8.0719978461538458E-3</v>
      </c>
      <c r="P1910">
        <f t="shared" si="261"/>
        <v>48.362175734778916</v>
      </c>
      <c r="R1910">
        <f t="shared" si="266"/>
        <v>2.2442620123135841E-4</v>
      </c>
    </row>
    <row r="1911" spans="1:19" x14ac:dyDescent="0.2">
      <c r="A1911" t="s">
        <v>1922</v>
      </c>
      <c r="B1911">
        <v>5.88429088</v>
      </c>
      <c r="C1911">
        <v>0.85581845999999995</v>
      </c>
      <c r="D1911">
        <v>6.0526650599999998</v>
      </c>
      <c r="E1911">
        <v>0.41484471000000001</v>
      </c>
      <c r="F1911">
        <v>3.2952172200000001</v>
      </c>
      <c r="G1911">
        <v>1.3375347799999999</v>
      </c>
      <c r="H1911">
        <v>2.8623154999999998</v>
      </c>
      <c r="I1911">
        <v>9.8609400000000003E-3</v>
      </c>
      <c r="J1911">
        <v>1</v>
      </c>
      <c r="K1911">
        <v>950092</v>
      </c>
      <c r="L1911">
        <f t="shared" si="262"/>
        <v>1.2673912384615385E-2</v>
      </c>
      <c r="M1911">
        <f t="shared" si="263"/>
        <v>5.1443645384615377E-3</v>
      </c>
      <c r="N1911">
        <f t="shared" si="264"/>
        <v>1.1008905769230769E-2</v>
      </c>
      <c r="O1911">
        <f t="shared" si="265"/>
        <v>8.0766351538461532E-3</v>
      </c>
      <c r="P1911">
        <f t="shared" si="261"/>
        <v>48.429418061615465</v>
      </c>
      <c r="R1911">
        <f t="shared" si="266"/>
        <v>-1.0660119826128081E-4</v>
      </c>
    </row>
    <row r="1912" spans="1:19" x14ac:dyDescent="0.2">
      <c r="A1912" t="s">
        <v>1923</v>
      </c>
      <c r="B1912">
        <v>5.8816954800000003</v>
      </c>
      <c r="C1912">
        <v>0.82030239000000005</v>
      </c>
      <c r="D1912">
        <v>6.0460115300000004</v>
      </c>
      <c r="E1912">
        <v>0.41484471000000001</v>
      </c>
      <c r="F1912">
        <v>3.30718494</v>
      </c>
      <c r="G1912">
        <v>1.3375347799999999</v>
      </c>
      <c r="H1912">
        <v>2.8611466399999999</v>
      </c>
      <c r="I1912">
        <v>1.004355E-2</v>
      </c>
      <c r="J1912">
        <v>1</v>
      </c>
      <c r="K1912">
        <v>950092</v>
      </c>
      <c r="L1912">
        <f t="shared" si="262"/>
        <v>1.2719942076923077E-2</v>
      </c>
      <c r="M1912">
        <f t="shared" si="263"/>
        <v>5.1443645384615377E-3</v>
      </c>
      <c r="N1912">
        <f t="shared" si="264"/>
        <v>1.1004410153846154E-2</v>
      </c>
      <c r="O1912">
        <f t="shared" si="265"/>
        <v>8.0743873461538457E-3</v>
      </c>
      <c r="P1912">
        <f t="shared" si="261"/>
        <v>46.419619626167375</v>
      </c>
      <c r="R1912">
        <f t="shared" si="266"/>
        <v>-1.0452055655745974E-3</v>
      </c>
    </row>
    <row r="1913" spans="1:19" x14ac:dyDescent="0.2">
      <c r="A1913" t="s">
        <v>1924</v>
      </c>
      <c r="B1913">
        <v>5.8650849200000001</v>
      </c>
      <c r="C1913">
        <v>0.70675659000000002</v>
      </c>
      <c r="D1913">
        <v>6.03526352</v>
      </c>
      <c r="E1913">
        <v>0.41484471000000001</v>
      </c>
      <c r="F1913">
        <v>3.3191526599999999</v>
      </c>
      <c r="G1913">
        <v>1.3375347799999999</v>
      </c>
      <c r="H1913">
        <v>2.8485674799999998</v>
      </c>
      <c r="I1913">
        <v>9.8609400000000003E-3</v>
      </c>
      <c r="J1913">
        <v>1</v>
      </c>
      <c r="K1913">
        <v>950092</v>
      </c>
      <c r="L1913">
        <f t="shared" si="262"/>
        <v>1.2765971769230769E-2</v>
      </c>
      <c r="M1913">
        <f t="shared" si="263"/>
        <v>5.1443645384615377E-3</v>
      </c>
      <c r="N1913">
        <f t="shared" si="264"/>
        <v>1.0956028769230769E-2</v>
      </c>
      <c r="O1913">
        <f t="shared" si="265"/>
        <v>8.0501966538461533E-3</v>
      </c>
      <c r="P1913">
        <f t="shared" si="261"/>
        <v>39.994241728452266</v>
      </c>
      <c r="R1913">
        <f t="shared" si="266"/>
        <v>-1.1199041775079876E-3</v>
      </c>
      <c r="S1913">
        <f>ABS(SUMIFS($R:$R,$K:$K,K1913))</f>
        <v>5.1867707794347583E-3</v>
      </c>
    </row>
    <row r="1914" spans="1:19" x14ac:dyDescent="0.2">
      <c r="A1914" t="s">
        <v>1925</v>
      </c>
      <c r="B1914">
        <v>5.8438026399999998</v>
      </c>
      <c r="C1914">
        <v>0.60918642000000001</v>
      </c>
      <c r="D1914">
        <v>6.0193974099999998</v>
      </c>
      <c r="E1914">
        <v>0.41484471000000001</v>
      </c>
      <c r="F1914">
        <v>3.3308054399999998</v>
      </c>
      <c r="G1914">
        <v>1.3375347799999999</v>
      </c>
      <c r="H1914">
        <v>2.8329270200000001</v>
      </c>
      <c r="I1914">
        <v>9.8609400000000003E-3</v>
      </c>
      <c r="J1914">
        <v>1</v>
      </c>
      <c r="K1914">
        <v>950092</v>
      </c>
      <c r="L1914">
        <f t="shared" si="262"/>
        <v>1.2810790153846154E-2</v>
      </c>
      <c r="M1914">
        <f t="shared" si="263"/>
        <v>5.1443645384615377E-3</v>
      </c>
      <c r="N1914">
        <f t="shared" si="264"/>
        <v>1.0895873153846155E-2</v>
      </c>
      <c r="O1914">
        <f t="shared" si="265"/>
        <v>8.0201188461538463E-3</v>
      </c>
      <c r="P1914">
        <f t="shared" si="261"/>
        <v>34.472899558206386</v>
      </c>
      <c r="R1914">
        <f t="shared" si="266"/>
        <v>-1.245702907349155E-3</v>
      </c>
    </row>
    <row r="1915" spans="1:19" x14ac:dyDescent="0.2">
      <c r="A1915" t="s">
        <v>1926</v>
      </c>
      <c r="B1915">
        <v>5.82485622</v>
      </c>
      <c r="C1915">
        <v>0.51980210999999998</v>
      </c>
      <c r="D1915">
        <v>5.9932951000000001</v>
      </c>
      <c r="E1915">
        <v>0.41484471000000001</v>
      </c>
      <c r="F1915">
        <v>3.3380490599999999</v>
      </c>
      <c r="G1915">
        <v>1.33712714</v>
      </c>
      <c r="H1915">
        <v>2.8130563999999998</v>
      </c>
      <c r="I1915">
        <v>9.6783300000000006E-3</v>
      </c>
      <c r="J1915">
        <v>1</v>
      </c>
      <c r="K1915">
        <v>950092</v>
      </c>
      <c r="L1915">
        <f t="shared" si="262"/>
        <v>1.283865023076923E-2</v>
      </c>
      <c r="M1915">
        <f t="shared" si="263"/>
        <v>5.1427966923076919E-3</v>
      </c>
      <c r="N1915">
        <f t="shared" si="264"/>
        <v>1.0819447692307691E-2</v>
      </c>
      <c r="O1915">
        <f t="shared" si="265"/>
        <v>7.9811221923076908E-3</v>
      </c>
      <c r="P1915">
        <f t="shared" si="261"/>
        <v>29.414782306167865</v>
      </c>
      <c r="R1915">
        <f t="shared" si="266"/>
        <v>-1.948992694282115E-3</v>
      </c>
    </row>
    <row r="1916" spans="1:19" x14ac:dyDescent="0.2">
      <c r="A1916" t="s">
        <v>1927</v>
      </c>
      <c r="B1916">
        <v>5.7924137199999999</v>
      </c>
      <c r="C1916">
        <v>0.42223193999999997</v>
      </c>
      <c r="D1916">
        <v>5.9492794399999998</v>
      </c>
      <c r="E1916">
        <v>0.41484471000000001</v>
      </c>
      <c r="F1916">
        <v>3.3389938799999999</v>
      </c>
      <c r="G1916">
        <v>1.3333904400000001</v>
      </c>
      <c r="H1916">
        <v>2.7787698399999998</v>
      </c>
      <c r="I1916">
        <v>9.6783300000000006E-3</v>
      </c>
      <c r="J1916">
        <v>1</v>
      </c>
      <c r="K1916">
        <v>950092</v>
      </c>
      <c r="L1916">
        <f t="shared" si="262"/>
        <v>1.2842284153846154E-2</v>
      </c>
      <c r="M1916">
        <f t="shared" si="263"/>
        <v>5.1284247692307697E-3</v>
      </c>
      <c r="N1916">
        <f t="shared" si="264"/>
        <v>1.0687576307692306E-2</v>
      </c>
      <c r="O1916">
        <f t="shared" si="265"/>
        <v>7.9080005384615376E-3</v>
      </c>
      <c r="P1916">
        <f t="shared" si="261"/>
        <v>23.893440135921978</v>
      </c>
      <c r="R1916">
        <f t="shared" si="266"/>
        <v>-2.2131203506449474E-3</v>
      </c>
    </row>
    <row r="1917" spans="1:19" x14ac:dyDescent="0.2">
      <c r="A1917" t="s">
        <v>1928</v>
      </c>
      <c r="B1917">
        <v>5.7446583599999999</v>
      </c>
      <c r="C1917">
        <v>0.32756643000000002</v>
      </c>
      <c r="D1917">
        <v>5.9011693000000003</v>
      </c>
      <c r="E1917">
        <v>0.41484471000000001</v>
      </c>
      <c r="F1917">
        <v>3.3404111099999998</v>
      </c>
      <c r="G1917">
        <v>1.3255094000000001</v>
      </c>
      <c r="H1917">
        <v>2.7324050600000001</v>
      </c>
      <c r="I1917">
        <v>9.6783300000000006E-3</v>
      </c>
      <c r="J1917">
        <v>1</v>
      </c>
      <c r="K1917">
        <v>950092</v>
      </c>
      <c r="L1917">
        <f t="shared" si="262"/>
        <v>1.2847735038461539E-2</v>
      </c>
      <c r="M1917">
        <f t="shared" si="263"/>
        <v>5.0981130769230769E-3</v>
      </c>
      <c r="N1917">
        <f t="shared" si="264"/>
        <v>1.0509250230769231E-2</v>
      </c>
      <c r="O1917">
        <f t="shared" si="265"/>
        <v>7.8036816538461541E-3</v>
      </c>
      <c r="P1917">
        <f t="shared" si="261"/>
        <v>18.536468097943224</v>
      </c>
      <c r="R1917">
        <f t="shared" si="266"/>
        <v>-1.9965264122222535E-3</v>
      </c>
    </row>
    <row r="1918" spans="1:19" x14ac:dyDescent="0.2">
      <c r="A1918" t="s">
        <v>1929</v>
      </c>
      <c r="B1918">
        <v>5.6994984000000004</v>
      </c>
      <c r="C1918">
        <v>0.24333129000000001</v>
      </c>
      <c r="D1918">
        <v>5.8417993399999997</v>
      </c>
      <c r="E1918">
        <v>0.41484471000000001</v>
      </c>
      <c r="F1918">
        <v>3.3345847200000001</v>
      </c>
      <c r="G1918">
        <v>1.3138916599999999</v>
      </c>
      <c r="H1918">
        <v>2.6797507</v>
      </c>
      <c r="I1918">
        <v>9.4957199999999992E-3</v>
      </c>
      <c r="J1918">
        <v>1</v>
      </c>
      <c r="K1918">
        <v>950092</v>
      </c>
      <c r="L1918">
        <f t="shared" si="262"/>
        <v>1.2825325846153847E-2</v>
      </c>
      <c r="M1918">
        <f t="shared" si="263"/>
        <v>5.053429461538461E-3</v>
      </c>
      <c r="N1918">
        <f t="shared" si="264"/>
        <v>1.0306733461538462E-2</v>
      </c>
      <c r="O1918">
        <f t="shared" si="265"/>
        <v>7.6800814615384612E-3</v>
      </c>
      <c r="P1918">
        <f t="shared" si="261"/>
        <v>13.769734262196438</v>
      </c>
      <c r="R1918">
        <f t="shared" si="266"/>
        <v>-1.5563124076344663E-3</v>
      </c>
    </row>
    <row r="1919" spans="1:19" x14ac:dyDescent="0.2">
      <c r="A1919" t="s">
        <v>1930</v>
      </c>
      <c r="B1919">
        <v>5.6473308600000003</v>
      </c>
      <c r="C1919">
        <v>0.16847028</v>
      </c>
      <c r="D1919">
        <v>5.7855002400000002</v>
      </c>
      <c r="E1919">
        <v>0.41484471000000001</v>
      </c>
      <c r="F1919">
        <v>3.3211997700000002</v>
      </c>
      <c r="G1919">
        <v>1.2991486800000001</v>
      </c>
      <c r="H1919">
        <v>2.6250369199999999</v>
      </c>
      <c r="I1919">
        <v>9.6783300000000006E-3</v>
      </c>
      <c r="J1919">
        <v>1</v>
      </c>
      <c r="K1919">
        <v>950092</v>
      </c>
      <c r="L1919">
        <f t="shared" si="262"/>
        <v>1.277384526923077E-2</v>
      </c>
      <c r="M1919">
        <f t="shared" si="263"/>
        <v>4.9967256923076925E-3</v>
      </c>
      <c r="N1919">
        <f t="shared" si="264"/>
        <v>1.0096295846153847E-2</v>
      </c>
      <c r="O1919">
        <f t="shared" si="265"/>
        <v>7.5465107692307687E-3</v>
      </c>
      <c r="P1919">
        <f t="shared" si="261"/>
        <v>9.5334676714935718</v>
      </c>
      <c r="R1919">
        <f t="shared" si="266"/>
        <v>-1.0049577185483926E-3</v>
      </c>
    </row>
    <row r="1920" spans="1:19" x14ac:dyDescent="0.2">
      <c r="A1920" t="s">
        <v>1931</v>
      </c>
      <c r="B1920">
        <v>5.5951633200000002</v>
      </c>
      <c r="C1920">
        <v>0.10153107</v>
      </c>
      <c r="D1920">
        <v>5.732272</v>
      </c>
      <c r="E1920">
        <v>0.67165333999999999</v>
      </c>
      <c r="F1920">
        <v>3.3048228900000001</v>
      </c>
      <c r="G1920">
        <v>1.2840659999999999</v>
      </c>
      <c r="H1920">
        <v>2.5717146400000002</v>
      </c>
      <c r="I1920">
        <v>9.6783300000000006E-3</v>
      </c>
      <c r="J1920">
        <v>1</v>
      </c>
      <c r="K1920">
        <v>950092</v>
      </c>
      <c r="L1920">
        <f t="shared" si="262"/>
        <v>1.2710857269230769E-2</v>
      </c>
      <c r="M1920">
        <f t="shared" si="263"/>
        <v>4.9387153846153845E-3</v>
      </c>
      <c r="N1920">
        <f t="shared" si="264"/>
        <v>9.8912101538461538E-3</v>
      </c>
      <c r="O1920">
        <f t="shared" si="265"/>
        <v>7.4149627692307691E-3</v>
      </c>
      <c r="P1920">
        <f t="shared" si="261"/>
        <v>5.7454832597010634</v>
      </c>
      <c r="R1920">
        <f t="shared" si="266"/>
        <v>-4.2584843089499248E-4</v>
      </c>
    </row>
    <row r="1921" spans="1:19" x14ac:dyDescent="0.2">
      <c r="A1921" t="s">
        <v>1932</v>
      </c>
      <c r="B1921">
        <v>5.55078198</v>
      </c>
      <c r="C1921">
        <v>5.4000270000000003E-2</v>
      </c>
      <c r="D1921">
        <v>5.68672091</v>
      </c>
      <c r="E1921">
        <v>1.0864980500000001</v>
      </c>
      <c r="F1921">
        <v>3.2884460099999999</v>
      </c>
      <c r="G1921">
        <v>1.2726520800000001</v>
      </c>
      <c r="H1921">
        <v>2.5328083000000001</v>
      </c>
      <c r="I1921">
        <v>9.6783300000000006E-3</v>
      </c>
      <c r="J1921">
        <v>1</v>
      </c>
      <c r="K1921">
        <v>950092</v>
      </c>
      <c r="L1921">
        <f t="shared" si="262"/>
        <v>1.2647869269230769E-2</v>
      </c>
      <c r="M1921">
        <f t="shared" si="263"/>
        <v>4.8948156923076924E-3</v>
      </c>
      <c r="N1921">
        <f t="shared" si="264"/>
        <v>9.7415703846153844E-3</v>
      </c>
      <c r="O1921">
        <f t="shared" si="265"/>
        <v>7.3181930384615393E-3</v>
      </c>
      <c r="P1921">
        <f t="shared" si="261"/>
        <v>3.0557901862389274</v>
      </c>
      <c r="R1921">
        <f t="shared" si="266"/>
        <v>-8.457204603338487E-5</v>
      </c>
    </row>
    <row r="1922" spans="1:19" x14ac:dyDescent="0.2">
      <c r="A1922" t="s">
        <v>1933</v>
      </c>
      <c r="B1922">
        <v>5.53884314</v>
      </c>
      <c r="C1922">
        <v>4.9115159999999998E-2</v>
      </c>
      <c r="D1922">
        <v>5.6729020400000003</v>
      </c>
      <c r="E1922">
        <v>1.26428864</v>
      </c>
      <c r="F1922">
        <v>3.26734503</v>
      </c>
      <c r="G1922">
        <v>1.2693230200000001</v>
      </c>
      <c r="H1922">
        <v>2.5210640400000002</v>
      </c>
      <c r="I1922">
        <v>9.6783300000000006E-3</v>
      </c>
      <c r="J1922">
        <v>1</v>
      </c>
      <c r="K1922">
        <v>950092</v>
      </c>
      <c r="L1922">
        <f t="shared" si="262"/>
        <v>1.2566711653846154E-2</v>
      </c>
      <c r="M1922">
        <f t="shared" si="263"/>
        <v>4.882011615384616E-3</v>
      </c>
      <c r="N1922">
        <f t="shared" si="264"/>
        <v>9.6964001538461537E-3</v>
      </c>
      <c r="O1922">
        <f t="shared" si="265"/>
        <v>7.2892058846153853E-3</v>
      </c>
      <c r="P1922">
        <f t="shared" si="261"/>
        <v>2.7793495092442075</v>
      </c>
      <c r="R1922">
        <f t="shared" si="266"/>
        <v>1.7993628092344762E-4</v>
      </c>
    </row>
    <row r="1923" spans="1:19" x14ac:dyDescent="0.2">
      <c r="A1923" t="s">
        <v>1934</v>
      </c>
      <c r="B1923">
        <v>5.5562323200000003</v>
      </c>
      <c r="C1923">
        <v>0.10641618</v>
      </c>
      <c r="D1923">
        <v>5.69490987</v>
      </c>
      <c r="E1923">
        <v>1.1457615800000001</v>
      </c>
      <c r="F1923">
        <v>3.24718887</v>
      </c>
      <c r="G1923">
        <v>1.2693230200000001</v>
      </c>
      <c r="H1923">
        <v>2.54232616</v>
      </c>
      <c r="I1923">
        <v>9.6783300000000006E-3</v>
      </c>
      <c r="J1923">
        <v>1</v>
      </c>
      <c r="K1923">
        <v>950092</v>
      </c>
      <c r="L1923">
        <f t="shared" si="262"/>
        <v>1.2489187961538462E-2</v>
      </c>
      <c r="M1923">
        <f t="shared" si="263"/>
        <v>4.882011615384616E-3</v>
      </c>
      <c r="N1923">
        <f t="shared" si="264"/>
        <v>9.7781775384615383E-3</v>
      </c>
      <c r="O1923">
        <f t="shared" si="265"/>
        <v>7.3300945769230767E-3</v>
      </c>
      <c r="P1923">
        <f t="shared" ref="P1923:P1986" si="270">+C1923*4/(PI()*0.15^2)</f>
        <v>6.0219239366957833</v>
      </c>
      <c r="R1923">
        <f t="shared" si="266"/>
        <v>7.9052690758953006E-4</v>
      </c>
    </row>
    <row r="1924" spans="1:19" x14ac:dyDescent="0.2">
      <c r="A1924" t="s">
        <v>1935</v>
      </c>
      <c r="B1924">
        <v>5.5951633200000002</v>
      </c>
      <c r="C1924">
        <v>0.18695448000000001</v>
      </c>
      <c r="D1924">
        <v>5.7384137199999996</v>
      </c>
      <c r="E1924">
        <v>1.0272345199999999</v>
      </c>
      <c r="F1924">
        <v>3.2355360900000001</v>
      </c>
      <c r="G1924">
        <v>1.2757093799999999</v>
      </c>
      <c r="H1924">
        <v>2.5854626600000001</v>
      </c>
      <c r="I1924">
        <v>9.8609400000000003E-3</v>
      </c>
      <c r="J1924">
        <v>1</v>
      </c>
      <c r="K1924">
        <v>950093</v>
      </c>
      <c r="L1924">
        <f t="shared" ref="L1924:L1987" si="271">+F1924/260</f>
        <v>1.2444369576923077E-2</v>
      </c>
      <c r="M1924">
        <f t="shared" ref="M1924:M1987" si="272">+G1924/260</f>
        <v>4.9065745384615379E-3</v>
      </c>
      <c r="N1924">
        <f t="shared" ref="N1924:N1987" si="273">+H1924/260</f>
        <v>9.9440871538461536E-3</v>
      </c>
      <c r="O1924">
        <f t="shared" ref="O1924:O1987" si="274">(+G1924+H1924)/520</f>
        <v>7.4253308461538466E-3</v>
      </c>
      <c r="P1924">
        <f t="shared" si="270"/>
        <v>10.579459422284403</v>
      </c>
      <c r="Q1924">
        <f t="shared" ref="Q1924" si="275">ABS(0.5*(SUMPRODUCT(O1924:O1942,P1925:P1943)+O1943*P1924-(SUMPRODUCT(O1925:O1943,P1924:P1942)+O1924*P1943)))</f>
        <v>5.1599826602910515E-3</v>
      </c>
      <c r="R1924">
        <f t="shared" ref="R1924:R1987" si="276">+(P1924+P1925)/2*(O1925-O1924)</f>
        <v>1.8345365133518284E-3</v>
      </c>
    </row>
    <row r="1925" spans="1:19" x14ac:dyDescent="0.2">
      <c r="A1925" t="s">
        <v>1936</v>
      </c>
      <c r="B1925">
        <v>5.6481094799999996</v>
      </c>
      <c r="C1925">
        <v>0.28399653000000002</v>
      </c>
      <c r="D1925">
        <v>5.7993191099999999</v>
      </c>
      <c r="E1925">
        <v>0.84944392999999996</v>
      </c>
      <c r="F1925">
        <v>3.2308119899999999</v>
      </c>
      <c r="G1925">
        <v>1.2902485400000001</v>
      </c>
      <c r="H1925">
        <v>2.6425141600000002</v>
      </c>
      <c r="I1925">
        <v>1.004355E-2</v>
      </c>
      <c r="J1925">
        <v>1</v>
      </c>
      <c r="K1925">
        <v>950093</v>
      </c>
      <c r="L1925">
        <f t="shared" si="271"/>
        <v>1.2426199961538461E-2</v>
      </c>
      <c r="M1925">
        <f t="shared" si="272"/>
        <v>4.9624943846153851E-3</v>
      </c>
      <c r="N1925">
        <f t="shared" si="273"/>
        <v>1.0163516000000001E-2</v>
      </c>
      <c r="O1925">
        <f t="shared" si="274"/>
        <v>7.5630051923076935E-3</v>
      </c>
      <c r="P1925">
        <f t="shared" si="270"/>
        <v>16.070916113936267</v>
      </c>
      <c r="R1925">
        <f t="shared" si="276"/>
        <v>2.8940882682943164E-3</v>
      </c>
    </row>
    <row r="1926" spans="1:19" x14ac:dyDescent="0.2">
      <c r="A1926" t="s">
        <v>1937</v>
      </c>
      <c r="B1926">
        <v>5.7114372400000004</v>
      </c>
      <c r="C1926">
        <v>0.39331737</v>
      </c>
      <c r="D1926">
        <v>5.8648307900000001</v>
      </c>
      <c r="E1926">
        <v>0.73091687000000005</v>
      </c>
      <c r="F1926">
        <v>3.2303395799999999</v>
      </c>
      <c r="G1926">
        <v>1.30560298</v>
      </c>
      <c r="H1926">
        <v>2.7056882600000001</v>
      </c>
      <c r="I1926">
        <v>1.004355E-2</v>
      </c>
      <c r="J1926">
        <v>1</v>
      </c>
      <c r="K1926">
        <v>950093</v>
      </c>
      <c r="L1926">
        <f t="shared" si="271"/>
        <v>1.2424382999999999E-2</v>
      </c>
      <c r="M1926">
        <f t="shared" si="272"/>
        <v>5.0215499230769232E-3</v>
      </c>
      <c r="N1926">
        <f t="shared" si="273"/>
        <v>1.0406493307692308E-2</v>
      </c>
      <c r="O1926">
        <f t="shared" si="274"/>
        <v>7.7140216153846163E-3</v>
      </c>
      <c r="P1926">
        <f t="shared" si="270"/>
        <v>22.257210182899179</v>
      </c>
      <c r="R1926">
        <f t="shared" si="276"/>
        <v>3.865791641236984E-3</v>
      </c>
    </row>
    <row r="1927" spans="1:19" x14ac:dyDescent="0.2">
      <c r="A1927" t="s">
        <v>1938</v>
      </c>
      <c r="B1927">
        <v>5.77320776</v>
      </c>
      <c r="C1927">
        <v>0.52785594000000002</v>
      </c>
      <c r="D1927">
        <v>5.9385314300000003</v>
      </c>
      <c r="E1927">
        <v>0.61238981000000003</v>
      </c>
      <c r="F1927">
        <v>3.2345912700000001</v>
      </c>
      <c r="G1927">
        <v>1.3196665599999999</v>
      </c>
      <c r="H1927">
        <v>2.7687510400000002</v>
      </c>
      <c r="I1927">
        <v>9.8609400000000003E-3</v>
      </c>
      <c r="J1927">
        <v>1</v>
      </c>
      <c r="K1927">
        <v>950093</v>
      </c>
      <c r="L1927">
        <f t="shared" si="271"/>
        <v>1.2440735653846154E-2</v>
      </c>
      <c r="M1927">
        <f t="shared" si="272"/>
        <v>5.075640615384615E-3</v>
      </c>
      <c r="N1927">
        <f t="shared" si="273"/>
        <v>1.0649042461538463E-2</v>
      </c>
      <c r="O1927">
        <f t="shared" si="274"/>
        <v>7.8623415384615376E-3</v>
      </c>
      <c r="P1927">
        <f t="shared" si="270"/>
        <v>29.870535854726729</v>
      </c>
      <c r="R1927">
        <f t="shared" si="276"/>
        <v>4.4118862447078593E-3</v>
      </c>
    </row>
    <row r="1928" spans="1:19" x14ac:dyDescent="0.2">
      <c r="A1928" t="s">
        <v>1939</v>
      </c>
      <c r="B1928">
        <v>5.83264242</v>
      </c>
      <c r="C1928">
        <v>0.70834094999999997</v>
      </c>
      <c r="D1928">
        <v>6.0071139699999998</v>
      </c>
      <c r="E1928">
        <v>0.61238981000000003</v>
      </c>
      <c r="F1928">
        <v>3.2504957399999999</v>
      </c>
      <c r="G1928">
        <v>1.3302651999999999</v>
      </c>
      <c r="H1928">
        <v>2.8237431200000001</v>
      </c>
      <c r="I1928">
        <v>9.6783300000000006E-3</v>
      </c>
      <c r="J1928">
        <v>1</v>
      </c>
      <c r="K1928">
        <v>950093</v>
      </c>
      <c r="L1928">
        <f t="shared" si="271"/>
        <v>1.2501906692307692E-2</v>
      </c>
      <c r="M1928">
        <f t="shared" si="272"/>
        <v>5.1164046153846154E-3</v>
      </c>
      <c r="N1928">
        <f t="shared" si="273"/>
        <v>1.0860550461538462E-2</v>
      </c>
      <c r="O1928">
        <f t="shared" si="274"/>
        <v>7.9884775384615383E-3</v>
      </c>
      <c r="P1928">
        <f t="shared" si="270"/>
        <v>40.083898164234334</v>
      </c>
      <c r="R1928">
        <f t="shared" si="276"/>
        <v>2.7569795762085389E-3</v>
      </c>
    </row>
    <row r="1929" spans="1:19" x14ac:dyDescent="0.2">
      <c r="A1929" t="s">
        <v>1940</v>
      </c>
      <c r="B1929">
        <v>5.8700161800000004</v>
      </c>
      <c r="C1929">
        <v>0.82479141</v>
      </c>
      <c r="D1929">
        <v>6.0367989499999997</v>
      </c>
      <c r="E1929">
        <v>0.53337177000000002</v>
      </c>
      <c r="F1929">
        <v>3.2654553900000001</v>
      </c>
      <c r="G1929">
        <v>1.3354286399999999</v>
      </c>
      <c r="H1929">
        <v>2.85162878</v>
      </c>
      <c r="I1929">
        <v>9.4957199999999992E-3</v>
      </c>
      <c r="J1929">
        <v>1</v>
      </c>
      <c r="K1929">
        <v>950093</v>
      </c>
      <c r="L1929">
        <f t="shared" si="271"/>
        <v>1.2559443807692307E-2</v>
      </c>
      <c r="M1929">
        <f t="shared" si="272"/>
        <v>5.1362639999999998E-3</v>
      </c>
      <c r="N1929">
        <f t="shared" si="273"/>
        <v>1.0967803E-2</v>
      </c>
      <c r="O1929">
        <f t="shared" si="274"/>
        <v>8.0520334999999998E-3</v>
      </c>
      <c r="P1929">
        <f t="shared" si="270"/>
        <v>46.673646194216573</v>
      </c>
      <c r="R1929">
        <f t="shared" si="276"/>
        <v>9.2649452023406821E-4</v>
      </c>
    </row>
    <row r="1930" spans="1:19" x14ac:dyDescent="0.2">
      <c r="A1930" t="s">
        <v>1941</v>
      </c>
      <c r="B1930">
        <v>5.88013824</v>
      </c>
      <c r="C1930">
        <v>0.85132943999999999</v>
      </c>
      <c r="D1930">
        <v>6.0490823899999997</v>
      </c>
      <c r="E1930">
        <v>0.53337177000000002</v>
      </c>
      <c r="F1930">
        <v>3.2793127499999999</v>
      </c>
      <c r="G1930">
        <v>1.33712714</v>
      </c>
      <c r="H1930">
        <v>2.8600891000000002</v>
      </c>
      <c r="I1930">
        <v>9.6783300000000006E-3</v>
      </c>
      <c r="J1930">
        <v>1</v>
      </c>
      <c r="K1930">
        <v>950093</v>
      </c>
      <c r="L1930">
        <f t="shared" si="271"/>
        <v>1.2612741346153845E-2</v>
      </c>
      <c r="M1930">
        <f t="shared" si="272"/>
        <v>5.1427966923076919E-3</v>
      </c>
      <c r="N1930">
        <f t="shared" si="273"/>
        <v>1.1000342692307694E-2</v>
      </c>
      <c r="O1930">
        <f t="shared" si="274"/>
        <v>8.0715696923076927E-3</v>
      </c>
      <c r="P1930">
        <f t="shared" si="270"/>
        <v>48.175391493566266</v>
      </c>
      <c r="R1930">
        <f t="shared" si="276"/>
        <v>1.9429833071592952E-4</v>
      </c>
    </row>
    <row r="1931" spans="1:19" x14ac:dyDescent="0.2">
      <c r="A1931" t="s">
        <v>1942</v>
      </c>
      <c r="B1931">
        <v>5.8850695000000002</v>
      </c>
      <c r="C1931">
        <v>0.85212162000000002</v>
      </c>
      <c r="D1931">
        <v>6.0511296300000001</v>
      </c>
      <c r="E1931">
        <v>0.53337177000000002</v>
      </c>
      <c r="F1931">
        <v>3.29663445</v>
      </c>
      <c r="G1931">
        <v>1.3373309600000001</v>
      </c>
      <c r="H1931">
        <v>2.8619815399999999</v>
      </c>
      <c r="I1931">
        <v>9.6783300000000006E-3</v>
      </c>
      <c r="J1931">
        <v>1</v>
      </c>
      <c r="K1931">
        <v>950093</v>
      </c>
      <c r="L1931">
        <f t="shared" si="271"/>
        <v>1.2679363269230769E-2</v>
      </c>
      <c r="M1931">
        <f t="shared" si="272"/>
        <v>5.1435806153846157E-3</v>
      </c>
      <c r="N1931">
        <f t="shared" si="273"/>
        <v>1.1007621307692308E-2</v>
      </c>
      <c r="O1931">
        <f t="shared" si="274"/>
        <v>8.0756009615384605E-3</v>
      </c>
      <c r="P1931">
        <f t="shared" si="270"/>
        <v>48.220219711457304</v>
      </c>
      <c r="R1931">
        <f t="shared" si="276"/>
        <v>-8.4922963908727123E-6</v>
      </c>
    </row>
    <row r="1932" spans="1:19" x14ac:dyDescent="0.2">
      <c r="A1932" t="s">
        <v>1943</v>
      </c>
      <c r="B1932">
        <v>5.88013824</v>
      </c>
      <c r="C1932">
        <v>0.82069848000000001</v>
      </c>
      <c r="D1932">
        <v>6.0511296300000001</v>
      </c>
      <c r="E1932">
        <v>0.47410824000000001</v>
      </c>
      <c r="F1932">
        <v>3.3111216899999998</v>
      </c>
      <c r="G1932">
        <v>1.3377386</v>
      </c>
      <c r="H1932">
        <v>2.8614806000000002</v>
      </c>
      <c r="I1932">
        <v>9.8609400000000003E-3</v>
      </c>
      <c r="J1932">
        <v>1</v>
      </c>
      <c r="K1932">
        <v>950093</v>
      </c>
      <c r="L1932">
        <f t="shared" si="271"/>
        <v>1.2735083423076922E-2</v>
      </c>
      <c r="M1932">
        <f t="shared" si="272"/>
        <v>5.1451484615384615E-3</v>
      </c>
      <c r="N1932">
        <f t="shared" si="273"/>
        <v>1.1005694615384616E-2</v>
      </c>
      <c r="O1932">
        <f t="shared" si="274"/>
        <v>8.0754215384615385E-3</v>
      </c>
      <c r="P1932">
        <f t="shared" si="270"/>
        <v>46.442033735112894</v>
      </c>
      <c r="R1932">
        <f t="shared" si="276"/>
        <v>-1.1145776163870749E-3</v>
      </c>
    </row>
    <row r="1933" spans="1:19" x14ac:dyDescent="0.2">
      <c r="A1933" t="s">
        <v>1944</v>
      </c>
      <c r="B1933">
        <v>5.8650849200000001</v>
      </c>
      <c r="C1933">
        <v>0.70636049999999995</v>
      </c>
      <c r="D1933">
        <v>6.0383343800000002</v>
      </c>
      <c r="E1933">
        <v>0.47410824000000001</v>
      </c>
      <c r="F1933">
        <v>3.3191526599999999</v>
      </c>
      <c r="G1933">
        <v>1.3377386</v>
      </c>
      <c r="H1933">
        <v>2.84806654</v>
      </c>
      <c r="I1933">
        <v>9.8609400000000003E-3</v>
      </c>
      <c r="J1933">
        <v>1</v>
      </c>
      <c r="K1933">
        <v>950093</v>
      </c>
      <c r="L1933">
        <f t="shared" si="271"/>
        <v>1.2765971769230769E-2</v>
      </c>
      <c r="M1933">
        <f t="shared" si="272"/>
        <v>5.1451484615384615E-3</v>
      </c>
      <c r="N1933">
        <f t="shared" si="273"/>
        <v>1.0954102076923078E-2</v>
      </c>
      <c r="O1933">
        <f t="shared" si="274"/>
        <v>8.0496252692307691E-3</v>
      </c>
      <c r="P1933">
        <f t="shared" si="270"/>
        <v>39.971827619506747</v>
      </c>
      <c r="R1933">
        <f t="shared" si="276"/>
        <v>-9.9945495997330689E-4</v>
      </c>
    </row>
    <row r="1934" spans="1:19" x14ac:dyDescent="0.2">
      <c r="A1934" t="s">
        <v>1945</v>
      </c>
      <c r="B1934">
        <v>5.8461385000000003</v>
      </c>
      <c r="C1934">
        <v>0.61367543999999996</v>
      </c>
      <c r="D1934">
        <v>6.0132556900000003</v>
      </c>
      <c r="E1934">
        <v>0.47410824000000001</v>
      </c>
      <c r="F1934">
        <v>3.3293882099999998</v>
      </c>
      <c r="G1934">
        <v>1.3377386</v>
      </c>
      <c r="H1934">
        <v>2.8341515400000001</v>
      </c>
      <c r="I1934">
        <v>9.6783300000000006E-3</v>
      </c>
      <c r="J1934">
        <v>1</v>
      </c>
      <c r="K1934">
        <v>950093</v>
      </c>
      <c r="L1934">
        <f t="shared" si="271"/>
        <v>1.2805339269230769E-2</v>
      </c>
      <c r="M1934">
        <f t="shared" si="272"/>
        <v>5.1451484615384615E-3</v>
      </c>
      <c r="N1934">
        <f t="shared" si="273"/>
        <v>1.0900582846153847E-2</v>
      </c>
      <c r="O1934">
        <f t="shared" si="274"/>
        <v>8.0228656538461549E-3</v>
      </c>
      <c r="P1934">
        <f t="shared" si="270"/>
        <v>34.726926126255584</v>
      </c>
      <c r="R1934">
        <f t="shared" si="276"/>
        <v>-1.3602953963783926E-3</v>
      </c>
      <c r="S1934">
        <f>ABS(SUMIFS($R:$R,$K:$K,K1934))</f>
        <v>5.1469557879332967E-3</v>
      </c>
    </row>
    <row r="1935" spans="1:19" x14ac:dyDescent="0.2">
      <c r="A1935" t="s">
        <v>1946</v>
      </c>
      <c r="B1935">
        <v>5.8232989799999997</v>
      </c>
      <c r="C1935">
        <v>0.52059429000000002</v>
      </c>
      <c r="D1935">
        <v>5.9881770000000003</v>
      </c>
      <c r="E1935">
        <v>0.47410824000000001</v>
      </c>
      <c r="F1935">
        <v>3.3389938799999999</v>
      </c>
      <c r="G1935">
        <v>1.33712714</v>
      </c>
      <c r="H1935">
        <v>2.8127224399999999</v>
      </c>
      <c r="I1935">
        <v>9.6783300000000006E-3</v>
      </c>
      <c r="J1935">
        <v>1</v>
      </c>
      <c r="K1935">
        <v>950093</v>
      </c>
      <c r="L1935">
        <f t="shared" si="271"/>
        <v>1.2842284153846154E-2</v>
      </c>
      <c r="M1935">
        <f t="shared" si="272"/>
        <v>5.1427966923076919E-3</v>
      </c>
      <c r="N1935">
        <f t="shared" si="273"/>
        <v>1.0818163230769231E-2</v>
      </c>
      <c r="O1935">
        <f t="shared" si="274"/>
        <v>7.9804799615384604E-3</v>
      </c>
      <c r="P1935">
        <f t="shared" si="270"/>
        <v>29.459610524058903</v>
      </c>
      <c r="R1935">
        <f t="shared" si="276"/>
        <v>-2.0343468158474055E-3</v>
      </c>
    </row>
    <row r="1936" spans="1:19" x14ac:dyDescent="0.2">
      <c r="A1936" t="s">
        <v>1947</v>
      </c>
      <c r="B1936">
        <v>5.7931923400000001</v>
      </c>
      <c r="C1936">
        <v>0.41827103999999998</v>
      </c>
      <c r="D1936">
        <v>5.9446731499999999</v>
      </c>
      <c r="E1936">
        <v>0.47410824000000001</v>
      </c>
      <c r="F1936">
        <v>3.3408835200000002</v>
      </c>
      <c r="G1936">
        <v>1.3329827999999999</v>
      </c>
      <c r="H1936">
        <v>2.77704438</v>
      </c>
      <c r="I1936">
        <v>9.3131099999999994E-3</v>
      </c>
      <c r="J1936">
        <v>1</v>
      </c>
      <c r="K1936">
        <v>950093</v>
      </c>
      <c r="L1936">
        <f t="shared" si="271"/>
        <v>1.2849552E-2</v>
      </c>
      <c r="M1936">
        <f t="shared" si="272"/>
        <v>5.126856923076923E-3</v>
      </c>
      <c r="N1936">
        <f t="shared" si="273"/>
        <v>1.0680939923076923E-2</v>
      </c>
      <c r="O1936">
        <f t="shared" si="274"/>
        <v>7.9038984230769219E-3</v>
      </c>
      <c r="P1936">
        <f t="shared" si="270"/>
        <v>23.669299046466801</v>
      </c>
      <c r="R1936">
        <f t="shared" si="276"/>
        <v>-2.2014862940345175E-3</v>
      </c>
    </row>
    <row r="1937" spans="1:18" x14ac:dyDescent="0.2">
      <c r="A1937" t="s">
        <v>1948</v>
      </c>
      <c r="B1937">
        <v>5.7503682400000002</v>
      </c>
      <c r="C1937">
        <v>0.32479380000000002</v>
      </c>
      <c r="D1937">
        <v>5.8960511999999996</v>
      </c>
      <c r="E1937">
        <v>0.47410824000000001</v>
      </c>
      <c r="F1937">
        <v>3.33694677</v>
      </c>
      <c r="G1937">
        <v>1.3248979400000001</v>
      </c>
      <c r="H1937">
        <v>2.7306796000000002</v>
      </c>
      <c r="I1937">
        <v>9.1304999999999997E-3</v>
      </c>
      <c r="J1937">
        <v>1</v>
      </c>
      <c r="K1937">
        <v>950093</v>
      </c>
      <c r="L1937">
        <f t="shared" si="271"/>
        <v>1.2834410653846154E-2</v>
      </c>
      <c r="M1937">
        <f t="shared" si="272"/>
        <v>5.0957613076923081E-3</v>
      </c>
      <c r="N1937">
        <f t="shared" si="273"/>
        <v>1.0502613846153848E-2</v>
      </c>
      <c r="O1937">
        <f t="shared" si="274"/>
        <v>7.799187576923077E-3</v>
      </c>
      <c r="P1937">
        <f t="shared" si="270"/>
        <v>18.3795693353246</v>
      </c>
      <c r="R1937">
        <f t="shared" si="276"/>
        <v>-1.9962806126379387E-3</v>
      </c>
    </row>
    <row r="1938" spans="1:18" x14ac:dyDescent="0.2">
      <c r="A1938" t="s">
        <v>1949</v>
      </c>
      <c r="B1938">
        <v>5.6987197800000002</v>
      </c>
      <c r="C1938">
        <v>0.24016256999999999</v>
      </c>
      <c r="D1938">
        <v>5.84026391</v>
      </c>
      <c r="E1938">
        <v>0.47410824000000001</v>
      </c>
      <c r="F1938">
        <v>3.3326950800000001</v>
      </c>
      <c r="G1938">
        <v>1.3132801999999999</v>
      </c>
      <c r="H1938">
        <v>2.67735732</v>
      </c>
      <c r="I1938">
        <v>9.3131099999999994E-3</v>
      </c>
      <c r="J1938">
        <v>1</v>
      </c>
      <c r="K1938">
        <v>950093</v>
      </c>
      <c r="L1938">
        <f t="shared" si="271"/>
        <v>1.2818058E-2</v>
      </c>
      <c r="M1938">
        <f t="shared" si="272"/>
        <v>5.0510776923076922E-3</v>
      </c>
      <c r="N1938">
        <f t="shared" si="273"/>
        <v>1.0297528153846155E-2</v>
      </c>
      <c r="O1938">
        <f t="shared" si="274"/>
        <v>7.6743029230769231E-3</v>
      </c>
      <c r="P1938">
        <f t="shared" si="270"/>
        <v>13.590421390632295</v>
      </c>
      <c r="R1938">
        <f t="shared" si="276"/>
        <v>-1.5193281616251093E-3</v>
      </c>
    </row>
    <row r="1939" spans="1:18" x14ac:dyDescent="0.2">
      <c r="A1939" t="s">
        <v>1950</v>
      </c>
      <c r="B1939">
        <v>5.6457736199999999</v>
      </c>
      <c r="C1939">
        <v>0.16477343999999999</v>
      </c>
      <c r="D1939">
        <v>5.7870356699999999</v>
      </c>
      <c r="E1939">
        <v>0.53337177000000002</v>
      </c>
      <c r="F1939">
        <v>3.3211997700000002</v>
      </c>
      <c r="G1939">
        <v>1.29853722</v>
      </c>
      <c r="H1939">
        <v>2.6231444800000001</v>
      </c>
      <c r="I1939">
        <v>9.3131099999999994E-3</v>
      </c>
      <c r="J1939">
        <v>1</v>
      </c>
      <c r="K1939">
        <v>950093</v>
      </c>
      <c r="L1939">
        <f t="shared" si="271"/>
        <v>1.277384526923077E-2</v>
      </c>
      <c r="M1939">
        <f t="shared" si="272"/>
        <v>4.9943739230769229E-3</v>
      </c>
      <c r="N1939">
        <f t="shared" si="273"/>
        <v>1.0089017230769231E-2</v>
      </c>
      <c r="O1939">
        <f t="shared" si="274"/>
        <v>7.5416955769230772E-3</v>
      </c>
      <c r="P1939">
        <f t="shared" si="270"/>
        <v>9.3242693213354055</v>
      </c>
      <c r="R1939">
        <f t="shared" si="276"/>
        <v>-9.7559748657988492E-4</v>
      </c>
    </row>
    <row r="1940" spans="1:18" x14ac:dyDescent="0.2">
      <c r="A1940" t="s">
        <v>1951</v>
      </c>
      <c r="B1940">
        <v>5.5917893000000003</v>
      </c>
      <c r="C1940">
        <v>9.9946709999999994E-2</v>
      </c>
      <c r="D1940">
        <v>5.7353428600000003</v>
      </c>
      <c r="E1940">
        <v>0.67165333999999999</v>
      </c>
      <c r="F1940">
        <v>3.3029332500000002</v>
      </c>
      <c r="G1940">
        <v>1.28379424</v>
      </c>
      <c r="H1940">
        <v>2.5701561599999998</v>
      </c>
      <c r="I1940">
        <v>9.4957199999999992E-3</v>
      </c>
      <c r="J1940">
        <v>1</v>
      </c>
      <c r="K1940">
        <v>950093</v>
      </c>
      <c r="L1940">
        <f t="shared" si="271"/>
        <v>1.2703589423076924E-2</v>
      </c>
      <c r="M1940">
        <f t="shared" si="272"/>
        <v>4.9376701538461536E-3</v>
      </c>
      <c r="N1940">
        <f t="shared" si="273"/>
        <v>9.8852159999999988E-3</v>
      </c>
      <c r="O1940">
        <f t="shared" si="274"/>
        <v>7.4114430769230757E-3</v>
      </c>
      <c r="P1940">
        <f t="shared" si="270"/>
        <v>5.6558268239189919</v>
      </c>
      <c r="R1940">
        <f t="shared" si="276"/>
        <v>-4.0683716903766067E-4</v>
      </c>
    </row>
    <row r="1941" spans="1:18" x14ac:dyDescent="0.2">
      <c r="A1941" t="s">
        <v>1952</v>
      </c>
      <c r="B1941">
        <v>5.5531178399999996</v>
      </c>
      <c r="C1941">
        <v>5.3604180000000001E-2</v>
      </c>
      <c r="D1941">
        <v>5.69490987</v>
      </c>
      <c r="E1941">
        <v>1.0864980500000001</v>
      </c>
      <c r="F1941">
        <v>3.28561155</v>
      </c>
      <c r="G1941">
        <v>1.27244826</v>
      </c>
      <c r="H1941">
        <v>2.5328083000000001</v>
      </c>
      <c r="I1941">
        <v>9.6783300000000006E-3</v>
      </c>
      <c r="J1941">
        <v>1</v>
      </c>
      <c r="K1941">
        <v>950093</v>
      </c>
      <c r="L1941">
        <f t="shared" si="271"/>
        <v>1.26369675E-2</v>
      </c>
      <c r="M1941">
        <f t="shared" si="272"/>
        <v>4.8940317692307694E-3</v>
      </c>
      <c r="N1941">
        <f t="shared" si="273"/>
        <v>9.7415703846153844E-3</v>
      </c>
      <c r="O1941">
        <f t="shared" si="274"/>
        <v>7.3178010769230769E-3</v>
      </c>
      <c r="P1941">
        <f t="shared" si="270"/>
        <v>3.0333760772934095</v>
      </c>
      <c r="R1941">
        <f t="shared" si="276"/>
        <v>-7.8803462591852679E-5</v>
      </c>
    </row>
    <row r="1942" spans="1:18" x14ac:dyDescent="0.2">
      <c r="A1942" t="s">
        <v>1953</v>
      </c>
      <c r="B1942">
        <v>5.53884314</v>
      </c>
      <c r="C1942">
        <v>5.0831550000000003E-2</v>
      </c>
      <c r="D1942">
        <v>5.6821146200000001</v>
      </c>
      <c r="E1942">
        <v>1.1457615800000001</v>
      </c>
      <c r="F1942">
        <v>3.26781744</v>
      </c>
      <c r="G1942">
        <v>1.2693230200000001</v>
      </c>
      <c r="H1942">
        <v>2.5220659200000002</v>
      </c>
      <c r="I1942">
        <v>9.6783300000000006E-3</v>
      </c>
      <c r="J1942">
        <v>1</v>
      </c>
      <c r="K1942">
        <v>950093</v>
      </c>
      <c r="L1942">
        <f t="shared" si="271"/>
        <v>1.2568528615384615E-2</v>
      </c>
      <c r="M1942">
        <f t="shared" si="272"/>
        <v>4.882011615384616E-3</v>
      </c>
      <c r="N1942">
        <f t="shared" si="273"/>
        <v>9.7002535384615399E-3</v>
      </c>
      <c r="O1942">
        <f t="shared" si="274"/>
        <v>7.2911325769230767E-3</v>
      </c>
      <c r="P1942">
        <f t="shared" si="270"/>
        <v>2.8764773146747848</v>
      </c>
      <c r="R1942">
        <f t="shared" si="276"/>
        <v>1.7114551509684188E-4</v>
      </c>
    </row>
    <row r="1943" spans="1:18" x14ac:dyDescent="0.2">
      <c r="A1943" t="s">
        <v>1954</v>
      </c>
      <c r="B1943">
        <v>5.5562323200000003</v>
      </c>
      <c r="C1943">
        <v>0.10760445</v>
      </c>
      <c r="D1943">
        <v>5.7010515899999996</v>
      </c>
      <c r="E1943">
        <v>1.0864980500000001</v>
      </c>
      <c r="F1943">
        <v>3.24718887</v>
      </c>
      <c r="G1943">
        <v>1.2689153799999999</v>
      </c>
      <c r="H1943">
        <v>2.54232616</v>
      </c>
      <c r="I1943">
        <v>9.6783300000000006E-3</v>
      </c>
      <c r="J1943">
        <v>1</v>
      </c>
      <c r="K1943">
        <v>950093</v>
      </c>
      <c r="L1943">
        <f t="shared" si="271"/>
        <v>1.2489187961538462E-2</v>
      </c>
      <c r="M1943">
        <f t="shared" si="272"/>
        <v>4.8804437692307693E-3</v>
      </c>
      <c r="N1943">
        <f t="shared" si="273"/>
        <v>9.7781775384615383E-3</v>
      </c>
      <c r="O1943">
        <f t="shared" si="274"/>
        <v>7.3293106538461538E-3</v>
      </c>
      <c r="P1943">
        <f t="shared" si="270"/>
        <v>6.0891662635323369</v>
      </c>
      <c r="R1943">
        <f t="shared" si="276"/>
        <v>7.8723544957094846E-4</v>
      </c>
    </row>
    <row r="1944" spans="1:18" x14ac:dyDescent="0.2">
      <c r="A1944" t="s">
        <v>1955</v>
      </c>
      <c r="B1944">
        <v>5.5967205599999996</v>
      </c>
      <c r="C1944">
        <v>0.18853884000000001</v>
      </c>
      <c r="D1944">
        <v>5.7414845799999998</v>
      </c>
      <c r="E1944">
        <v>0.96797098999999998</v>
      </c>
      <c r="F1944">
        <v>3.2345912700000001</v>
      </c>
      <c r="G1944">
        <v>1.27530174</v>
      </c>
      <c r="H1944">
        <v>2.58479474</v>
      </c>
      <c r="I1944">
        <v>9.8609400000000003E-3</v>
      </c>
      <c r="J1944">
        <v>1</v>
      </c>
      <c r="K1944">
        <v>950094</v>
      </c>
      <c r="L1944">
        <f t="shared" si="271"/>
        <v>1.2440735653846154E-2</v>
      </c>
      <c r="M1944">
        <f t="shared" si="272"/>
        <v>4.905006692307692E-3</v>
      </c>
      <c r="N1944">
        <f t="shared" si="273"/>
        <v>9.94151823076923E-3</v>
      </c>
      <c r="O1944">
        <f t="shared" si="274"/>
        <v>7.4232624615384619E-3</v>
      </c>
      <c r="P1944">
        <f t="shared" si="270"/>
        <v>10.669115858066476</v>
      </c>
      <c r="Q1944">
        <f t="shared" ref="Q1944" si="277">ABS(0.5*(SUMPRODUCT(O1944:O1962,P1945:P1963)+O1963*P1944-(SUMPRODUCT(O1945:O1963,P1944:P1962)+O1944*P1963)))</f>
        <v>5.1933350947792611E-3</v>
      </c>
      <c r="R1944">
        <f t="shared" si="276"/>
        <v>1.8084946433729371E-3</v>
      </c>
    </row>
    <row r="1945" spans="1:18" x14ac:dyDescent="0.2">
      <c r="A1945" t="s">
        <v>1956</v>
      </c>
      <c r="B1945">
        <v>5.6496667199999999</v>
      </c>
      <c r="C1945">
        <v>0.28280825999999998</v>
      </c>
      <c r="D1945">
        <v>5.7993191099999999</v>
      </c>
      <c r="E1945">
        <v>0.79018040000000001</v>
      </c>
      <c r="F1945">
        <v>3.2298671699999999</v>
      </c>
      <c r="G1945">
        <v>1.28943326</v>
      </c>
      <c r="H1945">
        <v>2.6411783199999999</v>
      </c>
      <c r="I1945">
        <v>9.6783300000000006E-3</v>
      </c>
      <c r="J1945">
        <v>1</v>
      </c>
      <c r="K1945">
        <v>950094</v>
      </c>
      <c r="L1945">
        <f t="shared" si="271"/>
        <v>1.2422566038461537E-2</v>
      </c>
      <c r="M1945">
        <f t="shared" si="272"/>
        <v>4.9593586923076926E-3</v>
      </c>
      <c r="N1945">
        <f t="shared" si="273"/>
        <v>1.0158378153846154E-2</v>
      </c>
      <c r="O1945">
        <f t="shared" si="274"/>
        <v>7.5588684230769232E-3</v>
      </c>
      <c r="P1945">
        <f t="shared" si="270"/>
        <v>16.003673787099711</v>
      </c>
      <c r="R1945">
        <f t="shared" si="276"/>
        <v>2.8993535157639154E-3</v>
      </c>
    </row>
    <row r="1946" spans="1:18" x14ac:dyDescent="0.2">
      <c r="A1946" t="s">
        <v>1957</v>
      </c>
      <c r="B1946">
        <v>5.7106586200000002</v>
      </c>
      <c r="C1946">
        <v>0.39080880000000001</v>
      </c>
      <c r="D1946">
        <v>5.8679016500000003</v>
      </c>
      <c r="E1946">
        <v>0.67165333999999999</v>
      </c>
      <c r="F1946">
        <v>3.22844994</v>
      </c>
      <c r="G1946">
        <v>1.30519534</v>
      </c>
      <c r="H1946">
        <v>2.7045194000000001</v>
      </c>
      <c r="I1946">
        <v>9.6783300000000006E-3</v>
      </c>
      <c r="J1946">
        <v>1</v>
      </c>
      <c r="K1946">
        <v>950094</v>
      </c>
      <c r="L1946">
        <f t="shared" si="271"/>
        <v>1.2417115153846154E-2</v>
      </c>
      <c r="M1946">
        <f t="shared" si="272"/>
        <v>5.0199820769230774E-3</v>
      </c>
      <c r="N1946">
        <f t="shared" si="273"/>
        <v>1.0401997692307693E-2</v>
      </c>
      <c r="O1946">
        <f t="shared" si="274"/>
        <v>7.7109898846153841E-3</v>
      </c>
      <c r="P1946">
        <f t="shared" si="270"/>
        <v>22.115254159577567</v>
      </c>
      <c r="R1946">
        <f t="shared" si="276"/>
        <v>3.8036077681514904E-3</v>
      </c>
    </row>
    <row r="1947" spans="1:18" x14ac:dyDescent="0.2">
      <c r="A1947" t="s">
        <v>1958</v>
      </c>
      <c r="B1947">
        <v>5.7700932800000002</v>
      </c>
      <c r="C1947">
        <v>0.52257474000000004</v>
      </c>
      <c r="D1947">
        <v>5.9385314300000003</v>
      </c>
      <c r="E1947">
        <v>0.53337177000000002</v>
      </c>
      <c r="F1947">
        <v>3.2336464500000002</v>
      </c>
      <c r="G1947">
        <v>1.3190550999999999</v>
      </c>
      <c r="H1947">
        <v>2.7671925599999998</v>
      </c>
      <c r="I1947">
        <v>9.6783300000000006E-3</v>
      </c>
      <c r="J1947">
        <v>1</v>
      </c>
      <c r="K1947">
        <v>950094</v>
      </c>
      <c r="L1947">
        <f t="shared" si="271"/>
        <v>1.2437101730769231E-2</v>
      </c>
      <c r="M1947">
        <f t="shared" si="272"/>
        <v>5.0732888461538462E-3</v>
      </c>
      <c r="N1947">
        <f t="shared" si="273"/>
        <v>1.0643048307692306E-2</v>
      </c>
      <c r="O1947">
        <f t="shared" si="274"/>
        <v>7.8581685769230757E-3</v>
      </c>
      <c r="P1947">
        <f t="shared" si="270"/>
        <v>29.571681068786493</v>
      </c>
      <c r="R1947">
        <f t="shared" si="276"/>
        <v>4.4273584956329931E-3</v>
      </c>
    </row>
    <row r="1948" spans="1:18" x14ac:dyDescent="0.2">
      <c r="A1948" t="s">
        <v>1959</v>
      </c>
      <c r="B1948">
        <v>5.8310851799999996</v>
      </c>
      <c r="C1948">
        <v>0.70305974999999998</v>
      </c>
      <c r="D1948">
        <v>6.0025076799999999</v>
      </c>
      <c r="E1948">
        <v>0.53337177000000002</v>
      </c>
      <c r="F1948">
        <v>3.24718887</v>
      </c>
      <c r="G1948">
        <v>1.3300613800000001</v>
      </c>
      <c r="H1948">
        <v>2.8225742600000001</v>
      </c>
      <c r="I1948">
        <v>9.6783300000000006E-3</v>
      </c>
      <c r="J1948">
        <v>1</v>
      </c>
      <c r="K1948">
        <v>950094</v>
      </c>
      <c r="L1948">
        <f t="shared" si="271"/>
        <v>1.2489187961538462E-2</v>
      </c>
      <c r="M1948">
        <f t="shared" si="272"/>
        <v>5.1156206923076925E-3</v>
      </c>
      <c r="N1948">
        <f t="shared" si="273"/>
        <v>1.0856054846153847E-2</v>
      </c>
      <c r="O1948">
        <f t="shared" si="274"/>
        <v>7.9858377692307685E-3</v>
      </c>
      <c r="P1948">
        <f t="shared" si="270"/>
        <v>39.785043378294098</v>
      </c>
      <c r="R1948">
        <f t="shared" si="276"/>
        <v>2.8661460078872334E-3</v>
      </c>
    </row>
    <row r="1949" spans="1:18" x14ac:dyDescent="0.2">
      <c r="A1949" t="s">
        <v>1960</v>
      </c>
      <c r="B1949">
        <v>5.8700161800000004</v>
      </c>
      <c r="C1949">
        <v>0.82558359000000003</v>
      </c>
      <c r="D1949">
        <v>6.0398698099999999</v>
      </c>
      <c r="E1949">
        <v>0.53337177000000002</v>
      </c>
      <c r="F1949">
        <v>3.2634082800000002</v>
      </c>
      <c r="G1949">
        <v>1.33563246</v>
      </c>
      <c r="H1949">
        <v>2.8514618</v>
      </c>
      <c r="I1949">
        <v>9.6783300000000006E-3</v>
      </c>
      <c r="J1949">
        <v>1</v>
      </c>
      <c r="K1949">
        <v>950094</v>
      </c>
      <c r="L1949">
        <f t="shared" si="271"/>
        <v>1.2551570307692309E-2</v>
      </c>
      <c r="M1949">
        <f t="shared" si="272"/>
        <v>5.1370479230769235E-3</v>
      </c>
      <c r="N1949">
        <f t="shared" si="273"/>
        <v>1.0967160769230769E-2</v>
      </c>
      <c r="O1949">
        <f t="shared" si="274"/>
        <v>8.0521043461538461E-3</v>
      </c>
      <c r="P1949">
        <f t="shared" si="270"/>
        <v>46.718474412107611</v>
      </c>
      <c r="R1949">
        <f t="shared" si="276"/>
        <v>9.2810010349079152E-4</v>
      </c>
    </row>
    <row r="1950" spans="1:18" x14ac:dyDescent="0.2">
      <c r="A1950" t="s">
        <v>1961</v>
      </c>
      <c r="B1950">
        <v>5.88013824</v>
      </c>
      <c r="C1950">
        <v>0.85344191999999997</v>
      </c>
      <c r="D1950">
        <v>6.04754696</v>
      </c>
      <c r="E1950">
        <v>0.53337177000000002</v>
      </c>
      <c r="F1950">
        <v>3.27742311</v>
      </c>
      <c r="G1950">
        <v>1.3373309600000001</v>
      </c>
      <c r="H1950">
        <v>2.8599221199999998</v>
      </c>
      <c r="I1950">
        <v>9.4957199999999992E-3</v>
      </c>
      <c r="J1950">
        <v>1</v>
      </c>
      <c r="K1950">
        <v>950094</v>
      </c>
      <c r="L1950">
        <f t="shared" si="271"/>
        <v>1.26054735E-2</v>
      </c>
      <c r="M1950">
        <f t="shared" si="272"/>
        <v>5.1435806153846157E-3</v>
      </c>
      <c r="N1950">
        <f t="shared" si="273"/>
        <v>1.0999700461538461E-2</v>
      </c>
      <c r="O1950">
        <f t="shared" si="274"/>
        <v>8.0716405384615372E-3</v>
      </c>
      <c r="P1950">
        <f t="shared" si="270"/>
        <v>48.294933407942359</v>
      </c>
      <c r="R1950">
        <f t="shared" si="276"/>
        <v>3.1387589214622747E-4</v>
      </c>
    </row>
    <row r="1951" spans="1:18" x14ac:dyDescent="0.2">
      <c r="A1951" t="s">
        <v>1962</v>
      </c>
      <c r="B1951">
        <v>5.8874053599999998</v>
      </c>
      <c r="C1951">
        <v>0.85542236999999999</v>
      </c>
      <c r="D1951">
        <v>6.0490823899999997</v>
      </c>
      <c r="E1951">
        <v>0.53337177000000002</v>
      </c>
      <c r="F1951">
        <v>3.2928551700000002</v>
      </c>
      <c r="G1951">
        <v>1.3381462399999999</v>
      </c>
      <c r="H1951">
        <v>2.8624824800000002</v>
      </c>
      <c r="I1951">
        <v>9.4957199999999992E-3</v>
      </c>
      <c r="J1951">
        <v>1</v>
      </c>
      <c r="K1951">
        <v>950094</v>
      </c>
      <c r="L1951">
        <f t="shared" si="271"/>
        <v>1.2664827576923077E-2</v>
      </c>
      <c r="M1951">
        <f t="shared" si="272"/>
        <v>5.1467163076923074E-3</v>
      </c>
      <c r="N1951">
        <f t="shared" si="273"/>
        <v>1.1009548000000001E-2</v>
      </c>
      <c r="O1951">
        <f t="shared" si="274"/>
        <v>8.0781321538461546E-3</v>
      </c>
      <c r="P1951">
        <f t="shared" si="270"/>
        <v>48.407003952669953</v>
      </c>
      <c r="R1951">
        <f t="shared" si="276"/>
        <v>-1.0662638956461508E-4</v>
      </c>
    </row>
    <row r="1952" spans="1:18" x14ac:dyDescent="0.2">
      <c r="A1952" t="s">
        <v>1963</v>
      </c>
      <c r="B1952">
        <v>5.8809168600000001</v>
      </c>
      <c r="C1952">
        <v>0.82109456999999997</v>
      </c>
      <c r="D1952">
        <v>6.0490823899999997</v>
      </c>
      <c r="E1952">
        <v>0.53337177000000002</v>
      </c>
      <c r="F1952">
        <v>3.3090745799999999</v>
      </c>
      <c r="G1952">
        <v>1.3381462399999999</v>
      </c>
      <c r="H1952">
        <v>2.8613136199999998</v>
      </c>
      <c r="I1952">
        <v>9.6783300000000006E-3</v>
      </c>
      <c r="J1952">
        <v>1</v>
      </c>
      <c r="K1952">
        <v>950094</v>
      </c>
      <c r="L1952">
        <f t="shared" si="271"/>
        <v>1.2727209923076922E-2</v>
      </c>
      <c r="M1952">
        <f t="shared" si="272"/>
        <v>5.1467163076923074E-3</v>
      </c>
      <c r="N1952">
        <f t="shared" si="273"/>
        <v>1.1005052384615384E-2</v>
      </c>
      <c r="O1952">
        <f t="shared" si="274"/>
        <v>8.0758843461538454E-3</v>
      </c>
      <c r="P1952">
        <f t="shared" si="270"/>
        <v>46.464447844058405</v>
      </c>
      <c r="R1952">
        <f t="shared" si="276"/>
        <v>-1.1004177047876939E-3</v>
      </c>
    </row>
    <row r="1953" spans="1:19" x14ac:dyDescent="0.2">
      <c r="A1953" t="s">
        <v>1964</v>
      </c>
      <c r="B1953">
        <v>5.8611918200000002</v>
      </c>
      <c r="C1953">
        <v>0.70556832000000003</v>
      </c>
      <c r="D1953">
        <v>6.03526352</v>
      </c>
      <c r="E1953">
        <v>0.47410824000000001</v>
      </c>
      <c r="F1953">
        <v>3.3216721800000002</v>
      </c>
      <c r="G1953">
        <v>1.3381462399999999</v>
      </c>
      <c r="H1953">
        <v>2.84806654</v>
      </c>
      <c r="I1953">
        <v>9.8609400000000003E-3</v>
      </c>
      <c r="J1953">
        <v>1</v>
      </c>
      <c r="K1953">
        <v>950094</v>
      </c>
      <c r="L1953">
        <f t="shared" si="271"/>
        <v>1.2775662230769232E-2</v>
      </c>
      <c r="M1953">
        <f t="shared" si="272"/>
        <v>5.1467163076923074E-3</v>
      </c>
      <c r="N1953">
        <f t="shared" si="273"/>
        <v>1.0954102076923078E-2</v>
      </c>
      <c r="O1953">
        <f t="shared" si="274"/>
        <v>8.050409192307692E-3</v>
      </c>
      <c r="P1953">
        <f t="shared" si="270"/>
        <v>39.926999401615717</v>
      </c>
      <c r="R1953">
        <f t="shared" si="276"/>
        <v>-9.8921628509444676E-4</v>
      </c>
    </row>
    <row r="1954" spans="1:19" x14ac:dyDescent="0.2">
      <c r="A1954" t="s">
        <v>1965</v>
      </c>
      <c r="B1954">
        <v>5.84847436</v>
      </c>
      <c r="C1954">
        <v>0.61327935</v>
      </c>
      <c r="D1954">
        <v>6.0193974099999998</v>
      </c>
      <c r="E1954">
        <v>0.47410824000000001</v>
      </c>
      <c r="F1954">
        <v>3.3273410999999999</v>
      </c>
      <c r="G1954">
        <v>1.3379424200000001</v>
      </c>
      <c r="H1954">
        <v>2.8344855</v>
      </c>
      <c r="I1954">
        <v>9.6783300000000006E-3</v>
      </c>
      <c r="J1954">
        <v>1</v>
      </c>
      <c r="K1954">
        <v>950094</v>
      </c>
      <c r="L1954">
        <f t="shared" si="271"/>
        <v>1.2797465769230769E-2</v>
      </c>
      <c r="M1954">
        <f t="shared" si="272"/>
        <v>5.1459323846153853E-3</v>
      </c>
      <c r="N1954">
        <f t="shared" si="273"/>
        <v>1.0901867307692308E-2</v>
      </c>
      <c r="O1954">
        <f t="shared" si="274"/>
        <v>8.0238998461538476E-3</v>
      </c>
      <c r="P1954">
        <f t="shared" si="270"/>
        <v>34.704512017310066</v>
      </c>
      <c r="R1954">
        <f t="shared" si="276"/>
        <v>-1.3804244645042054E-3</v>
      </c>
    </row>
    <row r="1955" spans="1:19" x14ac:dyDescent="0.2">
      <c r="A1955" t="s">
        <v>1966</v>
      </c>
      <c r="B1955">
        <v>5.8271920799999997</v>
      </c>
      <c r="C1955">
        <v>0.52059429000000002</v>
      </c>
      <c r="D1955">
        <v>5.98971243</v>
      </c>
      <c r="E1955">
        <v>0.41484471000000001</v>
      </c>
      <c r="F1955">
        <v>3.33647436</v>
      </c>
      <c r="G1955">
        <v>1.3373309600000001</v>
      </c>
      <c r="H1955">
        <v>2.8127224399999999</v>
      </c>
      <c r="I1955">
        <v>9.8609400000000003E-3</v>
      </c>
      <c r="J1955">
        <v>1</v>
      </c>
      <c r="K1955">
        <v>950094</v>
      </c>
      <c r="L1955">
        <f t="shared" si="271"/>
        <v>1.2832593692307692E-2</v>
      </c>
      <c r="M1955">
        <f t="shared" si="272"/>
        <v>5.1435806153846157E-3</v>
      </c>
      <c r="N1955">
        <f t="shared" si="273"/>
        <v>1.0818163230769231E-2</v>
      </c>
      <c r="O1955">
        <f t="shared" si="274"/>
        <v>7.9808719230769227E-3</v>
      </c>
      <c r="P1955">
        <f t="shared" si="270"/>
        <v>29.459610524058903</v>
      </c>
      <c r="R1955">
        <f t="shared" si="276"/>
        <v>-2.025816560731919E-3</v>
      </c>
      <c r="S1955">
        <f>ABS(SUMIFS($R:$R,$K:$K,K1955))</f>
        <v>5.192863840293431E-3</v>
      </c>
    </row>
    <row r="1956" spans="1:19" x14ac:dyDescent="0.2">
      <c r="A1956" t="s">
        <v>1967</v>
      </c>
      <c r="B1956">
        <v>5.7939709600000002</v>
      </c>
      <c r="C1956">
        <v>0.41827103999999998</v>
      </c>
      <c r="D1956">
        <v>5.9477440100000001</v>
      </c>
      <c r="E1956">
        <v>0.41484471000000001</v>
      </c>
      <c r="F1956">
        <v>3.3418283400000002</v>
      </c>
      <c r="G1956">
        <v>1.33318662</v>
      </c>
      <c r="H1956">
        <v>2.7772113599999999</v>
      </c>
      <c r="I1956">
        <v>9.4957199999999992E-3</v>
      </c>
      <c r="J1956">
        <v>1</v>
      </c>
      <c r="K1956">
        <v>950094</v>
      </c>
      <c r="L1956">
        <f t="shared" si="271"/>
        <v>1.2853185923076924E-2</v>
      </c>
      <c r="M1956">
        <f t="shared" si="272"/>
        <v>5.1276408461538459E-3</v>
      </c>
      <c r="N1956">
        <f t="shared" si="273"/>
        <v>1.0681582153846153E-2</v>
      </c>
      <c r="O1956">
        <f t="shared" si="274"/>
        <v>7.9046115000000004E-3</v>
      </c>
      <c r="P1956">
        <f t="shared" si="270"/>
        <v>23.669299046466801</v>
      </c>
      <c r="R1956">
        <f t="shared" si="276"/>
        <v>-2.2050154920410904E-3</v>
      </c>
    </row>
    <row r="1957" spans="1:19" x14ac:dyDescent="0.2">
      <c r="A1957" t="s">
        <v>1968</v>
      </c>
      <c r="B1957">
        <v>5.7511468600000004</v>
      </c>
      <c r="C1957">
        <v>0.32320944000000001</v>
      </c>
      <c r="D1957">
        <v>5.8960511999999996</v>
      </c>
      <c r="E1957">
        <v>0.41484471000000001</v>
      </c>
      <c r="F1957">
        <v>3.3394662899999998</v>
      </c>
      <c r="G1957">
        <v>1.3248979400000001</v>
      </c>
      <c r="H1957">
        <v>2.7308465800000001</v>
      </c>
      <c r="I1957">
        <v>9.6783300000000006E-3</v>
      </c>
      <c r="J1957">
        <v>1</v>
      </c>
      <c r="K1957">
        <v>950094</v>
      </c>
      <c r="L1957">
        <f t="shared" si="271"/>
        <v>1.2844101115384615E-2</v>
      </c>
      <c r="M1957">
        <f t="shared" si="272"/>
        <v>5.0957613076923081E-3</v>
      </c>
      <c r="N1957">
        <f t="shared" si="273"/>
        <v>1.0503256076923078E-2</v>
      </c>
      <c r="O1957">
        <f t="shared" si="274"/>
        <v>7.7995086923076931E-3</v>
      </c>
      <c r="P1957">
        <f t="shared" si="270"/>
        <v>18.289912899542529</v>
      </c>
      <c r="R1957">
        <f t="shared" si="276"/>
        <v>-1.9906173789567927E-3</v>
      </c>
    </row>
    <row r="1958" spans="1:19" x14ac:dyDescent="0.2">
      <c r="A1958" t="s">
        <v>1969</v>
      </c>
      <c r="B1958">
        <v>5.6979411600000001</v>
      </c>
      <c r="C1958">
        <v>0.24095475</v>
      </c>
      <c r="D1958">
        <v>5.8433347700000002</v>
      </c>
      <c r="E1958">
        <v>0.41484471000000001</v>
      </c>
      <c r="F1958">
        <v>3.3326950800000001</v>
      </c>
      <c r="G1958">
        <v>1.31287256</v>
      </c>
      <c r="H1958">
        <v>2.6780252400000002</v>
      </c>
      <c r="I1958">
        <v>9.8609400000000003E-3</v>
      </c>
      <c r="J1958">
        <v>1</v>
      </c>
      <c r="K1958">
        <v>950094</v>
      </c>
      <c r="L1958">
        <f t="shared" si="271"/>
        <v>1.2818058E-2</v>
      </c>
      <c r="M1958">
        <f t="shared" si="272"/>
        <v>5.0495098461538464E-3</v>
      </c>
      <c r="N1958">
        <f t="shared" si="273"/>
        <v>1.0300097076923078E-2</v>
      </c>
      <c r="O1958">
        <f t="shared" si="274"/>
        <v>7.6748034615384611E-3</v>
      </c>
      <c r="P1958">
        <f t="shared" si="270"/>
        <v>13.635249608523331</v>
      </c>
      <c r="R1958">
        <f t="shared" si="276"/>
        <v>-1.5265215832477896E-3</v>
      </c>
    </row>
    <row r="1959" spans="1:19" x14ac:dyDescent="0.2">
      <c r="A1959" t="s">
        <v>1970</v>
      </c>
      <c r="B1959">
        <v>5.6465522400000001</v>
      </c>
      <c r="C1959">
        <v>0.16556562</v>
      </c>
      <c r="D1959">
        <v>5.7839648099999996</v>
      </c>
      <c r="E1959">
        <v>0.41484471000000001</v>
      </c>
      <c r="F1959">
        <v>3.3235618200000001</v>
      </c>
      <c r="G1959">
        <v>1.2987410399999999</v>
      </c>
      <c r="H1959">
        <v>2.6231444800000001</v>
      </c>
      <c r="I1959">
        <v>9.8609400000000003E-3</v>
      </c>
      <c r="J1959">
        <v>1</v>
      </c>
      <c r="K1959">
        <v>950094</v>
      </c>
      <c r="L1959">
        <f t="shared" si="271"/>
        <v>1.2782930076923077E-2</v>
      </c>
      <c r="M1959">
        <f t="shared" si="272"/>
        <v>4.9951578461538458E-3</v>
      </c>
      <c r="N1959">
        <f t="shared" si="273"/>
        <v>1.0089017230769231E-2</v>
      </c>
      <c r="O1959">
        <f t="shared" si="274"/>
        <v>7.5420875384615386E-3</v>
      </c>
      <c r="P1959">
        <f t="shared" si="270"/>
        <v>9.3690975392264413</v>
      </c>
      <c r="R1959">
        <f t="shared" si="276"/>
        <v>-9.9809599369742388E-4</v>
      </c>
    </row>
    <row r="1960" spans="1:19" x14ac:dyDescent="0.2">
      <c r="A1960" t="s">
        <v>1971</v>
      </c>
      <c r="B1960">
        <v>5.5925679199999996</v>
      </c>
      <c r="C1960">
        <v>0.10153107</v>
      </c>
      <c r="D1960">
        <v>5.7353428600000003</v>
      </c>
      <c r="E1960">
        <v>0.67165333999999999</v>
      </c>
      <c r="F1960">
        <v>3.30624012</v>
      </c>
      <c r="G1960">
        <v>1.2833866</v>
      </c>
      <c r="H1960">
        <v>2.5698221999999999</v>
      </c>
      <c r="I1960">
        <v>9.8609400000000003E-3</v>
      </c>
      <c r="J1960">
        <v>1</v>
      </c>
      <c r="K1960">
        <v>950094</v>
      </c>
      <c r="L1960">
        <f t="shared" si="271"/>
        <v>1.2716308153846154E-2</v>
      </c>
      <c r="M1960">
        <f t="shared" si="272"/>
        <v>4.9361023076923078E-3</v>
      </c>
      <c r="N1960">
        <f t="shared" si="273"/>
        <v>9.8839315384615378E-3</v>
      </c>
      <c r="O1960">
        <f t="shared" si="274"/>
        <v>7.4100169230769232E-3</v>
      </c>
      <c r="P1960">
        <f t="shared" si="270"/>
        <v>5.7454832597010634</v>
      </c>
      <c r="R1960">
        <f t="shared" si="276"/>
        <v>-4.0728302359616017E-4</v>
      </c>
    </row>
    <row r="1961" spans="1:19" x14ac:dyDescent="0.2">
      <c r="A1961" t="s">
        <v>1972</v>
      </c>
      <c r="B1961">
        <v>5.5515606000000002</v>
      </c>
      <c r="C1961">
        <v>5.3604180000000001E-2</v>
      </c>
      <c r="D1961">
        <v>5.6933744400000004</v>
      </c>
      <c r="E1961">
        <v>0.96797098999999998</v>
      </c>
      <c r="F1961">
        <v>3.28561155</v>
      </c>
      <c r="G1961">
        <v>1.2726520800000001</v>
      </c>
      <c r="H1961">
        <v>2.5323073599999999</v>
      </c>
      <c r="I1961">
        <v>9.8609400000000003E-3</v>
      </c>
      <c r="J1961">
        <v>1</v>
      </c>
      <c r="K1961">
        <v>950094</v>
      </c>
      <c r="L1961">
        <f t="shared" si="271"/>
        <v>1.26369675E-2</v>
      </c>
      <c r="M1961">
        <f t="shared" si="272"/>
        <v>4.8948156923076924E-3</v>
      </c>
      <c r="N1961">
        <f t="shared" si="273"/>
        <v>9.7396436923076913E-3</v>
      </c>
      <c r="O1961">
        <f t="shared" si="274"/>
        <v>7.3172296923076927E-3</v>
      </c>
      <c r="P1961">
        <f t="shared" si="270"/>
        <v>3.0333760772934095</v>
      </c>
      <c r="R1961">
        <f t="shared" si="276"/>
        <v>-7.7165611495299313E-5</v>
      </c>
    </row>
    <row r="1962" spans="1:19" x14ac:dyDescent="0.2">
      <c r="A1962" t="s">
        <v>1973</v>
      </c>
      <c r="B1962">
        <v>5.5380645199999998</v>
      </c>
      <c r="C1962">
        <v>4.9907340000000001E-2</v>
      </c>
      <c r="D1962">
        <v>5.6821146200000001</v>
      </c>
      <c r="E1962">
        <v>1.0864980500000001</v>
      </c>
      <c r="F1962">
        <v>3.26734503</v>
      </c>
      <c r="G1962">
        <v>1.2695268399999999</v>
      </c>
      <c r="H1962">
        <v>2.5217319599999999</v>
      </c>
      <c r="I1962">
        <v>9.8609400000000003E-3</v>
      </c>
      <c r="J1962">
        <v>1</v>
      </c>
      <c r="K1962">
        <v>950094</v>
      </c>
      <c r="L1962">
        <f t="shared" si="271"/>
        <v>1.2566711653846154E-2</v>
      </c>
      <c r="M1962">
        <f t="shared" si="272"/>
        <v>4.882795538461538E-3</v>
      </c>
      <c r="N1962">
        <f t="shared" si="273"/>
        <v>9.6989690769230773E-3</v>
      </c>
      <c r="O1962">
        <f t="shared" si="274"/>
        <v>7.2908823076923068E-3</v>
      </c>
      <c r="P1962">
        <f t="shared" si="270"/>
        <v>2.8241777271352433</v>
      </c>
      <c r="R1962">
        <f t="shared" si="276"/>
        <v>1.6628296697992494E-4</v>
      </c>
    </row>
    <row r="1963" spans="1:19" x14ac:dyDescent="0.2">
      <c r="A1963" t="s">
        <v>1974</v>
      </c>
      <c r="B1963">
        <v>5.5593468000000001</v>
      </c>
      <c r="C1963">
        <v>0.105624</v>
      </c>
      <c r="D1963">
        <v>5.7010515899999996</v>
      </c>
      <c r="E1963">
        <v>1.0864980500000001</v>
      </c>
      <c r="F1963">
        <v>3.2495509199999999</v>
      </c>
      <c r="G1963">
        <v>1.2689153799999999</v>
      </c>
      <c r="H1963">
        <v>2.5419922000000001</v>
      </c>
      <c r="I1963">
        <v>1.004355E-2</v>
      </c>
      <c r="J1963">
        <v>1</v>
      </c>
      <c r="K1963">
        <v>950094</v>
      </c>
      <c r="L1963">
        <f t="shared" si="271"/>
        <v>1.2498272769230769E-2</v>
      </c>
      <c r="M1963">
        <f t="shared" si="272"/>
        <v>4.8804437692307693E-3</v>
      </c>
      <c r="N1963">
        <f t="shared" si="273"/>
        <v>9.7768930769230773E-3</v>
      </c>
      <c r="O1963">
        <f t="shared" si="274"/>
        <v>7.3286684230769233E-3</v>
      </c>
      <c r="P1963">
        <f t="shared" si="270"/>
        <v>5.9770957188047475</v>
      </c>
      <c r="R1963">
        <f t="shared" si="276"/>
        <v>7.8684493458535646E-4</v>
      </c>
    </row>
    <row r="1964" spans="1:19" x14ac:dyDescent="0.2">
      <c r="A1964" t="s">
        <v>1975</v>
      </c>
      <c r="B1964">
        <v>5.5967205599999996</v>
      </c>
      <c r="C1964">
        <v>0.18814275</v>
      </c>
      <c r="D1964">
        <v>5.7399491500000002</v>
      </c>
      <c r="E1964">
        <v>1.0272345199999999</v>
      </c>
      <c r="F1964">
        <v>3.2336464500000002</v>
      </c>
      <c r="G1964">
        <v>1.27550556</v>
      </c>
      <c r="H1964">
        <v>2.5846277600000001</v>
      </c>
      <c r="I1964">
        <v>1.022616E-2</v>
      </c>
      <c r="J1964">
        <v>1</v>
      </c>
      <c r="K1964">
        <v>950095</v>
      </c>
      <c r="L1964">
        <f t="shared" si="271"/>
        <v>1.2437101730769231E-2</v>
      </c>
      <c r="M1964">
        <f t="shared" si="272"/>
        <v>4.9057906153846158E-3</v>
      </c>
      <c r="N1964">
        <f t="shared" si="273"/>
        <v>9.9408759999999995E-3</v>
      </c>
      <c r="O1964">
        <f t="shared" si="274"/>
        <v>7.4233333076923081E-3</v>
      </c>
      <c r="P1964">
        <f t="shared" si="270"/>
        <v>10.646701749120957</v>
      </c>
      <c r="Q1964">
        <f t="shared" ref="Q1964" si="278">ABS(0.5*(SUMPRODUCT(O1964:O1982,P1965:P1983)+O1983*P1964-(SUMPRODUCT(O1965:O1983,P1964:P1982)+O1964*P1983)))</f>
        <v>5.1806761991584072E-3</v>
      </c>
      <c r="R1964">
        <f t="shared" si="276"/>
        <v>1.8105939630411068E-3</v>
      </c>
    </row>
    <row r="1965" spans="1:19" x14ac:dyDescent="0.2">
      <c r="A1965" t="s">
        <v>1976</v>
      </c>
      <c r="B1965">
        <v>5.6473308600000003</v>
      </c>
      <c r="C1965">
        <v>0.28201608</v>
      </c>
      <c r="D1965">
        <v>5.7962482499999997</v>
      </c>
      <c r="E1965">
        <v>0.96797098999999998</v>
      </c>
      <c r="F1965">
        <v>3.22797753</v>
      </c>
      <c r="G1965">
        <v>1.2892294399999999</v>
      </c>
      <c r="H1965">
        <v>2.6416792600000001</v>
      </c>
      <c r="I1965">
        <v>1.004355E-2</v>
      </c>
      <c r="J1965">
        <v>1</v>
      </c>
      <c r="K1965">
        <v>950095</v>
      </c>
      <c r="L1965">
        <f t="shared" si="271"/>
        <v>1.2415298192307692E-2</v>
      </c>
      <c r="M1965">
        <f t="shared" si="272"/>
        <v>4.9585747692307688E-3</v>
      </c>
      <c r="N1965">
        <f t="shared" si="273"/>
        <v>1.0160304846153847E-2</v>
      </c>
      <c r="O1965">
        <f t="shared" si="274"/>
        <v>7.5594398076923074E-3</v>
      </c>
      <c r="P1965">
        <f t="shared" si="270"/>
        <v>15.958845569208677</v>
      </c>
      <c r="R1965">
        <f t="shared" si="276"/>
        <v>2.8932332286595733E-3</v>
      </c>
    </row>
    <row r="1966" spans="1:19" x14ac:dyDescent="0.2">
      <c r="A1966" t="s">
        <v>1977</v>
      </c>
      <c r="B1966">
        <v>5.7083227599999997</v>
      </c>
      <c r="C1966">
        <v>0.39160097999999999</v>
      </c>
      <c r="D1966">
        <v>5.8663662199999997</v>
      </c>
      <c r="E1966">
        <v>0.73091687000000005</v>
      </c>
      <c r="F1966">
        <v>3.2312843999999998</v>
      </c>
      <c r="G1966">
        <v>1.30499152</v>
      </c>
      <c r="H1966">
        <v>2.70485336</v>
      </c>
      <c r="I1966">
        <v>1.022616E-2</v>
      </c>
      <c r="J1966">
        <v>1</v>
      </c>
      <c r="K1966">
        <v>950095</v>
      </c>
      <c r="L1966">
        <f t="shared" si="271"/>
        <v>1.2428016923076922E-2</v>
      </c>
      <c r="M1966">
        <f t="shared" si="272"/>
        <v>5.0191981538461536E-3</v>
      </c>
      <c r="N1966">
        <f t="shared" si="273"/>
        <v>1.0403282153846154E-2</v>
      </c>
      <c r="O1966">
        <f t="shared" si="274"/>
        <v>7.711240153846154E-3</v>
      </c>
      <c r="P1966">
        <f t="shared" si="270"/>
        <v>22.160082377468601</v>
      </c>
      <c r="R1966">
        <f t="shared" si="276"/>
        <v>3.8288053344227792E-3</v>
      </c>
    </row>
    <row r="1967" spans="1:19" x14ac:dyDescent="0.2">
      <c r="A1967" t="s">
        <v>1978</v>
      </c>
      <c r="B1967">
        <v>5.7708719000000004</v>
      </c>
      <c r="C1967">
        <v>0.52495128000000002</v>
      </c>
      <c r="D1967">
        <v>5.93546057</v>
      </c>
      <c r="E1967">
        <v>0.67165333999999999</v>
      </c>
      <c r="F1967">
        <v>3.2355360900000001</v>
      </c>
      <c r="G1967">
        <v>1.31925892</v>
      </c>
      <c r="H1967">
        <v>2.7673595400000002</v>
      </c>
      <c r="I1967">
        <v>9.8609400000000003E-3</v>
      </c>
      <c r="J1967">
        <v>1</v>
      </c>
      <c r="K1967">
        <v>950095</v>
      </c>
      <c r="L1967">
        <f t="shared" si="271"/>
        <v>1.2444369576923077E-2</v>
      </c>
      <c r="M1967">
        <f t="shared" si="272"/>
        <v>5.0740727692307691E-3</v>
      </c>
      <c r="N1967">
        <f t="shared" si="273"/>
        <v>1.0643690538461538E-2</v>
      </c>
      <c r="O1967">
        <f t="shared" si="274"/>
        <v>7.8588816538461542E-3</v>
      </c>
      <c r="P1967">
        <f t="shared" si="270"/>
        <v>29.706165722459598</v>
      </c>
      <c r="R1967">
        <f t="shared" si="276"/>
        <v>4.4338248343090206E-3</v>
      </c>
    </row>
    <row r="1968" spans="1:19" x14ac:dyDescent="0.2">
      <c r="A1968" t="s">
        <v>1979</v>
      </c>
      <c r="B1968">
        <v>5.8310851799999996</v>
      </c>
      <c r="C1968">
        <v>0.70556832000000003</v>
      </c>
      <c r="D1968">
        <v>6.0055785400000001</v>
      </c>
      <c r="E1968">
        <v>0.61238981000000003</v>
      </c>
      <c r="F1968">
        <v>3.24624405</v>
      </c>
      <c r="G1968">
        <v>1.3302651999999999</v>
      </c>
      <c r="H1968">
        <v>2.8225742600000001</v>
      </c>
      <c r="I1968">
        <v>9.8609400000000003E-3</v>
      </c>
      <c r="J1968">
        <v>1</v>
      </c>
      <c r="K1968">
        <v>950095</v>
      </c>
      <c r="L1968">
        <f t="shared" si="271"/>
        <v>1.2485554038461539E-2</v>
      </c>
      <c r="M1968">
        <f t="shared" si="272"/>
        <v>5.1164046153846154E-3</v>
      </c>
      <c r="N1968">
        <f t="shared" si="273"/>
        <v>1.0856054846153847E-2</v>
      </c>
      <c r="O1968">
        <f t="shared" si="274"/>
        <v>7.9862297307692308E-3</v>
      </c>
      <c r="P1968">
        <f t="shared" si="270"/>
        <v>39.926999401615717</v>
      </c>
      <c r="R1968">
        <f t="shared" si="276"/>
        <v>2.781960867880422E-3</v>
      </c>
    </row>
    <row r="1969" spans="1:19" x14ac:dyDescent="0.2">
      <c r="A1969" t="s">
        <v>1980</v>
      </c>
      <c r="B1969">
        <v>5.8700161800000004</v>
      </c>
      <c r="C1969">
        <v>0.82597967999999999</v>
      </c>
      <c r="D1969">
        <v>6.0383343800000002</v>
      </c>
      <c r="E1969">
        <v>0.53337177000000002</v>
      </c>
      <c r="F1969">
        <v>3.2654553900000001</v>
      </c>
      <c r="G1969">
        <v>1.3354286399999999</v>
      </c>
      <c r="H1969">
        <v>2.8507938799999999</v>
      </c>
      <c r="I1969">
        <v>9.8609400000000003E-3</v>
      </c>
      <c r="J1969">
        <v>1</v>
      </c>
      <c r="K1969">
        <v>950095</v>
      </c>
      <c r="L1969">
        <f t="shared" si="271"/>
        <v>1.2559443807692307E-2</v>
      </c>
      <c r="M1969">
        <f t="shared" si="272"/>
        <v>5.1362639999999998E-3</v>
      </c>
      <c r="N1969">
        <f t="shared" si="273"/>
        <v>1.0964591846153846E-2</v>
      </c>
      <c r="O1969">
        <f t="shared" si="274"/>
        <v>8.0504279230769211E-3</v>
      </c>
      <c r="P1969">
        <f t="shared" si="270"/>
        <v>46.74088852105313</v>
      </c>
      <c r="R1969">
        <f t="shared" si="276"/>
        <v>9.0926475230203904E-4</v>
      </c>
    </row>
    <row r="1970" spans="1:19" x14ac:dyDescent="0.2">
      <c r="A1970" t="s">
        <v>1981</v>
      </c>
      <c r="B1970">
        <v>5.8816954800000003</v>
      </c>
      <c r="C1970">
        <v>0.85264974000000004</v>
      </c>
      <c r="D1970">
        <v>6.0490823899999997</v>
      </c>
      <c r="E1970">
        <v>0.47410824000000001</v>
      </c>
      <c r="F1970">
        <v>3.2823046800000002</v>
      </c>
      <c r="G1970">
        <v>1.3369233199999999</v>
      </c>
      <c r="H1970">
        <v>2.8592542000000001</v>
      </c>
      <c r="I1970">
        <v>9.8609400000000003E-3</v>
      </c>
      <c r="J1970">
        <v>1</v>
      </c>
      <c r="K1970">
        <v>950095</v>
      </c>
      <c r="L1970">
        <f t="shared" si="271"/>
        <v>1.262424876923077E-2</v>
      </c>
      <c r="M1970">
        <f t="shared" si="272"/>
        <v>5.142012769230769E-3</v>
      </c>
      <c r="N1970">
        <f t="shared" si="273"/>
        <v>1.099713153846154E-2</v>
      </c>
      <c r="O1970">
        <f t="shared" si="274"/>
        <v>8.0695721538461534E-3</v>
      </c>
      <c r="P1970">
        <f t="shared" si="270"/>
        <v>48.250105190051329</v>
      </c>
      <c r="R1970">
        <f t="shared" si="276"/>
        <v>3.5343973111430776E-4</v>
      </c>
    </row>
    <row r="1971" spans="1:19" x14ac:dyDescent="0.2">
      <c r="A1971" t="s">
        <v>1982</v>
      </c>
      <c r="B1971">
        <v>5.8824740999999996</v>
      </c>
      <c r="C1971">
        <v>0.85542236999999999</v>
      </c>
      <c r="D1971">
        <v>6.0526650599999998</v>
      </c>
      <c r="E1971">
        <v>0.47410824000000001</v>
      </c>
      <c r="F1971">
        <v>3.2942724000000001</v>
      </c>
      <c r="G1971">
        <v>1.3373309600000001</v>
      </c>
      <c r="H1971">
        <v>2.8626494600000001</v>
      </c>
      <c r="I1971">
        <v>9.8609400000000003E-3</v>
      </c>
      <c r="J1971">
        <v>1</v>
      </c>
      <c r="K1971">
        <v>950095</v>
      </c>
      <c r="L1971">
        <f t="shared" si="271"/>
        <v>1.2670278461538462E-2</v>
      </c>
      <c r="M1971">
        <f t="shared" si="272"/>
        <v>5.1435806153846157E-3</v>
      </c>
      <c r="N1971">
        <f t="shared" si="273"/>
        <v>1.1010190230769231E-2</v>
      </c>
      <c r="O1971">
        <f t="shared" si="274"/>
        <v>8.0768854230769231E-3</v>
      </c>
      <c r="P1971">
        <f t="shared" si="270"/>
        <v>48.407003952669953</v>
      </c>
      <c r="R1971">
        <f t="shared" si="276"/>
        <v>-8.7929416618636729E-5</v>
      </c>
    </row>
    <row r="1972" spans="1:19" x14ac:dyDescent="0.2">
      <c r="A1972" t="s">
        <v>1983</v>
      </c>
      <c r="B1972">
        <v>5.88013824</v>
      </c>
      <c r="C1972">
        <v>0.81911411999999995</v>
      </c>
      <c r="D1972">
        <v>6.0511296300000001</v>
      </c>
      <c r="E1972">
        <v>0.47410824000000001</v>
      </c>
      <c r="F1972">
        <v>3.3095469899999999</v>
      </c>
      <c r="G1972">
        <v>1.3375347799999999</v>
      </c>
      <c r="H1972">
        <v>2.8614806000000002</v>
      </c>
      <c r="I1972">
        <v>9.6783300000000006E-3</v>
      </c>
      <c r="J1972">
        <v>1</v>
      </c>
      <c r="K1972">
        <v>950095</v>
      </c>
      <c r="L1972">
        <f t="shared" si="271"/>
        <v>1.2729026884615384E-2</v>
      </c>
      <c r="M1972">
        <f t="shared" si="272"/>
        <v>5.1443645384615377E-3</v>
      </c>
      <c r="N1972">
        <f t="shared" si="273"/>
        <v>1.1005694615384616E-2</v>
      </c>
      <c r="O1972">
        <f t="shared" si="274"/>
        <v>8.0750295769230779E-3</v>
      </c>
      <c r="P1972">
        <f t="shared" si="270"/>
        <v>46.352377299330819</v>
      </c>
      <c r="R1972">
        <f t="shared" si="276"/>
        <v>-1.0318661707097092E-3</v>
      </c>
    </row>
    <row r="1973" spans="1:19" x14ac:dyDescent="0.2">
      <c r="A1973" t="s">
        <v>1984</v>
      </c>
      <c r="B1973">
        <v>5.8658635400000003</v>
      </c>
      <c r="C1973">
        <v>0.70873704000000004</v>
      </c>
      <c r="D1973">
        <v>6.0306572300000001</v>
      </c>
      <c r="E1973">
        <v>0.47410824000000001</v>
      </c>
      <c r="F1973">
        <v>3.3230894100000001</v>
      </c>
      <c r="G1973">
        <v>1.3375347799999999</v>
      </c>
      <c r="H1973">
        <v>2.84906842</v>
      </c>
      <c r="I1973">
        <v>9.6783300000000006E-3</v>
      </c>
      <c r="J1973">
        <v>1</v>
      </c>
      <c r="K1973">
        <v>950095</v>
      </c>
      <c r="L1973">
        <f t="shared" si="271"/>
        <v>1.2781113115384615E-2</v>
      </c>
      <c r="M1973">
        <f t="shared" si="272"/>
        <v>5.1443645384615377E-3</v>
      </c>
      <c r="N1973">
        <f t="shared" si="273"/>
        <v>1.0957955461538462E-2</v>
      </c>
      <c r="O1973">
        <f t="shared" si="274"/>
        <v>8.0511600000000016E-3</v>
      </c>
      <c r="P1973">
        <f t="shared" si="270"/>
        <v>40.10631227317986</v>
      </c>
      <c r="R1973">
        <f t="shared" si="276"/>
        <v>-1.0580445829862486E-3</v>
      </c>
    </row>
    <row r="1974" spans="1:19" x14ac:dyDescent="0.2">
      <c r="A1974" t="s">
        <v>1985</v>
      </c>
      <c r="B1974">
        <v>5.84847436</v>
      </c>
      <c r="C1974">
        <v>0.61288326000000004</v>
      </c>
      <c r="D1974">
        <v>6.0147911199999999</v>
      </c>
      <c r="E1974">
        <v>0.41484471000000001</v>
      </c>
      <c r="F1974">
        <v>3.3303330299999998</v>
      </c>
      <c r="G1974">
        <v>1.3377386</v>
      </c>
      <c r="H1974">
        <v>2.8341515400000001</v>
      </c>
      <c r="I1974">
        <v>9.6783300000000006E-3</v>
      </c>
      <c r="J1974">
        <v>1</v>
      </c>
      <c r="K1974">
        <v>950095</v>
      </c>
      <c r="L1974">
        <f t="shared" si="271"/>
        <v>1.2808973192307692E-2</v>
      </c>
      <c r="M1974">
        <f t="shared" si="272"/>
        <v>5.1451484615384615E-3</v>
      </c>
      <c r="N1974">
        <f t="shared" si="273"/>
        <v>1.0900582846153847E-2</v>
      </c>
      <c r="O1974">
        <f t="shared" si="274"/>
        <v>8.0228656538461549E-3</v>
      </c>
      <c r="P1974">
        <f t="shared" si="270"/>
        <v>34.682097908364554</v>
      </c>
      <c r="R1974">
        <f t="shared" si="276"/>
        <v>-1.3110523102420055E-3</v>
      </c>
    </row>
    <row r="1975" spans="1:19" x14ac:dyDescent="0.2">
      <c r="A1975" t="s">
        <v>1986</v>
      </c>
      <c r="B1975">
        <v>5.8279706999999998</v>
      </c>
      <c r="C1975">
        <v>0.52336691999999996</v>
      </c>
      <c r="D1975">
        <v>5.9881770000000003</v>
      </c>
      <c r="E1975">
        <v>0.41484471000000001</v>
      </c>
      <c r="F1975">
        <v>3.33647436</v>
      </c>
      <c r="G1975">
        <v>1.33712714</v>
      </c>
      <c r="H1975">
        <v>2.81355734</v>
      </c>
      <c r="I1975">
        <v>9.6783300000000006E-3</v>
      </c>
      <c r="J1975">
        <v>1</v>
      </c>
      <c r="K1975">
        <v>950095</v>
      </c>
      <c r="L1975">
        <f t="shared" si="271"/>
        <v>1.2832593692307692E-2</v>
      </c>
      <c r="M1975">
        <f t="shared" si="272"/>
        <v>5.1427966923076919E-3</v>
      </c>
      <c r="N1975">
        <f t="shared" si="273"/>
        <v>1.0821374384615385E-2</v>
      </c>
      <c r="O1975">
        <f t="shared" si="274"/>
        <v>7.9820855384615374E-3</v>
      </c>
      <c r="P1975">
        <f t="shared" si="270"/>
        <v>29.616509286677523</v>
      </c>
      <c r="R1975">
        <f t="shared" si="276"/>
        <v>-2.0194527539604381E-3</v>
      </c>
    </row>
    <row r="1976" spans="1:19" x14ac:dyDescent="0.2">
      <c r="A1976" t="s">
        <v>1987</v>
      </c>
      <c r="B1976">
        <v>5.7931923400000001</v>
      </c>
      <c r="C1976">
        <v>0.42183585000000001</v>
      </c>
      <c r="D1976">
        <v>5.9508148700000003</v>
      </c>
      <c r="E1976">
        <v>0.41484471000000001</v>
      </c>
      <c r="F1976">
        <v>3.3418283400000002</v>
      </c>
      <c r="G1976">
        <v>1.3329827999999999</v>
      </c>
      <c r="H1976">
        <v>2.77843588</v>
      </c>
      <c r="I1976">
        <v>9.6783300000000006E-3</v>
      </c>
      <c r="J1976">
        <v>1</v>
      </c>
      <c r="K1976">
        <v>950095</v>
      </c>
      <c r="L1976">
        <f t="shared" si="271"/>
        <v>1.2853185923076924E-2</v>
      </c>
      <c r="M1976">
        <f t="shared" si="272"/>
        <v>5.126856923076923E-3</v>
      </c>
      <c r="N1976">
        <f t="shared" si="273"/>
        <v>1.0686291846153845E-2</v>
      </c>
      <c r="O1976">
        <f t="shared" si="274"/>
        <v>7.9065743846153842E-3</v>
      </c>
      <c r="P1976">
        <f t="shared" si="270"/>
        <v>23.871026026976462</v>
      </c>
      <c r="R1976">
        <f t="shared" si="276"/>
        <v>-2.2462000262606151E-3</v>
      </c>
      <c r="S1976">
        <f>ABS(SUMIFS($R:$R,$K:$K,K1976))</f>
        <v>5.1812626121628264E-3</v>
      </c>
    </row>
    <row r="1977" spans="1:19" x14ac:dyDescent="0.2">
      <c r="A1977" t="s">
        <v>1988</v>
      </c>
      <c r="B1977">
        <v>5.7480323799999997</v>
      </c>
      <c r="C1977">
        <v>0.32637815999999997</v>
      </c>
      <c r="D1977">
        <v>5.8991220599999998</v>
      </c>
      <c r="E1977">
        <v>0.41484471000000001</v>
      </c>
      <c r="F1977">
        <v>3.3413559300000002</v>
      </c>
      <c r="G1977">
        <v>1.3248979400000001</v>
      </c>
      <c r="H1977">
        <v>2.7313475199999999</v>
      </c>
      <c r="I1977">
        <v>9.8609400000000003E-3</v>
      </c>
      <c r="J1977">
        <v>1</v>
      </c>
      <c r="K1977">
        <v>950095</v>
      </c>
      <c r="L1977">
        <f t="shared" si="271"/>
        <v>1.2851368961538462E-2</v>
      </c>
      <c r="M1977">
        <f t="shared" si="272"/>
        <v>5.0957613076923081E-3</v>
      </c>
      <c r="N1977">
        <f t="shared" si="273"/>
        <v>1.0505182769230769E-2</v>
      </c>
      <c r="O1977">
        <f t="shared" si="274"/>
        <v>7.8004720384615379E-3</v>
      </c>
      <c r="P1977">
        <f t="shared" si="270"/>
        <v>18.469225771106668</v>
      </c>
      <c r="R1977">
        <f t="shared" si="276"/>
        <v>-1.9859360052318946E-3</v>
      </c>
    </row>
    <row r="1978" spans="1:19" x14ac:dyDescent="0.2">
      <c r="A1978" t="s">
        <v>1989</v>
      </c>
      <c r="B1978">
        <v>5.7013151799999999</v>
      </c>
      <c r="C1978">
        <v>0.24214301999999999</v>
      </c>
      <c r="D1978">
        <v>5.8448701999999999</v>
      </c>
      <c r="E1978">
        <v>0.41484471000000001</v>
      </c>
      <c r="F1978">
        <v>3.3331674900000001</v>
      </c>
      <c r="G1978">
        <v>1.3136878400000001</v>
      </c>
      <c r="H1978">
        <v>2.6783592000000001</v>
      </c>
      <c r="I1978">
        <v>9.6783300000000006E-3</v>
      </c>
      <c r="J1978">
        <v>1</v>
      </c>
      <c r="K1978">
        <v>950095</v>
      </c>
      <c r="L1978">
        <f t="shared" si="271"/>
        <v>1.2819874961538462E-2</v>
      </c>
      <c r="M1978">
        <f t="shared" si="272"/>
        <v>5.052645538461539E-3</v>
      </c>
      <c r="N1978">
        <f t="shared" si="273"/>
        <v>1.0301381538461539E-2</v>
      </c>
      <c r="O1978">
        <f t="shared" si="274"/>
        <v>7.6770135384615383E-3</v>
      </c>
      <c r="P1978">
        <f t="shared" si="270"/>
        <v>13.702491935359884</v>
      </c>
      <c r="R1978">
        <f t="shared" si="276"/>
        <v>-1.5566102227505803E-3</v>
      </c>
    </row>
    <row r="1979" spans="1:19" x14ac:dyDescent="0.2">
      <c r="A1979" t="s">
        <v>1990</v>
      </c>
      <c r="B1979">
        <v>5.6465522400000001</v>
      </c>
      <c r="C1979">
        <v>0.1663578</v>
      </c>
      <c r="D1979">
        <v>5.7901065300000001</v>
      </c>
      <c r="E1979">
        <v>0.41484471000000001</v>
      </c>
      <c r="F1979">
        <v>3.3230894100000001</v>
      </c>
      <c r="G1979">
        <v>1.29853722</v>
      </c>
      <c r="H1979">
        <v>2.62347844</v>
      </c>
      <c r="I1979">
        <v>9.6783300000000006E-3</v>
      </c>
      <c r="J1979">
        <v>1</v>
      </c>
      <c r="K1979">
        <v>950095</v>
      </c>
      <c r="L1979">
        <f t="shared" si="271"/>
        <v>1.2781113115384615E-2</v>
      </c>
      <c r="M1979">
        <f t="shared" si="272"/>
        <v>4.9943739230769229E-3</v>
      </c>
      <c r="N1979">
        <f t="shared" si="273"/>
        <v>1.0090301692307692E-2</v>
      </c>
      <c r="O1979">
        <f t="shared" si="274"/>
        <v>7.5423378076923077E-3</v>
      </c>
      <c r="P1979">
        <f t="shared" si="270"/>
        <v>9.413925757117477</v>
      </c>
      <c r="R1979">
        <f t="shared" si="276"/>
        <v>-9.9024641412177546E-4</v>
      </c>
    </row>
    <row r="1980" spans="1:19" x14ac:dyDescent="0.2">
      <c r="A1980" t="s">
        <v>1991</v>
      </c>
      <c r="B1980">
        <v>5.5951633200000002</v>
      </c>
      <c r="C1980">
        <v>0.10153107</v>
      </c>
      <c r="D1980">
        <v>5.7353428600000003</v>
      </c>
      <c r="E1980">
        <v>0.73091687000000005</v>
      </c>
      <c r="F1980">
        <v>3.3090745799999999</v>
      </c>
      <c r="G1980">
        <v>1.2835904199999999</v>
      </c>
      <c r="H1980">
        <v>2.5704901200000001</v>
      </c>
      <c r="I1980">
        <v>9.4957199999999992E-3</v>
      </c>
      <c r="J1980">
        <v>1</v>
      </c>
      <c r="K1980">
        <v>950095</v>
      </c>
      <c r="L1980">
        <f t="shared" si="271"/>
        <v>1.2727209923076922E-2</v>
      </c>
      <c r="M1980">
        <f t="shared" si="272"/>
        <v>4.9368862307692307E-3</v>
      </c>
      <c r="N1980">
        <f t="shared" si="273"/>
        <v>9.8865004615384614E-3</v>
      </c>
      <c r="O1980">
        <f t="shared" si="274"/>
        <v>7.4116933461538465E-3</v>
      </c>
      <c r="P1980">
        <f t="shared" si="270"/>
        <v>5.7454832597010634</v>
      </c>
      <c r="R1980">
        <f t="shared" si="276"/>
        <v>-4.1287399979361337E-4</v>
      </c>
    </row>
    <row r="1981" spans="1:19" x14ac:dyDescent="0.2">
      <c r="A1981" t="s">
        <v>1992</v>
      </c>
      <c r="B1981">
        <v>5.5515606000000002</v>
      </c>
      <c r="C1981">
        <v>5.4000270000000003E-2</v>
      </c>
      <c r="D1981">
        <v>5.6918390099999998</v>
      </c>
      <c r="E1981">
        <v>0.90870746000000002</v>
      </c>
      <c r="F1981">
        <v>3.2879735999999999</v>
      </c>
      <c r="G1981">
        <v>1.2726520800000001</v>
      </c>
      <c r="H1981">
        <v>2.5326413200000002</v>
      </c>
      <c r="I1981">
        <v>9.6783300000000006E-3</v>
      </c>
      <c r="J1981">
        <v>1</v>
      </c>
      <c r="K1981">
        <v>950095</v>
      </c>
      <c r="L1981">
        <f t="shared" si="271"/>
        <v>1.2646052307692307E-2</v>
      </c>
      <c r="M1981">
        <f t="shared" si="272"/>
        <v>4.8948156923076924E-3</v>
      </c>
      <c r="N1981">
        <f t="shared" si="273"/>
        <v>9.740928153846154E-3</v>
      </c>
      <c r="O1981">
        <f t="shared" si="274"/>
        <v>7.3178719230769232E-3</v>
      </c>
      <c r="P1981">
        <f t="shared" si="270"/>
        <v>3.0557901862389274</v>
      </c>
      <c r="R1981">
        <f t="shared" si="276"/>
        <v>-7.9102337924059438E-5</v>
      </c>
    </row>
    <row r="1982" spans="1:19" x14ac:dyDescent="0.2">
      <c r="A1982" t="s">
        <v>1993</v>
      </c>
      <c r="B1982">
        <v>5.5404003800000003</v>
      </c>
      <c r="C1982">
        <v>5.0831550000000003E-2</v>
      </c>
      <c r="D1982">
        <v>5.6790437599999999</v>
      </c>
      <c r="E1982">
        <v>1.1457615800000001</v>
      </c>
      <c r="F1982">
        <v>3.26781744</v>
      </c>
      <c r="G1982">
        <v>1.2695268399999999</v>
      </c>
      <c r="H1982">
        <v>2.5218989399999998</v>
      </c>
      <c r="I1982">
        <v>9.8609400000000003E-3</v>
      </c>
      <c r="J1982">
        <v>1</v>
      </c>
      <c r="K1982">
        <v>950095</v>
      </c>
      <c r="L1982">
        <f t="shared" si="271"/>
        <v>1.2568528615384615E-2</v>
      </c>
      <c r="M1982">
        <f t="shared" si="272"/>
        <v>4.882795538461538E-3</v>
      </c>
      <c r="N1982">
        <f t="shared" si="273"/>
        <v>9.6996113076923077E-3</v>
      </c>
      <c r="O1982">
        <f t="shared" si="274"/>
        <v>7.2912034230769229E-3</v>
      </c>
      <c r="P1982">
        <f t="shared" si="270"/>
        <v>2.8764773146747848</v>
      </c>
      <c r="R1982">
        <f t="shared" si="276"/>
        <v>1.7446325279608124E-4</v>
      </c>
    </row>
    <row r="1983" spans="1:19" x14ac:dyDescent="0.2">
      <c r="A1983" t="s">
        <v>1994</v>
      </c>
      <c r="B1983">
        <v>5.5562323200000003</v>
      </c>
      <c r="C1983">
        <v>0.10641618</v>
      </c>
      <c r="D1983">
        <v>5.7010515899999996</v>
      </c>
      <c r="E1983">
        <v>1.1457615800000001</v>
      </c>
      <c r="F1983">
        <v>3.2514405599999998</v>
      </c>
      <c r="G1983">
        <v>1.2693230200000001</v>
      </c>
      <c r="H1983">
        <v>2.5424931399999999</v>
      </c>
      <c r="I1983">
        <v>9.8609400000000003E-3</v>
      </c>
      <c r="J1983">
        <v>1</v>
      </c>
      <c r="K1983">
        <v>950095</v>
      </c>
      <c r="L1983">
        <f t="shared" si="271"/>
        <v>1.2505540615384614E-2</v>
      </c>
      <c r="M1983">
        <f t="shared" si="272"/>
        <v>4.882011615384616E-3</v>
      </c>
      <c r="N1983">
        <f t="shared" si="273"/>
        <v>9.7788197692307687E-3</v>
      </c>
      <c r="O1983">
        <f t="shared" si="274"/>
        <v>7.3304156923076928E-3</v>
      </c>
      <c r="P1983">
        <f t="shared" si="270"/>
        <v>6.0219239366957833</v>
      </c>
      <c r="R1983">
        <f t="shared" si="276"/>
        <v>7.7499088823707062E-4</v>
      </c>
    </row>
    <row r="1984" spans="1:19" x14ac:dyDescent="0.2">
      <c r="A1984" t="s">
        <v>1995</v>
      </c>
      <c r="B1984">
        <v>5.5943847</v>
      </c>
      <c r="C1984">
        <v>0.18735056999999999</v>
      </c>
      <c r="D1984">
        <v>5.7399491500000002</v>
      </c>
      <c r="E1984">
        <v>0.90870746000000002</v>
      </c>
      <c r="F1984">
        <v>3.23852802</v>
      </c>
      <c r="G1984">
        <v>1.27550556</v>
      </c>
      <c r="H1984">
        <v>2.58479474</v>
      </c>
      <c r="I1984">
        <v>9.6783300000000006E-3</v>
      </c>
      <c r="J1984">
        <v>1</v>
      </c>
      <c r="K1984">
        <v>950096</v>
      </c>
      <c r="L1984">
        <f t="shared" si="271"/>
        <v>1.2455877000000001E-2</v>
      </c>
      <c r="M1984">
        <f t="shared" si="272"/>
        <v>4.9057906153846158E-3</v>
      </c>
      <c r="N1984">
        <f t="shared" si="273"/>
        <v>9.94151823076923E-3</v>
      </c>
      <c r="O1984">
        <f t="shared" si="274"/>
        <v>7.4236544230769233E-3</v>
      </c>
      <c r="P1984">
        <f t="shared" si="270"/>
        <v>10.601873531229922</v>
      </c>
      <c r="Q1984">
        <f t="shared" ref="Q1984" si="279">ABS(0.5*(SUMPRODUCT(O1984:O2002,P1985:P2003)+O2003*P1984-(SUMPRODUCT(O1985:O2003,P1984:P2002)+O1984*P2003)))</f>
        <v>5.1799691308620499E-3</v>
      </c>
      <c r="R1984">
        <f t="shared" si="276"/>
        <v>1.7978564395883907E-3</v>
      </c>
    </row>
    <row r="1985" spans="1:19" x14ac:dyDescent="0.2">
      <c r="A1985" t="s">
        <v>1996</v>
      </c>
      <c r="B1985">
        <v>5.6473308600000003</v>
      </c>
      <c r="C1985">
        <v>0.28122390000000003</v>
      </c>
      <c r="D1985">
        <v>5.79471282</v>
      </c>
      <c r="E1985">
        <v>0.73091687000000005</v>
      </c>
      <c r="F1985">
        <v>3.2303395799999999</v>
      </c>
      <c r="G1985">
        <v>1.2896370800000001</v>
      </c>
      <c r="H1985">
        <v>2.6411783199999999</v>
      </c>
      <c r="I1985">
        <v>9.6783300000000006E-3</v>
      </c>
      <c r="J1985">
        <v>1</v>
      </c>
      <c r="K1985">
        <v>950096</v>
      </c>
      <c r="L1985">
        <f t="shared" si="271"/>
        <v>1.2424382999999999E-2</v>
      </c>
      <c r="M1985">
        <f t="shared" si="272"/>
        <v>4.9601426153846155E-3</v>
      </c>
      <c r="N1985">
        <f t="shared" si="273"/>
        <v>1.0158378153846154E-2</v>
      </c>
      <c r="O1985">
        <f t="shared" si="274"/>
        <v>7.5592603846153846E-3</v>
      </c>
      <c r="P1985">
        <f t="shared" si="270"/>
        <v>15.914017351317643</v>
      </c>
      <c r="R1985">
        <f t="shared" si="276"/>
        <v>2.8871333556359552E-3</v>
      </c>
    </row>
    <row r="1986" spans="1:19" x14ac:dyDescent="0.2">
      <c r="A1986" t="s">
        <v>1997</v>
      </c>
      <c r="B1986">
        <v>5.7091013799999999</v>
      </c>
      <c r="C1986">
        <v>0.39160097999999999</v>
      </c>
      <c r="D1986">
        <v>5.8648307900000001</v>
      </c>
      <c r="E1986">
        <v>0.53337177000000002</v>
      </c>
      <c r="F1986">
        <v>3.2303395799999999</v>
      </c>
      <c r="G1986">
        <v>1.30499152</v>
      </c>
      <c r="H1986">
        <v>2.7046863800000001</v>
      </c>
      <c r="I1986">
        <v>9.6783300000000006E-3</v>
      </c>
      <c r="J1986">
        <v>1</v>
      </c>
      <c r="K1986">
        <v>950096</v>
      </c>
      <c r="L1986">
        <f t="shared" si="271"/>
        <v>1.2424382999999999E-2</v>
      </c>
      <c r="M1986">
        <f t="shared" si="272"/>
        <v>5.0191981538461536E-3</v>
      </c>
      <c r="N1986">
        <f t="shared" si="273"/>
        <v>1.0402639923076924E-2</v>
      </c>
      <c r="O1986">
        <f t="shared" si="274"/>
        <v>7.7109190384615379E-3</v>
      </c>
      <c r="P1986">
        <f t="shared" si="270"/>
        <v>22.160082377468601</v>
      </c>
      <c r="R1986">
        <f t="shared" si="276"/>
        <v>3.8537879097335381E-3</v>
      </c>
    </row>
    <row r="1987" spans="1:19" x14ac:dyDescent="0.2">
      <c r="A1987" t="s">
        <v>1998</v>
      </c>
      <c r="B1987">
        <v>5.7700932800000002</v>
      </c>
      <c r="C1987">
        <v>0.52495128000000002</v>
      </c>
      <c r="D1987">
        <v>5.9339251400000004</v>
      </c>
      <c r="E1987">
        <v>0.47410824000000001</v>
      </c>
      <c r="F1987">
        <v>3.2390004299999999</v>
      </c>
      <c r="G1987">
        <v>1.31925892</v>
      </c>
      <c r="H1987">
        <v>2.7676935</v>
      </c>
      <c r="I1987">
        <v>9.6783300000000006E-3</v>
      </c>
      <c r="J1987">
        <v>1</v>
      </c>
      <c r="K1987">
        <v>950096</v>
      </c>
      <c r="L1987">
        <f t="shared" si="271"/>
        <v>1.2457693961538461E-2</v>
      </c>
      <c r="M1987">
        <f t="shared" si="272"/>
        <v>5.0740727692307691E-3</v>
      </c>
      <c r="N1987">
        <f t="shared" si="273"/>
        <v>1.0644975000000001E-2</v>
      </c>
      <c r="O1987">
        <f t="shared" si="274"/>
        <v>7.8595238846153846E-3</v>
      </c>
      <c r="P1987">
        <f t="shared" ref="P1987:P2025" si="280">+C1987*4/(PI()*0.15^2)</f>
        <v>29.706165722459598</v>
      </c>
      <c r="R1987">
        <f t="shared" si="276"/>
        <v>4.3805189515550898E-3</v>
      </c>
    </row>
    <row r="1988" spans="1:19" x14ac:dyDescent="0.2">
      <c r="A1988" t="s">
        <v>1999</v>
      </c>
      <c r="B1988">
        <v>5.8310851799999996</v>
      </c>
      <c r="C1988">
        <v>0.70385193000000001</v>
      </c>
      <c r="D1988">
        <v>6.0040431099999996</v>
      </c>
      <c r="E1988">
        <v>0.47410824000000001</v>
      </c>
      <c r="F1988">
        <v>3.24813369</v>
      </c>
      <c r="G1988">
        <v>1.3300613800000001</v>
      </c>
      <c r="H1988">
        <v>2.8224072800000002</v>
      </c>
      <c r="I1988">
        <v>9.8609400000000003E-3</v>
      </c>
      <c r="J1988">
        <v>1</v>
      </c>
      <c r="K1988">
        <v>950096</v>
      </c>
      <c r="L1988">
        <f t="shared" ref="L1988:L2025" si="281">+F1988/260</f>
        <v>1.2492821884615384E-2</v>
      </c>
      <c r="M1988">
        <f t="shared" ref="M1988:M2025" si="282">+G1988/260</f>
        <v>5.1156206923076925E-3</v>
      </c>
      <c r="N1988">
        <f t="shared" ref="N1988:N2025" si="283">+H1988/260</f>
        <v>1.0855412615384617E-2</v>
      </c>
      <c r="O1988">
        <f t="shared" ref="O1988:O2025" si="284">(+G1988+H1988)/520</f>
        <v>7.9855166538461541E-3</v>
      </c>
      <c r="P1988">
        <f t="shared" si="280"/>
        <v>39.829871596185136</v>
      </c>
      <c r="R1988">
        <f t="shared" ref="R1988:R2025" si="285">+(P1988+P1989)/2*(O1989-O1988)</f>
        <v>2.8506695027353691E-3</v>
      </c>
    </row>
    <row r="1989" spans="1:19" x14ac:dyDescent="0.2">
      <c r="A1989" t="s">
        <v>2000</v>
      </c>
      <c r="B1989">
        <v>5.8692375600000002</v>
      </c>
      <c r="C1989">
        <v>0.82558359000000003</v>
      </c>
      <c r="D1989">
        <v>6.0383343800000002</v>
      </c>
      <c r="E1989">
        <v>0.47410824000000001</v>
      </c>
      <c r="F1989">
        <v>3.2645105700000001</v>
      </c>
      <c r="G1989">
        <v>1.3354286399999999</v>
      </c>
      <c r="H1989">
        <v>2.8512948200000001</v>
      </c>
      <c r="I1989">
        <v>9.6783300000000006E-3</v>
      </c>
      <c r="J1989">
        <v>1</v>
      </c>
      <c r="K1989">
        <v>950096</v>
      </c>
      <c r="L1989">
        <f t="shared" si="281"/>
        <v>1.2555809884615386E-2</v>
      </c>
      <c r="M1989">
        <f t="shared" si="282"/>
        <v>5.1362639999999998E-3</v>
      </c>
      <c r="N1989">
        <f t="shared" si="283"/>
        <v>1.0966518538461539E-2</v>
      </c>
      <c r="O1989">
        <f t="shared" si="284"/>
        <v>8.0513912692307676E-3</v>
      </c>
      <c r="P1989">
        <f t="shared" si="280"/>
        <v>46.718474412107611</v>
      </c>
      <c r="R1989">
        <f t="shared" si="285"/>
        <v>9.2788116031949138E-4</v>
      </c>
    </row>
    <row r="1990" spans="1:19" x14ac:dyDescent="0.2">
      <c r="A1990" t="s">
        <v>2001</v>
      </c>
      <c r="B1990">
        <v>5.8770237600000002</v>
      </c>
      <c r="C1990">
        <v>0.85304583</v>
      </c>
      <c r="D1990">
        <v>6.0542004900000004</v>
      </c>
      <c r="E1990">
        <v>0.47410824000000001</v>
      </c>
      <c r="F1990">
        <v>3.2827770900000002</v>
      </c>
      <c r="G1990">
        <v>1.33712714</v>
      </c>
      <c r="H1990">
        <v>2.8597551399999999</v>
      </c>
      <c r="I1990">
        <v>9.6783300000000006E-3</v>
      </c>
      <c r="J1990">
        <v>1</v>
      </c>
      <c r="K1990">
        <v>950096</v>
      </c>
      <c r="L1990">
        <f t="shared" si="281"/>
        <v>1.2626065730769232E-2</v>
      </c>
      <c r="M1990">
        <f t="shared" si="282"/>
        <v>5.1427966923076919E-3</v>
      </c>
      <c r="N1990">
        <f t="shared" si="283"/>
        <v>1.0999058230769231E-2</v>
      </c>
      <c r="O1990">
        <f t="shared" si="284"/>
        <v>8.0709274615384605E-3</v>
      </c>
      <c r="P1990">
        <f t="shared" si="280"/>
        <v>48.272519298996841</v>
      </c>
      <c r="R1990">
        <f t="shared" si="285"/>
        <v>2.9129599638177137E-4</v>
      </c>
    </row>
    <row r="1991" spans="1:19" x14ac:dyDescent="0.2">
      <c r="A1991" t="s">
        <v>2002</v>
      </c>
      <c r="B1991">
        <v>5.8850695000000002</v>
      </c>
      <c r="C1991">
        <v>0.85463018999999996</v>
      </c>
      <c r="D1991">
        <v>6.0526650599999998</v>
      </c>
      <c r="E1991">
        <v>0.47410824000000001</v>
      </c>
      <c r="F1991">
        <v>3.29710686</v>
      </c>
      <c r="G1991">
        <v>1.3375347799999999</v>
      </c>
      <c r="H1991">
        <v>2.8624824800000002</v>
      </c>
      <c r="I1991">
        <v>1.004355E-2</v>
      </c>
      <c r="J1991">
        <v>1</v>
      </c>
      <c r="K1991">
        <v>950096</v>
      </c>
      <c r="L1991">
        <f t="shared" si="281"/>
        <v>1.268118023076923E-2</v>
      </c>
      <c r="M1991">
        <f t="shared" si="282"/>
        <v>5.1443645384615377E-3</v>
      </c>
      <c r="N1991">
        <f t="shared" si="283"/>
        <v>1.1009548000000001E-2</v>
      </c>
      <c r="O1991">
        <f t="shared" si="284"/>
        <v>8.0769562692307693E-3</v>
      </c>
      <c r="P1991">
        <f t="shared" si="280"/>
        <v>48.362175734778916</v>
      </c>
      <c r="R1991">
        <f t="shared" si="285"/>
        <v>-8.4632761544062049E-5</v>
      </c>
    </row>
    <row r="1992" spans="1:19" x14ac:dyDescent="0.2">
      <c r="A1992" t="s">
        <v>2003</v>
      </c>
      <c r="B1992">
        <v>5.8816954800000003</v>
      </c>
      <c r="C1992">
        <v>0.82109456999999997</v>
      </c>
      <c r="D1992">
        <v>6.05573592</v>
      </c>
      <c r="E1992">
        <v>0.47410824000000001</v>
      </c>
      <c r="F1992">
        <v>3.3086021699999999</v>
      </c>
      <c r="G1992">
        <v>1.3379424200000001</v>
      </c>
      <c r="H1992">
        <v>2.8611466399999999</v>
      </c>
      <c r="I1992">
        <v>9.8609400000000003E-3</v>
      </c>
      <c r="J1992">
        <v>1</v>
      </c>
      <c r="K1992">
        <v>950096</v>
      </c>
      <c r="L1992">
        <f t="shared" si="281"/>
        <v>1.2725392961538462E-2</v>
      </c>
      <c r="M1992">
        <f t="shared" si="282"/>
        <v>5.1459323846153853E-3</v>
      </c>
      <c r="N1992">
        <f t="shared" si="283"/>
        <v>1.1004410153846154E-2</v>
      </c>
      <c r="O1992">
        <f t="shared" si="284"/>
        <v>8.0751712692307704E-3</v>
      </c>
      <c r="P1992">
        <f t="shared" si="280"/>
        <v>46.464447844058405</v>
      </c>
      <c r="R1992">
        <f t="shared" si="285"/>
        <v>-9.8843830186169462E-4</v>
      </c>
    </row>
    <row r="1993" spans="1:19" x14ac:dyDescent="0.2">
      <c r="A1993" t="s">
        <v>2004</v>
      </c>
      <c r="B1993">
        <v>5.8635276799999998</v>
      </c>
      <c r="C1993">
        <v>0.70873704000000004</v>
      </c>
      <c r="D1993">
        <v>6.0383343800000002</v>
      </c>
      <c r="E1993">
        <v>0.47410824000000001</v>
      </c>
      <c r="F1993">
        <v>3.3221445900000002</v>
      </c>
      <c r="G1993">
        <v>1.3381462399999999</v>
      </c>
      <c r="H1993">
        <v>2.84906842</v>
      </c>
      <c r="I1993">
        <v>9.8609400000000003E-3</v>
      </c>
      <c r="J1993">
        <v>1</v>
      </c>
      <c r="K1993">
        <v>950096</v>
      </c>
      <c r="L1993">
        <f t="shared" si="281"/>
        <v>1.2777479192307694E-2</v>
      </c>
      <c r="M1993">
        <f t="shared" si="282"/>
        <v>5.1467163076923074E-3</v>
      </c>
      <c r="N1993">
        <f t="shared" si="283"/>
        <v>1.0957955461538462E-2</v>
      </c>
      <c r="O1993">
        <f t="shared" si="284"/>
        <v>8.0523358846153852E-3</v>
      </c>
      <c r="P1993">
        <f t="shared" si="280"/>
        <v>40.10631227317986</v>
      </c>
      <c r="R1993">
        <f t="shared" si="285"/>
        <v>-1.1166729436139383E-3</v>
      </c>
    </row>
    <row r="1994" spans="1:19" x14ac:dyDescent="0.2">
      <c r="A1994" t="s">
        <v>2005</v>
      </c>
      <c r="B1994">
        <v>5.8476957399999998</v>
      </c>
      <c r="C1994">
        <v>0.61288326000000004</v>
      </c>
      <c r="D1994">
        <v>6.0178619800000002</v>
      </c>
      <c r="E1994">
        <v>0.47410824000000001</v>
      </c>
      <c r="F1994">
        <v>3.3326950800000001</v>
      </c>
      <c r="G1994">
        <v>1.3375347799999999</v>
      </c>
      <c r="H1994">
        <v>2.8341515400000001</v>
      </c>
      <c r="I1994">
        <v>9.4957199999999992E-3</v>
      </c>
      <c r="J1994">
        <v>1</v>
      </c>
      <c r="K1994">
        <v>950096</v>
      </c>
      <c r="L1994">
        <f t="shared" si="281"/>
        <v>1.2818058E-2</v>
      </c>
      <c r="M1994">
        <f t="shared" si="282"/>
        <v>5.1443645384615377E-3</v>
      </c>
      <c r="N1994">
        <f t="shared" si="283"/>
        <v>1.0900582846153847E-2</v>
      </c>
      <c r="O1994">
        <f t="shared" si="284"/>
        <v>8.0224736923076925E-3</v>
      </c>
      <c r="P1994">
        <f t="shared" si="280"/>
        <v>34.682097908364554</v>
      </c>
      <c r="R1994">
        <f t="shared" si="285"/>
        <v>-1.3186122038390381E-3</v>
      </c>
    </row>
    <row r="1995" spans="1:19" x14ac:dyDescent="0.2">
      <c r="A1995" t="s">
        <v>2006</v>
      </c>
      <c r="B1995">
        <v>5.8264134600000004</v>
      </c>
      <c r="C1995">
        <v>0.52099037999999998</v>
      </c>
      <c r="D1995">
        <v>5.98971243</v>
      </c>
      <c r="E1995">
        <v>0.47410824000000001</v>
      </c>
      <c r="F1995">
        <v>3.3380490599999999</v>
      </c>
      <c r="G1995">
        <v>1.3369233199999999</v>
      </c>
      <c r="H1995">
        <v>2.8133903600000001</v>
      </c>
      <c r="I1995">
        <v>9.6783300000000006E-3</v>
      </c>
      <c r="J1995">
        <v>1</v>
      </c>
      <c r="K1995">
        <v>950096</v>
      </c>
      <c r="L1995">
        <f t="shared" si="281"/>
        <v>1.283865023076923E-2</v>
      </c>
      <c r="M1995">
        <f t="shared" si="282"/>
        <v>5.142012769230769E-3</v>
      </c>
      <c r="N1995">
        <f t="shared" si="283"/>
        <v>1.0820732153846154E-2</v>
      </c>
      <c r="O1995">
        <f t="shared" si="284"/>
        <v>7.9813724615384607E-3</v>
      </c>
      <c r="P1995">
        <f t="shared" si="280"/>
        <v>29.482024633004418</v>
      </c>
      <c r="R1995">
        <f t="shared" si="285"/>
        <v>-1.9727814885468604E-3</v>
      </c>
    </row>
    <row r="1996" spans="1:19" x14ac:dyDescent="0.2">
      <c r="A1996" t="s">
        <v>2007</v>
      </c>
      <c r="B1996">
        <v>5.7931923400000001</v>
      </c>
      <c r="C1996">
        <v>0.42104366999999998</v>
      </c>
      <c r="D1996">
        <v>5.9492794399999998</v>
      </c>
      <c r="E1996">
        <v>0.47410824000000001</v>
      </c>
      <c r="F1996">
        <v>3.3404111099999998</v>
      </c>
      <c r="G1996">
        <v>1.3333904400000001</v>
      </c>
      <c r="H1996">
        <v>2.77843588</v>
      </c>
      <c r="I1996">
        <v>9.6783300000000006E-3</v>
      </c>
      <c r="J1996">
        <v>1</v>
      </c>
      <c r="K1996">
        <v>950096</v>
      </c>
      <c r="L1996">
        <f t="shared" si="281"/>
        <v>1.2847735038461539E-2</v>
      </c>
      <c r="M1996">
        <f t="shared" si="282"/>
        <v>5.1284247692307697E-3</v>
      </c>
      <c r="N1996">
        <f t="shared" si="283"/>
        <v>1.0686291846153845E-2</v>
      </c>
      <c r="O1996">
        <f t="shared" si="284"/>
        <v>7.9073583076923089E-3</v>
      </c>
      <c r="P1996">
        <f t="shared" si="280"/>
        <v>23.826197809085425</v>
      </c>
      <c r="R1996">
        <f t="shared" si="285"/>
        <v>-2.2219510358559447E-3</v>
      </c>
    </row>
    <row r="1997" spans="1:19" x14ac:dyDescent="0.2">
      <c r="A1997" t="s">
        <v>2008</v>
      </c>
      <c r="B1997">
        <v>5.7472537600000004</v>
      </c>
      <c r="C1997">
        <v>0.32637815999999997</v>
      </c>
      <c r="D1997">
        <v>5.8975866300000002</v>
      </c>
      <c r="E1997">
        <v>0.47410824000000001</v>
      </c>
      <c r="F1997">
        <v>3.3427731600000001</v>
      </c>
      <c r="G1997">
        <v>1.3255094000000001</v>
      </c>
      <c r="H1997">
        <v>2.7316814800000002</v>
      </c>
      <c r="I1997">
        <v>9.6783300000000006E-3</v>
      </c>
      <c r="J1997">
        <v>1</v>
      </c>
      <c r="K1997">
        <v>950096</v>
      </c>
      <c r="L1997">
        <f t="shared" si="281"/>
        <v>1.2856819846153847E-2</v>
      </c>
      <c r="M1997">
        <f t="shared" si="282"/>
        <v>5.0981130769230769E-3</v>
      </c>
      <c r="N1997">
        <f t="shared" si="283"/>
        <v>1.0506467230769232E-2</v>
      </c>
      <c r="O1997">
        <f t="shared" si="284"/>
        <v>7.8022901538461545E-3</v>
      </c>
      <c r="P1997">
        <f t="shared" si="280"/>
        <v>18.469225771106668</v>
      </c>
      <c r="R1997">
        <f t="shared" si="285"/>
        <v>-2.0231625306610227E-3</v>
      </c>
      <c r="S1997">
        <f>ABS(SUMIFS($R:$R,$K:$K,K1997))</f>
        <v>5.1940108247029689E-3</v>
      </c>
    </row>
    <row r="1998" spans="1:19" x14ac:dyDescent="0.2">
      <c r="A1998" t="s">
        <v>2009</v>
      </c>
      <c r="B1998">
        <v>5.6956053000000004</v>
      </c>
      <c r="C1998">
        <v>0.24293519999999999</v>
      </c>
      <c r="D1998">
        <v>5.8479410600000001</v>
      </c>
      <c r="E1998">
        <v>0.47410824000000001</v>
      </c>
      <c r="F1998">
        <v>3.3345847200000001</v>
      </c>
      <c r="G1998">
        <v>1.3136878400000001</v>
      </c>
      <c r="H1998">
        <v>2.6781922200000001</v>
      </c>
      <c r="I1998">
        <v>9.6783300000000006E-3</v>
      </c>
      <c r="J1998">
        <v>1</v>
      </c>
      <c r="K1998">
        <v>950096</v>
      </c>
      <c r="L1998">
        <f t="shared" si="281"/>
        <v>1.2825325846153847E-2</v>
      </c>
      <c r="M1998">
        <f t="shared" si="282"/>
        <v>5.052645538461539E-3</v>
      </c>
      <c r="N1998">
        <f t="shared" si="283"/>
        <v>1.0300739307692309E-2</v>
      </c>
      <c r="O1998">
        <f t="shared" si="284"/>
        <v>7.676692423076923E-3</v>
      </c>
      <c r="P1998">
        <f t="shared" si="280"/>
        <v>13.74732015325092</v>
      </c>
      <c r="R1998">
        <f t="shared" si="285"/>
        <v>-1.5359096468588824E-3</v>
      </c>
    </row>
    <row r="1999" spans="1:19" x14ac:dyDescent="0.2">
      <c r="A1999" t="s">
        <v>2010</v>
      </c>
      <c r="B1999">
        <v>5.6457736199999999</v>
      </c>
      <c r="C1999">
        <v>0.16807419000000001</v>
      </c>
      <c r="D1999">
        <v>5.7870356699999999</v>
      </c>
      <c r="E1999">
        <v>0.47410824000000001</v>
      </c>
      <c r="F1999">
        <v>3.3216721800000002</v>
      </c>
      <c r="G1999">
        <v>1.29955632</v>
      </c>
      <c r="H1999">
        <v>2.6236454199999999</v>
      </c>
      <c r="I1999">
        <v>9.6783300000000006E-3</v>
      </c>
      <c r="J1999">
        <v>1</v>
      </c>
      <c r="K1999">
        <v>950096</v>
      </c>
      <c r="L1999">
        <f t="shared" si="281"/>
        <v>1.2775662230769232E-2</v>
      </c>
      <c r="M1999">
        <f t="shared" si="282"/>
        <v>4.9982935384615384E-3</v>
      </c>
      <c r="N1999">
        <f t="shared" si="283"/>
        <v>1.0090943923076922E-2</v>
      </c>
      <c r="O1999">
        <f t="shared" si="284"/>
        <v>7.5446187307692302E-3</v>
      </c>
      <c r="P1999">
        <f t="shared" si="280"/>
        <v>9.5110535625480548</v>
      </c>
      <c r="R1999">
        <f t="shared" si="285"/>
        <v>-1.0079803775206381E-3</v>
      </c>
    </row>
    <row r="2000" spans="1:19" x14ac:dyDescent="0.2">
      <c r="A2000" t="s">
        <v>2011</v>
      </c>
      <c r="B2000">
        <v>5.5967205599999996</v>
      </c>
      <c r="C2000">
        <v>0.10113498</v>
      </c>
      <c r="D2000">
        <v>5.732272</v>
      </c>
      <c r="E2000">
        <v>0.67165333999999999</v>
      </c>
      <c r="F2000">
        <v>3.30671253</v>
      </c>
      <c r="G2000">
        <v>1.2840659999999999</v>
      </c>
      <c r="H2000">
        <v>2.5703231400000002</v>
      </c>
      <c r="I2000">
        <v>9.6783300000000006E-3</v>
      </c>
      <c r="J2000">
        <v>1</v>
      </c>
      <c r="K2000">
        <v>950096</v>
      </c>
      <c r="L2000">
        <f t="shared" si="281"/>
        <v>1.2718125115384615E-2</v>
      </c>
      <c r="M2000">
        <f t="shared" si="282"/>
        <v>4.9387153846153845E-3</v>
      </c>
      <c r="N2000">
        <f t="shared" si="283"/>
        <v>9.885858230769231E-3</v>
      </c>
      <c r="O2000">
        <f t="shared" si="284"/>
        <v>7.4122868076923086E-3</v>
      </c>
      <c r="P2000">
        <f t="shared" si="280"/>
        <v>5.7230691507555456</v>
      </c>
      <c r="R2000">
        <f t="shared" si="285"/>
        <v>-4.1517384024714304E-4</v>
      </c>
    </row>
    <row r="2001" spans="1:18" x14ac:dyDescent="0.2">
      <c r="A2001" t="s">
        <v>2012</v>
      </c>
      <c r="B2001">
        <v>5.5515606000000002</v>
      </c>
      <c r="C2001">
        <v>5.4396359999999998E-2</v>
      </c>
      <c r="D2001">
        <v>5.6903035800000001</v>
      </c>
      <c r="E2001">
        <v>1.0272345199999999</v>
      </c>
      <c r="F2001">
        <v>3.28750119</v>
      </c>
      <c r="G2001">
        <v>1.2728558999999999</v>
      </c>
      <c r="H2001">
        <v>2.5324743399999998</v>
      </c>
      <c r="I2001">
        <v>9.6783300000000006E-3</v>
      </c>
      <c r="J2001">
        <v>1</v>
      </c>
      <c r="K2001">
        <v>950096</v>
      </c>
      <c r="L2001">
        <f t="shared" si="281"/>
        <v>1.2644235346153845E-2</v>
      </c>
      <c r="M2001">
        <f t="shared" si="282"/>
        <v>4.8955996153846153E-3</v>
      </c>
      <c r="N2001">
        <f t="shared" si="283"/>
        <v>9.7402859230769218E-3</v>
      </c>
      <c r="O2001">
        <f t="shared" si="284"/>
        <v>7.3179427692307694E-3</v>
      </c>
      <c r="P2001">
        <f t="shared" si="280"/>
        <v>3.0782042951844448</v>
      </c>
      <c r="R2001">
        <f t="shared" si="285"/>
        <v>-8.3313808475702448E-5</v>
      </c>
    </row>
    <row r="2002" spans="1:18" x14ac:dyDescent="0.2">
      <c r="A2002" t="s">
        <v>2013</v>
      </c>
      <c r="B2002">
        <v>5.5372858999999996</v>
      </c>
      <c r="C2002">
        <v>5.162373E-2</v>
      </c>
      <c r="D2002">
        <v>5.6790437599999999</v>
      </c>
      <c r="E2002">
        <v>1.1457615800000001</v>
      </c>
      <c r="F2002">
        <v>3.2654553900000001</v>
      </c>
      <c r="G2002">
        <v>1.2693230200000001</v>
      </c>
      <c r="H2002">
        <v>2.52156498</v>
      </c>
      <c r="I2002">
        <v>9.4957199999999992E-3</v>
      </c>
      <c r="J2002">
        <v>1</v>
      </c>
      <c r="K2002">
        <v>950096</v>
      </c>
      <c r="L2002">
        <f t="shared" si="281"/>
        <v>1.2559443807692307E-2</v>
      </c>
      <c r="M2002">
        <f t="shared" si="282"/>
        <v>4.882011615384616E-3</v>
      </c>
      <c r="N2002">
        <f t="shared" si="283"/>
        <v>9.6983268461538468E-3</v>
      </c>
      <c r="O2002">
        <f t="shared" si="284"/>
        <v>7.2901692307692301E-3</v>
      </c>
      <c r="P2002">
        <f t="shared" si="280"/>
        <v>2.9213055325658206</v>
      </c>
      <c r="R2002">
        <f t="shared" si="285"/>
        <v>1.7910727254631407E-4</v>
      </c>
    </row>
    <row r="2003" spans="1:18" x14ac:dyDescent="0.2">
      <c r="A2003" t="s">
        <v>2014</v>
      </c>
      <c r="B2003">
        <v>5.5570109399999996</v>
      </c>
      <c r="C2003">
        <v>0.10720836</v>
      </c>
      <c r="D2003">
        <v>5.7010515899999996</v>
      </c>
      <c r="E2003">
        <v>1.1457615800000001</v>
      </c>
      <c r="F2003">
        <v>3.2500233299999999</v>
      </c>
      <c r="G2003">
        <v>1.2691192</v>
      </c>
      <c r="H2003">
        <v>2.5424931399999999</v>
      </c>
      <c r="I2003">
        <v>9.4957199999999992E-3</v>
      </c>
      <c r="J2003">
        <v>1</v>
      </c>
      <c r="K2003">
        <v>950096</v>
      </c>
      <c r="L2003">
        <f t="shared" si="281"/>
        <v>1.2500089730769231E-2</v>
      </c>
      <c r="M2003">
        <f t="shared" si="282"/>
        <v>4.8812276923076922E-3</v>
      </c>
      <c r="N2003">
        <f t="shared" si="283"/>
        <v>9.7788197692307687E-3</v>
      </c>
      <c r="O2003">
        <f t="shared" si="284"/>
        <v>7.3300237307692305E-3</v>
      </c>
      <c r="P2003">
        <f t="shared" si="280"/>
        <v>6.066752154586819</v>
      </c>
      <c r="R2003">
        <f t="shared" si="285"/>
        <v>7.9438917523197178E-4</v>
      </c>
    </row>
    <row r="2004" spans="1:18" x14ac:dyDescent="0.2">
      <c r="A2004" t="s">
        <v>2015</v>
      </c>
      <c r="B2004">
        <v>5.5974991799999998</v>
      </c>
      <c r="C2004">
        <v>0.18774666000000001</v>
      </c>
      <c r="D2004">
        <v>5.7430200100000004</v>
      </c>
      <c r="E2004">
        <v>0.96797098999999998</v>
      </c>
      <c r="F2004">
        <v>3.2390004299999999</v>
      </c>
      <c r="G2004">
        <v>1.2759811400000001</v>
      </c>
      <c r="H2004">
        <v>2.5851286999999998</v>
      </c>
      <c r="I2004">
        <v>9.4957199999999992E-3</v>
      </c>
      <c r="J2004">
        <v>1</v>
      </c>
      <c r="K2004">
        <v>950097</v>
      </c>
      <c r="L2004">
        <f t="shared" si="281"/>
        <v>1.2457693961538461E-2</v>
      </c>
      <c r="M2004">
        <f t="shared" si="282"/>
        <v>4.9076197692307696E-3</v>
      </c>
      <c r="N2004">
        <f t="shared" si="283"/>
        <v>9.9428026923076909E-3</v>
      </c>
      <c r="O2004">
        <f t="shared" si="284"/>
        <v>7.4252112307692311E-3</v>
      </c>
      <c r="P2004">
        <f t="shared" si="280"/>
        <v>10.62428764017544</v>
      </c>
      <c r="Q2004">
        <f t="shared" ref="Q2004" si="286">ABS(0.5*(SUMPRODUCT(O2004:O2022,P2005:P2023)+O2023*P2004-(SUMPRODUCT(O2005:O2023,P2004:P2022)+O2004*P2023)))</f>
        <v>5.186953671667105E-3</v>
      </c>
      <c r="R2004">
        <f t="shared" si="285"/>
        <v>1.7997374191109138E-3</v>
      </c>
    </row>
    <row r="2005" spans="1:18" x14ac:dyDescent="0.2">
      <c r="A2005" t="s">
        <v>2016</v>
      </c>
      <c r="B2005">
        <v>5.6496667199999999</v>
      </c>
      <c r="C2005">
        <v>0.28201608</v>
      </c>
      <c r="D2005">
        <v>5.7993191099999999</v>
      </c>
      <c r="E2005">
        <v>0.84944392999999996</v>
      </c>
      <c r="F2005">
        <v>3.2303395799999999</v>
      </c>
      <c r="G2005">
        <v>1.2898409</v>
      </c>
      <c r="H2005">
        <v>2.6416792600000001</v>
      </c>
      <c r="I2005">
        <v>9.4957199999999992E-3</v>
      </c>
      <c r="J2005">
        <v>1</v>
      </c>
      <c r="K2005">
        <v>950097</v>
      </c>
      <c r="L2005">
        <f t="shared" si="281"/>
        <v>1.2424382999999999E-2</v>
      </c>
      <c r="M2005">
        <f t="shared" si="282"/>
        <v>4.9609265384615384E-3</v>
      </c>
      <c r="N2005">
        <f t="shared" si="283"/>
        <v>1.0160304846153847E-2</v>
      </c>
      <c r="O2005">
        <f t="shared" si="284"/>
        <v>7.5606156923076918E-3</v>
      </c>
      <c r="P2005">
        <f t="shared" si="280"/>
        <v>15.958845569208677</v>
      </c>
      <c r="R2005">
        <f t="shared" si="285"/>
        <v>2.8796423647339904E-3</v>
      </c>
    </row>
    <row r="2006" spans="1:18" x14ac:dyDescent="0.2">
      <c r="A2006" t="s">
        <v>2017</v>
      </c>
      <c r="B2006">
        <v>5.7091013799999999</v>
      </c>
      <c r="C2006">
        <v>0.39160097999999999</v>
      </c>
      <c r="D2006">
        <v>5.8632953600000004</v>
      </c>
      <c r="E2006">
        <v>0.73091687000000005</v>
      </c>
      <c r="F2006">
        <v>3.2298671699999999</v>
      </c>
      <c r="G2006">
        <v>1.3053991599999999</v>
      </c>
      <c r="H2006">
        <v>2.7046863800000001</v>
      </c>
      <c r="I2006">
        <v>9.6783300000000006E-3</v>
      </c>
      <c r="J2006">
        <v>1</v>
      </c>
      <c r="K2006">
        <v>950097</v>
      </c>
      <c r="L2006">
        <f t="shared" si="281"/>
        <v>1.2422566038461537E-2</v>
      </c>
      <c r="M2006">
        <f t="shared" si="282"/>
        <v>5.0207659999999994E-3</v>
      </c>
      <c r="N2006">
        <f t="shared" si="283"/>
        <v>1.0402639923076924E-2</v>
      </c>
      <c r="O2006">
        <f t="shared" si="284"/>
        <v>7.7117029615384625E-3</v>
      </c>
      <c r="P2006">
        <f t="shared" si="280"/>
        <v>22.160082377468601</v>
      </c>
      <c r="R2006">
        <f t="shared" si="285"/>
        <v>3.7986994248489941E-3</v>
      </c>
    </row>
    <row r="2007" spans="1:18" x14ac:dyDescent="0.2">
      <c r="A2007" t="s">
        <v>2018</v>
      </c>
      <c r="B2007">
        <v>5.7716505199999997</v>
      </c>
      <c r="C2007">
        <v>0.52415909999999999</v>
      </c>
      <c r="D2007">
        <v>5.9308542800000001</v>
      </c>
      <c r="E2007">
        <v>0.61238981000000003</v>
      </c>
      <c r="F2007">
        <v>3.2390004299999999</v>
      </c>
      <c r="G2007">
        <v>1.3194627400000001</v>
      </c>
      <c r="H2007">
        <v>2.7668585999999999</v>
      </c>
      <c r="I2007">
        <v>9.4957199999999992E-3</v>
      </c>
      <c r="J2007">
        <v>1</v>
      </c>
      <c r="K2007">
        <v>950097</v>
      </c>
      <c r="L2007">
        <f t="shared" si="281"/>
        <v>1.2457693961538461E-2</v>
      </c>
      <c r="M2007">
        <f t="shared" si="282"/>
        <v>5.0748566923076929E-3</v>
      </c>
      <c r="N2007">
        <f t="shared" si="283"/>
        <v>1.0641763846153845E-2</v>
      </c>
      <c r="O2007">
        <f t="shared" si="284"/>
        <v>7.8583102692307682E-3</v>
      </c>
      <c r="P2007">
        <f t="shared" si="280"/>
        <v>29.661337504568561</v>
      </c>
      <c r="R2007">
        <f t="shared" si="285"/>
        <v>4.4495622098034747E-3</v>
      </c>
    </row>
    <row r="2008" spans="1:18" x14ac:dyDescent="0.2">
      <c r="A2008" t="s">
        <v>2019</v>
      </c>
      <c r="B2008">
        <v>5.8334210400000002</v>
      </c>
      <c r="C2008">
        <v>0.70385193000000001</v>
      </c>
      <c r="D2008">
        <v>6.0025076799999999</v>
      </c>
      <c r="E2008">
        <v>0.41484471000000001</v>
      </c>
      <c r="F2008">
        <v>3.2504957399999999</v>
      </c>
      <c r="G2008">
        <v>1.3306728400000001</v>
      </c>
      <c r="H2008">
        <v>2.8222402999999998</v>
      </c>
      <c r="I2008">
        <v>9.6783300000000006E-3</v>
      </c>
      <c r="J2008">
        <v>1</v>
      </c>
      <c r="K2008">
        <v>950097</v>
      </c>
      <c r="L2008">
        <f t="shared" si="281"/>
        <v>1.2501906692307692E-2</v>
      </c>
      <c r="M2008">
        <f t="shared" si="282"/>
        <v>5.1179724615384621E-3</v>
      </c>
      <c r="N2008">
        <f t="shared" si="283"/>
        <v>1.0854770384615384E-2</v>
      </c>
      <c r="O2008">
        <f t="shared" si="284"/>
        <v>7.9863714230769232E-3</v>
      </c>
      <c r="P2008">
        <f t="shared" si="280"/>
        <v>39.829871596185136</v>
      </c>
      <c r="R2008">
        <f t="shared" si="285"/>
        <v>2.8189343046858247E-3</v>
      </c>
    </row>
    <row r="2009" spans="1:18" x14ac:dyDescent="0.2">
      <c r="A2009" t="s">
        <v>2020</v>
      </c>
      <c r="B2009">
        <v>5.8692375600000002</v>
      </c>
      <c r="C2009">
        <v>0.82677186000000003</v>
      </c>
      <c r="D2009">
        <v>6.03526352</v>
      </c>
      <c r="E2009">
        <v>0.41484471000000001</v>
      </c>
      <c r="F2009">
        <v>3.2624634600000002</v>
      </c>
      <c r="G2009">
        <v>1.33563246</v>
      </c>
      <c r="H2009">
        <v>2.8511278400000002</v>
      </c>
      <c r="I2009">
        <v>9.6783300000000006E-3</v>
      </c>
      <c r="J2009">
        <v>1</v>
      </c>
      <c r="K2009">
        <v>950097</v>
      </c>
      <c r="L2009">
        <f t="shared" si="281"/>
        <v>1.2547936384615386E-2</v>
      </c>
      <c r="M2009">
        <f t="shared" si="282"/>
        <v>5.1370479230769235E-3</v>
      </c>
      <c r="N2009">
        <f t="shared" si="283"/>
        <v>1.0965876307692309E-2</v>
      </c>
      <c r="O2009">
        <f t="shared" si="284"/>
        <v>8.0514621153846156E-3</v>
      </c>
      <c r="P2009">
        <f t="shared" si="280"/>
        <v>46.785716738944167</v>
      </c>
      <c r="R2009">
        <f t="shared" si="285"/>
        <v>9.3861248826104305E-4</v>
      </c>
    </row>
    <row r="2010" spans="1:18" x14ac:dyDescent="0.2">
      <c r="A2010" t="s">
        <v>2021</v>
      </c>
      <c r="B2010">
        <v>5.8785809999999996</v>
      </c>
      <c r="C2010">
        <v>0.85581845999999995</v>
      </c>
      <c r="D2010">
        <v>6.04754696</v>
      </c>
      <c r="E2010">
        <v>0.41484471000000001</v>
      </c>
      <c r="F2010">
        <v>3.2793127499999999</v>
      </c>
      <c r="G2010">
        <v>1.3369233199999999</v>
      </c>
      <c r="H2010">
        <v>2.8600891000000002</v>
      </c>
      <c r="I2010">
        <v>9.6783300000000006E-3</v>
      </c>
      <c r="J2010">
        <v>1</v>
      </c>
      <c r="K2010">
        <v>950097</v>
      </c>
      <c r="L2010">
        <f t="shared" si="281"/>
        <v>1.2612741346153845E-2</v>
      </c>
      <c r="M2010">
        <f t="shared" si="282"/>
        <v>5.142012769230769E-3</v>
      </c>
      <c r="N2010">
        <f t="shared" si="283"/>
        <v>1.1000342692307694E-2</v>
      </c>
      <c r="O2010">
        <f t="shared" si="284"/>
        <v>8.0711777307692304E-3</v>
      </c>
      <c r="P2010">
        <f t="shared" si="280"/>
        <v>48.429418061615465</v>
      </c>
      <c r="R2010">
        <f t="shared" si="285"/>
        <v>2.954026861465827E-4</v>
      </c>
    </row>
    <row r="2011" spans="1:18" x14ac:dyDescent="0.2">
      <c r="A2011" t="s">
        <v>2022</v>
      </c>
      <c r="B2011">
        <v>5.8809168600000001</v>
      </c>
      <c r="C2011">
        <v>0.85581845999999995</v>
      </c>
      <c r="D2011">
        <v>6.0511296300000001</v>
      </c>
      <c r="E2011">
        <v>0.41484471000000001</v>
      </c>
      <c r="F2011">
        <v>3.29616204</v>
      </c>
      <c r="G2011">
        <v>1.3375347799999999</v>
      </c>
      <c r="H2011">
        <v>2.8626494600000001</v>
      </c>
      <c r="I2011">
        <v>9.6783300000000006E-3</v>
      </c>
      <c r="J2011">
        <v>1</v>
      </c>
      <c r="K2011">
        <v>950097</v>
      </c>
      <c r="L2011">
        <f t="shared" si="281"/>
        <v>1.2677546307692307E-2</v>
      </c>
      <c r="M2011">
        <f t="shared" si="282"/>
        <v>5.1443645384615377E-3</v>
      </c>
      <c r="N2011">
        <f t="shared" si="283"/>
        <v>1.1010190230769231E-2</v>
      </c>
      <c r="O2011">
        <f t="shared" si="284"/>
        <v>8.0772773846153854E-3</v>
      </c>
      <c r="P2011">
        <f t="shared" si="280"/>
        <v>48.429418061615465</v>
      </c>
      <c r="R2011">
        <f t="shared" si="285"/>
        <v>-1.4486827757721288E-4</v>
      </c>
    </row>
    <row r="2012" spans="1:18" x14ac:dyDescent="0.2">
      <c r="A2012" t="s">
        <v>2023</v>
      </c>
      <c r="B2012">
        <v>5.8785809999999996</v>
      </c>
      <c r="C2012">
        <v>0.81224856000000001</v>
      </c>
      <c r="D2012">
        <v>6.0490823899999997</v>
      </c>
      <c r="E2012">
        <v>0.41484471000000001</v>
      </c>
      <c r="F2012">
        <v>3.3095469899999999</v>
      </c>
      <c r="G2012">
        <v>1.3379424200000001</v>
      </c>
      <c r="H2012">
        <v>2.8606457000000001</v>
      </c>
      <c r="I2012">
        <v>9.4957199999999992E-3</v>
      </c>
      <c r="J2012">
        <v>1</v>
      </c>
      <c r="K2012">
        <v>950097</v>
      </c>
      <c r="L2012">
        <f t="shared" si="281"/>
        <v>1.2729026884615384E-2</v>
      </c>
      <c r="M2012">
        <f t="shared" si="282"/>
        <v>5.1459323846153853E-3</v>
      </c>
      <c r="N2012">
        <f t="shared" si="283"/>
        <v>1.1002483461538462E-2</v>
      </c>
      <c r="O2012">
        <f t="shared" si="284"/>
        <v>8.0742079230769238E-3</v>
      </c>
      <c r="P2012">
        <f t="shared" si="280"/>
        <v>45.963866077608508</v>
      </c>
      <c r="R2012">
        <f t="shared" si="285"/>
        <v>-1.0140766869883809E-3</v>
      </c>
    </row>
    <row r="2013" spans="1:18" x14ac:dyDescent="0.2">
      <c r="A2013" t="s">
        <v>2024</v>
      </c>
      <c r="B2013">
        <v>5.8635276799999998</v>
      </c>
      <c r="C2013">
        <v>0.70517222999999996</v>
      </c>
      <c r="D2013">
        <v>6.0291218000000004</v>
      </c>
      <c r="E2013">
        <v>0.41484471000000001</v>
      </c>
      <c r="F2013">
        <v>3.3207273599999998</v>
      </c>
      <c r="G2013">
        <v>1.3377386</v>
      </c>
      <c r="H2013">
        <v>2.8485674799999998</v>
      </c>
      <c r="I2013">
        <v>9.6783300000000006E-3</v>
      </c>
      <c r="J2013">
        <v>1</v>
      </c>
      <c r="K2013">
        <v>950097</v>
      </c>
      <c r="L2013">
        <f t="shared" si="281"/>
        <v>1.2772028307692307E-2</v>
      </c>
      <c r="M2013">
        <f t="shared" si="282"/>
        <v>5.1451484615384615E-3</v>
      </c>
      <c r="N2013">
        <f t="shared" si="283"/>
        <v>1.0956028769230769E-2</v>
      </c>
      <c r="O2013">
        <f t="shared" si="284"/>
        <v>8.0505886153846139E-3</v>
      </c>
      <c r="P2013">
        <f t="shared" si="280"/>
        <v>39.904585292670191</v>
      </c>
      <c r="R2013">
        <f t="shared" si="285"/>
        <v>-9.6434188199764036E-4</v>
      </c>
    </row>
    <row r="2014" spans="1:18" x14ac:dyDescent="0.2">
      <c r="A2014" t="s">
        <v>2025</v>
      </c>
      <c r="B2014">
        <v>5.8500316000000003</v>
      </c>
      <c r="C2014">
        <v>0.61605198000000005</v>
      </c>
      <c r="D2014">
        <v>6.0178619800000002</v>
      </c>
      <c r="E2014">
        <v>0.35558118</v>
      </c>
      <c r="F2014">
        <v>3.3312778500000002</v>
      </c>
      <c r="G2014">
        <v>1.3377386</v>
      </c>
      <c r="H2014">
        <v>2.8351534200000001</v>
      </c>
      <c r="I2014">
        <v>9.4957199999999992E-3</v>
      </c>
      <c r="J2014">
        <v>1</v>
      </c>
      <c r="K2014">
        <v>950097</v>
      </c>
      <c r="L2014">
        <f t="shared" si="281"/>
        <v>1.2812607115384617E-2</v>
      </c>
      <c r="M2014">
        <f t="shared" si="282"/>
        <v>5.1451484615384615E-3</v>
      </c>
      <c r="N2014">
        <f t="shared" si="283"/>
        <v>1.0904436230769232E-2</v>
      </c>
      <c r="O2014">
        <f t="shared" si="284"/>
        <v>8.0247923461538462E-3</v>
      </c>
      <c r="P2014">
        <f t="shared" si="280"/>
        <v>34.861410779928697</v>
      </c>
      <c r="R2014">
        <f t="shared" si="285"/>
        <v>-1.3637124091833758E-3</v>
      </c>
    </row>
    <row r="2015" spans="1:18" x14ac:dyDescent="0.2">
      <c r="A2015" t="s">
        <v>2026</v>
      </c>
      <c r="B2015">
        <v>5.82485622</v>
      </c>
      <c r="C2015">
        <v>0.52297083</v>
      </c>
      <c r="D2015">
        <v>5.9917596700000004</v>
      </c>
      <c r="E2015">
        <v>0.35558118</v>
      </c>
      <c r="F2015">
        <v>3.3380490599999999</v>
      </c>
      <c r="G2015">
        <v>1.3373309600000001</v>
      </c>
      <c r="H2015">
        <v>2.81355734</v>
      </c>
      <c r="I2015">
        <v>9.6783300000000006E-3</v>
      </c>
      <c r="J2015">
        <v>1</v>
      </c>
      <c r="K2015">
        <v>950097</v>
      </c>
      <c r="L2015">
        <f t="shared" si="281"/>
        <v>1.283865023076923E-2</v>
      </c>
      <c r="M2015">
        <f t="shared" si="282"/>
        <v>5.1435806153846157E-3</v>
      </c>
      <c r="N2015">
        <f t="shared" si="283"/>
        <v>1.0821374384615385E-2</v>
      </c>
      <c r="O2015">
        <f t="shared" si="284"/>
        <v>7.9824774999999997E-3</v>
      </c>
      <c r="P2015">
        <f t="shared" si="280"/>
        <v>29.594095177732008</v>
      </c>
      <c r="R2015">
        <f t="shared" si="285"/>
        <v>-2.0237913073373331E-3</v>
      </c>
    </row>
    <row r="2016" spans="1:18" x14ac:dyDescent="0.2">
      <c r="A2016" t="s">
        <v>2027</v>
      </c>
      <c r="B2016">
        <v>5.7913755599999996</v>
      </c>
      <c r="C2016">
        <v>0.42025149000000001</v>
      </c>
      <c r="D2016">
        <v>5.9462085800000004</v>
      </c>
      <c r="E2016">
        <v>0.35558118</v>
      </c>
      <c r="F2016">
        <v>3.3399386999999998</v>
      </c>
      <c r="G2016">
        <v>1.33318662</v>
      </c>
      <c r="H2016">
        <v>2.7782689</v>
      </c>
      <c r="I2016">
        <v>9.6783300000000006E-3</v>
      </c>
      <c r="J2016">
        <v>1</v>
      </c>
      <c r="K2016">
        <v>950097</v>
      </c>
      <c r="L2016">
        <f t="shared" si="281"/>
        <v>1.2845918076923077E-2</v>
      </c>
      <c r="M2016">
        <f t="shared" si="282"/>
        <v>5.1276408461538459E-3</v>
      </c>
      <c r="N2016">
        <f t="shared" si="283"/>
        <v>1.0685649615384615E-2</v>
      </c>
      <c r="O2016">
        <f t="shared" si="284"/>
        <v>7.9066452307692305E-3</v>
      </c>
      <c r="P2016">
        <f t="shared" si="280"/>
        <v>23.781369591194391</v>
      </c>
      <c r="R2016">
        <f t="shared" si="285"/>
        <v>-2.2128123687189202E-3</v>
      </c>
    </row>
    <row r="2017" spans="1:21" x14ac:dyDescent="0.2">
      <c r="A2017" t="s">
        <v>2028</v>
      </c>
      <c r="B2017">
        <v>5.7464751400000003</v>
      </c>
      <c r="C2017">
        <v>0.32637815999999997</v>
      </c>
      <c r="D2017">
        <v>5.8975866300000002</v>
      </c>
      <c r="E2017">
        <v>0.35558118</v>
      </c>
      <c r="F2017">
        <v>3.3408835200000002</v>
      </c>
      <c r="G2017">
        <v>1.32530558</v>
      </c>
      <c r="H2017">
        <v>2.7316814800000002</v>
      </c>
      <c r="I2017">
        <v>9.6783300000000006E-3</v>
      </c>
      <c r="J2017">
        <v>1</v>
      </c>
      <c r="K2017">
        <v>950097</v>
      </c>
      <c r="L2017">
        <f t="shared" si="281"/>
        <v>1.2849552E-2</v>
      </c>
      <c r="M2017">
        <f t="shared" si="282"/>
        <v>5.097329153846154E-3</v>
      </c>
      <c r="N2017">
        <f t="shared" si="283"/>
        <v>1.0506467230769232E-2</v>
      </c>
      <c r="O2017">
        <f t="shared" si="284"/>
        <v>7.8018981923076922E-3</v>
      </c>
      <c r="P2017">
        <f t="shared" si="280"/>
        <v>18.469225771106668</v>
      </c>
      <c r="R2017">
        <f t="shared" si="285"/>
        <v>-1.9870756264629735E-3</v>
      </c>
    </row>
    <row r="2018" spans="1:21" x14ac:dyDescent="0.2">
      <c r="A2018" t="s">
        <v>2029</v>
      </c>
      <c r="B2018">
        <v>5.6987197800000002</v>
      </c>
      <c r="C2018">
        <v>0.24214301999999999</v>
      </c>
      <c r="D2018">
        <v>5.84026391</v>
      </c>
      <c r="E2018">
        <v>0.35558118</v>
      </c>
      <c r="F2018">
        <v>3.3345847200000001</v>
      </c>
      <c r="G2018">
        <v>1.3138916599999999</v>
      </c>
      <c r="H2018">
        <v>2.6788601399999998</v>
      </c>
      <c r="I2018">
        <v>9.4957199999999992E-3</v>
      </c>
      <c r="J2018">
        <v>1</v>
      </c>
      <c r="K2018">
        <v>950097</v>
      </c>
      <c r="L2018">
        <f t="shared" si="281"/>
        <v>1.2825325846153847E-2</v>
      </c>
      <c r="M2018">
        <f t="shared" si="282"/>
        <v>5.053429461538461E-3</v>
      </c>
      <c r="N2018">
        <f t="shared" si="283"/>
        <v>1.0303308230769231E-2</v>
      </c>
      <c r="O2018">
        <f t="shared" si="284"/>
        <v>7.6783688461538454E-3</v>
      </c>
      <c r="P2018">
        <f t="shared" si="280"/>
        <v>13.702491935359884</v>
      </c>
      <c r="R2018">
        <f t="shared" si="285"/>
        <v>-1.5513100805363902E-3</v>
      </c>
      <c r="S2018">
        <f>ABS(SUMIFS($R:$R,$K:$K,K2018))</f>
        <v>5.1655933646398977E-3</v>
      </c>
    </row>
    <row r="2019" spans="1:21" x14ac:dyDescent="0.2">
      <c r="A2019" t="s">
        <v>2030</v>
      </c>
      <c r="B2019">
        <v>5.6457736199999999</v>
      </c>
      <c r="C2019">
        <v>0.1676781</v>
      </c>
      <c r="D2019">
        <v>5.7808939500000003</v>
      </c>
      <c r="E2019">
        <v>0.41484471000000001</v>
      </c>
      <c r="F2019">
        <v>3.3216721800000002</v>
      </c>
      <c r="G2019">
        <v>1.2991486800000001</v>
      </c>
      <c r="H2019">
        <v>2.6240350399999999</v>
      </c>
      <c r="I2019">
        <v>9.4957199999999992E-3</v>
      </c>
      <c r="J2019">
        <v>1</v>
      </c>
      <c r="K2019">
        <v>950097</v>
      </c>
      <c r="L2019">
        <f t="shared" si="281"/>
        <v>1.2775662230769232E-2</v>
      </c>
      <c r="M2019">
        <f t="shared" si="282"/>
        <v>4.9967256923076925E-3</v>
      </c>
      <c r="N2019">
        <f t="shared" si="283"/>
        <v>1.009244246153846E-2</v>
      </c>
      <c r="O2019">
        <f t="shared" si="284"/>
        <v>7.5445840769230764E-3</v>
      </c>
      <c r="P2019">
        <f t="shared" si="280"/>
        <v>9.488639453602536</v>
      </c>
      <c r="R2019">
        <f t="shared" si="285"/>
        <v>-1.0068052993244387E-3</v>
      </c>
    </row>
    <row r="2020" spans="1:21" x14ac:dyDescent="0.2">
      <c r="A2020" t="s">
        <v>2031</v>
      </c>
      <c r="B2020">
        <v>5.5925679199999996</v>
      </c>
      <c r="C2020">
        <v>0.10153107</v>
      </c>
      <c r="D2020">
        <v>5.7276657100000001</v>
      </c>
      <c r="E2020">
        <v>0.79018040000000001</v>
      </c>
      <c r="F2020">
        <v>3.30671253</v>
      </c>
      <c r="G2020">
        <v>1.28379424</v>
      </c>
      <c r="H2020">
        <v>2.5706571</v>
      </c>
      <c r="I2020">
        <v>9.4957199999999992E-3</v>
      </c>
      <c r="J2020">
        <v>1</v>
      </c>
      <c r="K2020">
        <v>950097</v>
      </c>
      <c r="L2020">
        <f t="shared" si="281"/>
        <v>1.2718125115384615E-2</v>
      </c>
      <c r="M2020">
        <f t="shared" si="282"/>
        <v>4.9376701538461536E-3</v>
      </c>
      <c r="N2020">
        <f t="shared" si="283"/>
        <v>9.8871426923076919E-3</v>
      </c>
      <c r="O2020">
        <f t="shared" si="284"/>
        <v>7.4124064230769223E-3</v>
      </c>
      <c r="P2020">
        <f t="shared" si="280"/>
        <v>5.7454832597010634</v>
      </c>
      <c r="R2020">
        <f t="shared" si="285"/>
        <v>-4.115095917743337E-4</v>
      </c>
    </row>
    <row r="2021" spans="1:21" x14ac:dyDescent="0.2">
      <c r="A2021" t="s">
        <v>2032</v>
      </c>
      <c r="B2021">
        <v>5.55078198</v>
      </c>
      <c r="C2021">
        <v>5.4792449999999999E-2</v>
      </c>
      <c r="D2021">
        <v>5.68672091</v>
      </c>
      <c r="E2021">
        <v>1.0864980500000001</v>
      </c>
      <c r="F2021">
        <v>3.2884460099999999</v>
      </c>
      <c r="G2021">
        <v>1.2732635400000001</v>
      </c>
      <c r="H2021">
        <v>2.5328083000000001</v>
      </c>
      <c r="I2021">
        <v>9.6783300000000006E-3</v>
      </c>
      <c r="J2021">
        <v>1</v>
      </c>
      <c r="K2021">
        <v>950097</v>
      </c>
      <c r="L2021">
        <f t="shared" si="281"/>
        <v>1.2647869269230769E-2</v>
      </c>
      <c r="M2021">
        <f t="shared" si="282"/>
        <v>4.897167461538462E-3</v>
      </c>
      <c r="N2021">
        <f t="shared" si="283"/>
        <v>9.7415703846153844E-3</v>
      </c>
      <c r="O2021">
        <f t="shared" si="284"/>
        <v>7.3193689230769236E-3</v>
      </c>
      <c r="P2021">
        <f t="shared" si="280"/>
        <v>3.1006184041299627</v>
      </c>
      <c r="R2021">
        <f t="shared" si="285"/>
        <v>-8.4489597026752265E-5</v>
      </c>
    </row>
    <row r="2022" spans="1:21" x14ac:dyDescent="0.2">
      <c r="A2022" t="s">
        <v>2033</v>
      </c>
      <c r="B2022">
        <v>5.5411789999999996</v>
      </c>
      <c r="C2022">
        <v>5.1227639999999998E-2</v>
      </c>
      <c r="D2022">
        <v>5.6775083300000002</v>
      </c>
      <c r="E2022">
        <v>1.20502511</v>
      </c>
      <c r="F2022">
        <v>3.2687622599999999</v>
      </c>
      <c r="G2022">
        <v>1.2695268399999999</v>
      </c>
      <c r="H2022">
        <v>2.5218989399999998</v>
      </c>
      <c r="I2022">
        <v>9.8609400000000003E-3</v>
      </c>
      <c r="J2022">
        <v>1</v>
      </c>
      <c r="K2022">
        <v>950097</v>
      </c>
      <c r="L2022">
        <f t="shared" si="281"/>
        <v>1.2572162538461539E-2</v>
      </c>
      <c r="M2022">
        <f t="shared" si="282"/>
        <v>4.882795538461538E-3</v>
      </c>
      <c r="N2022">
        <f t="shared" si="283"/>
        <v>9.6996113076923077E-3</v>
      </c>
      <c r="O2022">
        <f t="shared" si="284"/>
        <v>7.2912034230769229E-3</v>
      </c>
      <c r="P2022">
        <f t="shared" si="280"/>
        <v>2.8988914236203027</v>
      </c>
      <c r="R2022">
        <f t="shared" si="285"/>
        <v>1.7301648068516096E-4</v>
      </c>
    </row>
    <row r="2023" spans="1:21" x14ac:dyDescent="0.2">
      <c r="A2023" t="s">
        <v>2034</v>
      </c>
      <c r="B2023">
        <v>5.55856818</v>
      </c>
      <c r="C2023">
        <v>0.10760445</v>
      </c>
      <c r="D2023">
        <v>5.69490987</v>
      </c>
      <c r="E2023">
        <v>1.20502511</v>
      </c>
      <c r="F2023">
        <v>3.24813369</v>
      </c>
      <c r="G2023">
        <v>1.2691192</v>
      </c>
      <c r="H2023">
        <v>2.54232616</v>
      </c>
      <c r="I2023">
        <v>9.8609400000000003E-3</v>
      </c>
      <c r="J2023">
        <v>1</v>
      </c>
      <c r="K2023">
        <v>950097</v>
      </c>
      <c r="L2023">
        <f t="shared" si="281"/>
        <v>1.2492821884615384E-2</v>
      </c>
      <c r="M2023">
        <f t="shared" si="282"/>
        <v>4.8812276923076922E-3</v>
      </c>
      <c r="N2023">
        <f t="shared" si="283"/>
        <v>9.7781775384615383E-3</v>
      </c>
      <c r="O2023">
        <f t="shared" si="284"/>
        <v>7.3297026153846152E-3</v>
      </c>
      <c r="P2023">
        <f t="shared" si="280"/>
        <v>6.0891662635323369</v>
      </c>
      <c r="R2023">
        <f t="shared" si="285"/>
        <v>7.7677911329166523E-4</v>
      </c>
    </row>
    <row r="2024" spans="1:21" x14ac:dyDescent="0.2">
      <c r="A2024" t="s">
        <v>2035</v>
      </c>
      <c r="B2024">
        <v>5.5959419400000003</v>
      </c>
      <c r="C2024">
        <v>0.18695448000000001</v>
      </c>
      <c r="D2024">
        <v>5.7384137199999996</v>
      </c>
      <c r="E2024">
        <v>1.1457615800000001</v>
      </c>
      <c r="F2024">
        <v>3.2375832</v>
      </c>
      <c r="G2024">
        <v>1.27550556</v>
      </c>
      <c r="H2024">
        <v>2.58440512</v>
      </c>
      <c r="I2024">
        <v>9.8609400000000003E-3</v>
      </c>
      <c r="J2024">
        <v>1</v>
      </c>
      <c r="K2024">
        <v>950098</v>
      </c>
      <c r="L2024">
        <f t="shared" si="281"/>
        <v>1.2452243076923077E-2</v>
      </c>
      <c r="M2024">
        <f t="shared" si="282"/>
        <v>4.9057906153846158E-3</v>
      </c>
      <c r="N2024">
        <f t="shared" si="283"/>
        <v>9.9400196923076917E-3</v>
      </c>
      <c r="O2024">
        <f t="shared" si="284"/>
        <v>7.4229051538461542E-3</v>
      </c>
      <c r="P2024">
        <f t="shared" si="280"/>
        <v>10.579459422284403</v>
      </c>
      <c r="R2024">
        <f t="shared" si="285"/>
        <v>1.8230412061103331E-3</v>
      </c>
    </row>
    <row r="2025" spans="1:21" x14ac:dyDescent="0.2">
      <c r="A2025" t="s">
        <v>2036</v>
      </c>
      <c r="B2025">
        <v>5.6496667199999999</v>
      </c>
      <c r="C2025">
        <v>0.28201608</v>
      </c>
      <c r="D2025">
        <v>5.7993191099999999</v>
      </c>
      <c r="E2025">
        <v>0.96797098999999998</v>
      </c>
      <c r="F2025">
        <v>3.2303395799999999</v>
      </c>
      <c r="G2025">
        <v>1.2898409</v>
      </c>
      <c r="H2025">
        <v>2.6415122800000002</v>
      </c>
      <c r="I2025">
        <v>9.6783300000000006E-3</v>
      </c>
      <c r="J2025">
        <v>1</v>
      </c>
      <c r="K2025">
        <v>950098</v>
      </c>
      <c r="L2025">
        <f t="shared" si="281"/>
        <v>1.2424382999999999E-2</v>
      </c>
      <c r="M2025">
        <f t="shared" si="282"/>
        <v>4.9609265384615384E-3</v>
      </c>
      <c r="N2025">
        <f t="shared" si="283"/>
        <v>1.0159662615384616E-2</v>
      </c>
      <c r="O2025">
        <f t="shared" si="284"/>
        <v>7.5602945769230774E-3</v>
      </c>
      <c r="P2025">
        <f t="shared" si="280"/>
        <v>15.958845569208677</v>
      </c>
      <c r="R2025">
        <f t="shared" si="285"/>
        <v>-6.0326786805420619E-2</v>
      </c>
    </row>
    <row r="2026" spans="1:21" x14ac:dyDescent="0.2">
      <c r="Q2026">
        <f>SUM(Q4:Q2025)</f>
        <v>0.5240556854483962</v>
      </c>
      <c r="S2026">
        <f>SUM(S4:S2018)</f>
        <v>0.50328116819579927</v>
      </c>
      <c r="U2026">
        <f>+Q2026*0.75</f>
        <v>0.39304176408629715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Alves</dc:creator>
  <cp:lastModifiedBy>Rubens Alves</cp:lastModifiedBy>
  <dcterms:created xsi:type="dcterms:W3CDTF">2026-02-13T12:56:47Z</dcterms:created>
  <dcterms:modified xsi:type="dcterms:W3CDTF">2026-03-12T17:11:59Z</dcterms:modified>
</cp:coreProperties>
</file>